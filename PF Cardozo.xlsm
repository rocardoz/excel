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vnd.ms-excel.slicerCache+xml" PartName="/xl/slicerCaches/slicerCache7.xml"/>
  <Override ContentType="application/vnd.ms-excel.slicerCache+xml" PartName="/xl/slicerCaches/slicerCache4.xml"/>
  <Override ContentType="application/vnd.ms-excel.slicerCache+xml" PartName="/xl/slicerCaches/slicerCache1.xml"/>
  <Override ContentType="application/vnd.ms-excel.slicerCache+xml" PartName="/xl/slicerCaches/slicerCache2.xml"/>
  <Override ContentType="application/vnd.ms-excel.slicerCache+xml" PartName="/xl/slicerCaches/slicerCache3.xml"/>
  <Override ContentType="application/vnd.ms-excel.slicerCache+xml" PartName="/xl/slicerCaches/slicerCache5.xml"/>
  <Override ContentType="application/vnd.ms-excel.slicerCache+xml" PartName="/xl/slicerCaches/slicerCache6.xml"/>
  <Override ContentType="application/vnd.openxmlformats-officedocument.spreadsheetml.pivotTable+xml" PartName="/xl/pivotTables/pivotTable4.xml"/>
  <Override ContentType="application/vnd.openxmlformats-officedocument.spreadsheetml.pivotTable+xml" PartName="/xl/pivotTables/pivotTable1.xml"/>
  <Override ContentType="application/vnd.openxmlformats-officedocument.spreadsheetml.pivotTable+xml" PartName="/xl/pivotTables/pivotTable2.xml"/>
  <Override ContentType="application/vnd.openxmlformats-officedocument.spreadsheetml.pivotTable+xml" PartName="/xl/pivotTables/pivotTable3.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4.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Override ContentType="application/vnd.openxmlformats-officedocument.spreadsheetml.pivotCacheDefinition+xml" PartName="/xl/pivotCache/pivotCacheDefinition1.xml"/>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7.xml"/>
  <Override ContentType="application/vnd.openxmlformats-officedocument.spreadsheetml.table+xml" PartName="/xl/tables/table6.xml"/>
  <Override ContentType="application/vnd.openxmlformats-officedocument.spreadsheetml.table+xml" PartName="/xl/tables/table8.xml"/>
  <Override ContentType="application/vnd.ms-excel.slicer+xml" PartName="/xl/slicers/slicer2.xml"/>
  <Override ContentType="application/vnd.ms-excel.slicer+xml" PartName="/xl/slicers/slicer1.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troducción" sheetId="1" r:id="rId5"/>
    <sheet state="visible" name="Readme" sheetId="2" r:id="rId6"/>
    <sheet state="visible" name="Base original" sheetId="3" r:id="rId7"/>
    <sheet state="visible" name="Base Trabajada" sheetId="4" r:id="rId8"/>
    <sheet state="visible" name="Preguntas y Respuestas" sheetId="5" r:id="rId9"/>
    <sheet state="visible" name="CA y tablas" sheetId="6" r:id="rId10"/>
    <sheet state="visible" name="Tabla dinámica " sheetId="7" r:id="rId11"/>
    <sheet state="visible" name="Dashboard" sheetId="8" r:id="rId12"/>
  </sheets>
  <definedNames>
    <definedName name="PASAPORTES">'Base Trabajada'!$A$2:$O$1100</definedName>
    <definedName hidden="1" localSheetId="3" name="Z_0AD43369_F2D1_4957_ADEC_37F5B9D6B854_.wvu.FilterData">'Base Trabajada'!$A$1:$R$1100</definedName>
    <definedName hidden="1" localSheetId="6" name="Z_0AD43369_F2D1_4957_ADEC_37F5B9D6B854_.wvu.FilterData">'Tabla dinámica '!$A$9:$D$16</definedName>
    <definedName hidden="1" localSheetId="6" name="Z_0AD43369_F2D1_4957_ADEC_37F5B9D6B854_.wvu.FilterData">'Tabla dinámica '!$A$21:$D$24</definedName>
    <definedName hidden="1" localSheetId="6" name="Z_0AD43369_F2D1_4957_ADEC_37F5B9D6B854_.wvu.FilterData">'Tabla dinámica '!$A$1:$C$4</definedName>
    <definedName hidden="1" localSheetId="6" name="Z_0AD43369_F2D1_4957_ADEC_37F5B9D6B854_.wvu.FilterData">'Tabla dinámica '!$A$33:$C$36</definedName>
    <definedName hidden="1" localSheetId="6" name="Z_0AD43369_F2D1_4957_ADEC_37F5B9D6B854_.wvu.FilterData">'Tabla dinámica '!$A$8:$E$17</definedName>
    <definedName hidden="1" localSheetId="6" name="Z_0AD43369_F2D1_4957_ADEC_37F5B9D6B854_.wvu.FilterData">'Tabla dinámica '!$A$21:$C$28</definedName>
    <definedName hidden="1" localSheetId="6" name="Z_0AD43369_F2D1_4957_ADEC_37F5B9D6B854_.wvu.FilterData">'Tabla dinámica '!$A$33:$C$36</definedName>
    <definedName name="SlicerCache_Table_1_Col_12">#N/A</definedName>
    <definedName name="SlicerCache_Table_2_Col_1">#N/A</definedName>
    <definedName name="SlicerCache_Table_3_Col_1">#N/A</definedName>
    <definedName name="SlicerCache_Table_5_Col_1">#N/A</definedName>
    <definedName name="SlicerCache_Table_6_Col_1">#N/A</definedName>
    <definedName name="SlicerCache_Table_7_Col_1">#N/A</definedName>
    <definedName name="SlicerCache_Table_8_Col_1">#N/A</definedName>
  </definedNames>
  <calcPr/>
  <customWorkbookViews>
    <customWorkbookView activeSheetId="0" maximized="1" windowHeight="0" windowWidth="0" guid="{0AD43369-F2D1-4957-ADEC-37F5B9D6B854}" name="Filtro 1"/>
  </customWorkbookViews>
  <pivotCaches>
    <pivotCache cacheId="0" r:id="rId13"/>
  </pivotCaches>
  <extLst>
    <ext uri="GoogleSheetsCustomDataVersion2">
      <go:sheetsCustomData xmlns:go="http://customooxmlschemas.google.com/" r:id="rId21" roundtripDataChecksum="0Jai8bMu67tttvI14/8NJwjaOT/Yoi1VimGP/KdQGZQ="/>
    </ext>
    <ext uri="{46BE6895-7355-4a93-B00E-2C351335B9C9}">
      <x15:slicerCaches>
        <x14:slicerCache r:id="rId14"/>
        <x14:slicerCache r:id="rId15"/>
        <x14:slicerCache r:id="rId16"/>
        <x14:slicerCache r:id="rId17"/>
        <x14:slicerCache r:id="rId18"/>
        <x14:slicerCache r:id="rId19"/>
        <x14:slicerCache r:id="rId20"/>
      </x15:slicerCaches>
    </ext>
  </extLst>
</workbook>
</file>

<file path=xl/sharedStrings.xml><?xml version="1.0" encoding="utf-8"?>
<sst xmlns="http://schemas.openxmlformats.org/spreadsheetml/2006/main" count="13425" uniqueCount="1110">
  <si>
    <t>CONTENIDO DE BASE DE DATOS</t>
  </si>
  <si>
    <t>Detalle de contenido de cada columna</t>
  </si>
  <si>
    <t>COLUMNA</t>
  </si>
  <si>
    <t>DESCRIPCION</t>
  </si>
  <si>
    <t>FECHA DE LLEGADA</t>
  </si>
  <si>
    <t>fecha que ingresa el pasaporte a las oficinas de correo</t>
  </si>
  <si>
    <t>NUMERO DE GUIA AEREA</t>
  </si>
  <si>
    <t>número de seguimiento del envío</t>
  </si>
  <si>
    <t>NOMBRE</t>
  </si>
  <si>
    <t>nombre de la persona que retira fisicamente</t>
  </si>
  <si>
    <t>DNI</t>
  </si>
  <si>
    <t>dni de la persona que retira fisicamente</t>
  </si>
  <si>
    <t>FECHA DE ENTREGA</t>
  </si>
  <si>
    <t>fecha de entrega del pasaporte al titular/apoderado</t>
  </si>
  <si>
    <t>QUIEN RETIRA</t>
  </si>
  <si>
    <t>titular o apoderado</t>
  </si>
  <si>
    <t>CANTIDAD DE PASAPORTES</t>
  </si>
  <si>
    <t>cantidad de pasaportes dentro de esa guía aérea</t>
  </si>
  <si>
    <t>CIUDAD</t>
  </si>
  <si>
    <t>ciudad de residencia del titular del pasaporte</t>
  </si>
  <si>
    <t>CORREO</t>
  </si>
  <si>
    <t>correo por el que se envía el pasaporte</t>
  </si>
  <si>
    <t>AGENTE QUE ENTREGA</t>
  </si>
  <si>
    <t>agentre del correo que entrega el pasaporte</t>
  </si>
  <si>
    <t>ORIGEN PASAPORTE</t>
  </si>
  <si>
    <t>país de origen de ese pasaporte</t>
  </si>
  <si>
    <t>TIPO DE PASAPORTE</t>
  </si>
  <si>
    <t>si es 1 pasaporte es "individual" y si son 2 o mas pasaportes es "familiar"</t>
  </si>
  <si>
    <t>MES DE ENTREGA</t>
  </si>
  <si>
    <t>mes en que s entregó el pasaporte</t>
  </si>
  <si>
    <t>AÑO DE ENTREGA</t>
  </si>
  <si>
    <t>año en el que se entregó el pasaporte</t>
  </si>
  <si>
    <t>CONTINENTE</t>
  </si>
  <si>
    <t>continente del país al que pertenece el pasaporte</t>
  </si>
  <si>
    <t>SEMESTRE DE ENTREGA</t>
  </si>
  <si>
    <t>S1 si se entregó en el primer semestre y S2 si fue en el segundo semestres</t>
  </si>
  <si>
    <t>CUATRIMESTRE</t>
  </si>
  <si>
    <t>número de cuatrimestre de entrega</t>
  </si>
  <si>
    <t xml:space="preserve">TIPO DE CUATRIMESTRE </t>
  </si>
  <si>
    <t>Q1 si se entregó en el primer cuatrimestre,Q2 si se entregó en el segundo y Q3 si se entregó en el tercero</t>
  </si>
  <si>
    <t>PROYECTO FINAL EXCEL</t>
  </si>
  <si>
    <t>Es una base que contiene información de la destribución de Pasaportes en la provincia de Tucumán. Es un data set ficticio que armé yo misma.</t>
  </si>
  <si>
    <t>Esta funte d datos tiene la finalidad de mostrar la cantidad de pasaportes que se entrgaron en el año 2022 y 2023 y cuales fueron las empresas de correo que hieron la entrega.</t>
  </si>
  <si>
    <t>1- se descargó la base de datos</t>
  </si>
  <si>
    <t>2- se corrigieron datos</t>
  </si>
  <si>
    <t>3-se validaron datos en cada columna</t>
  </si>
  <si>
    <t>4-se agregó columna de Tipo de pasaporte con FUNCION.SI</t>
  </si>
  <si>
    <t>5-se agregó columna de Mes de entrega con FUNCION MES</t>
  </si>
  <si>
    <t>6-se agregó columna de Año de entrega con FUNCION AÑO</t>
  </si>
  <si>
    <t>7-se agregó la columna de Continente con FUNCION BUSCARV</t>
  </si>
  <si>
    <t>8-se agregó la columna SEMESTRE DE ENTREGA con FUNCION SI ANIDADA</t>
  </si>
  <si>
    <t>9-se agregó la columna TIPO DE CUATRIMESTRE con FUNCION SI ANIDADA</t>
  </si>
  <si>
    <t>10-se dio formato tabla</t>
  </si>
  <si>
    <t>11-se validaron las columnas</t>
  </si>
  <si>
    <t>12-se respondieron las preguntas con sus respectivas funciones</t>
  </si>
  <si>
    <t>13-se agregó la hoja Dashboard</t>
  </si>
  <si>
    <t>14-se generaron los graficos para responder sus respectivas preguntas</t>
  </si>
  <si>
    <t>Fecha de llegada</t>
  </si>
  <si>
    <t>Numero de guia</t>
  </si>
  <si>
    <t>Nombre</t>
  </si>
  <si>
    <t>Dni</t>
  </si>
  <si>
    <t>Fecha de entrega</t>
  </si>
  <si>
    <t>Quien retira</t>
  </si>
  <si>
    <t>Cantidad de pasaportes</t>
  </si>
  <si>
    <t>Ciudad</t>
  </si>
  <si>
    <t>Correo</t>
  </si>
  <si>
    <t>Agente que entrega</t>
  </si>
  <si>
    <t>origen pasaporte</t>
  </si>
  <si>
    <t>KARINA ROCIO CHEMES</t>
  </si>
  <si>
    <t>titular</t>
  </si>
  <si>
    <t>concepcion</t>
  </si>
  <si>
    <t>dhl</t>
  </si>
  <si>
    <t>fernando</t>
  </si>
  <si>
    <t>EEUU</t>
  </si>
  <si>
    <t>SOTELO HERNAN JOSE EDUARDO</t>
  </si>
  <si>
    <t>MARIA DE LAS NIEVES BECERRA</t>
  </si>
  <si>
    <t>apoderado</t>
  </si>
  <si>
    <t>fedex</t>
  </si>
  <si>
    <t>FRANCISCO CHOQUIS</t>
  </si>
  <si>
    <t>romina</t>
  </si>
  <si>
    <t>MIROLO SOFIA ALEJANDRA</t>
  </si>
  <si>
    <t>aguilares</t>
  </si>
  <si>
    <t>delfina mizrahi</t>
  </si>
  <si>
    <t>mariana</t>
  </si>
  <si>
    <t>ESPAÑA</t>
  </si>
  <si>
    <t>RAFAEL TOBIAS BULACIO</t>
  </si>
  <si>
    <t>MARIA GRACIELA LAVADO</t>
  </si>
  <si>
    <t>monteros</t>
  </si>
  <si>
    <t>flash</t>
  </si>
  <si>
    <t>augusto pena</t>
  </si>
  <si>
    <t>ITALIA</t>
  </si>
  <si>
    <t>RAUL ALFREDO AGUIRRE</t>
  </si>
  <si>
    <t>alberdi</t>
  </si>
  <si>
    <t>gabriela</t>
  </si>
  <si>
    <t>MARIA CECILIA TORRES DE AGUIRRE</t>
  </si>
  <si>
    <t>SUSANA FUENTES</t>
  </si>
  <si>
    <t>cinthia natalia nuñez</t>
  </si>
  <si>
    <t>JORGE ESTEBAN EGOZCUE</t>
  </si>
  <si>
    <t>desire</t>
  </si>
  <si>
    <t>FRANCIA</t>
  </si>
  <si>
    <t>Juan sebastian brite salazar</t>
  </si>
  <si>
    <t>patricio ascarate</t>
  </si>
  <si>
    <t>martin allo</t>
  </si>
  <si>
    <t>ALEMANIA</t>
  </si>
  <si>
    <t>MARTIN RODRIGO ALEXANDER</t>
  </si>
  <si>
    <t>HERNAN PEREZ</t>
  </si>
  <si>
    <t>rio chico</t>
  </si>
  <si>
    <t>CANADA</t>
  </si>
  <si>
    <t>CARLOS MARIA APUD</t>
  </si>
  <si>
    <t>martina luciana diaz</t>
  </si>
  <si>
    <t>SALTOR MARIA JOSE DE FATIMA</t>
  </si>
  <si>
    <t>LEIVA RAQUEL MARGARITA DEL VALLE</t>
  </si>
  <si>
    <t>medinas</t>
  </si>
  <si>
    <t>maria agustina gray</t>
  </si>
  <si>
    <t>GUADALUPE GONZALEZ DEL PINO GUERCI</t>
  </si>
  <si>
    <t>MARIA EUGENIA GUZMAN ARIAS</t>
  </si>
  <si>
    <t>capital</t>
  </si>
  <si>
    <t>alvaro agustin alanis</t>
  </si>
  <si>
    <t>GISELE TEIXEIRA GOMES</t>
  </si>
  <si>
    <t>SILVANA ELIZABETH DIAZ</t>
  </si>
  <si>
    <t>MATEO MARTIN NORIEGA</t>
  </si>
  <si>
    <t>PABLO MARIOTTI</t>
  </si>
  <si>
    <t>ana lucia lamagni</t>
  </si>
  <si>
    <t>salustiano robles teran</t>
  </si>
  <si>
    <t>solana arce</t>
  </si>
  <si>
    <t>trinidad maria safarsi</t>
  </si>
  <si>
    <t>cristian frias silva</t>
  </si>
  <si>
    <t>CLAUDIA MARIA NOEL BENUD</t>
  </si>
  <si>
    <t>leonardo francisco ulla</t>
  </si>
  <si>
    <t>MARIA LAURA VALDEZ</t>
  </si>
  <si>
    <t>santiago edurado gallo</t>
  </si>
  <si>
    <t>maximo jose moukarzel</t>
  </si>
  <si>
    <t>JOSE AGUSTIN GRAMAJO</t>
  </si>
  <si>
    <t>PALOMARES MARTINEZ TOMAS JOSE</t>
  </si>
  <si>
    <t>SANTIAGO PIO NIKLISON</t>
  </si>
  <si>
    <t>bruno alfredo marranzino</t>
  </si>
  <si>
    <t>JORGE ALEJANDRO LEMBO</t>
  </si>
  <si>
    <t>MARCOS ALEJANDRO CHEMEZ</t>
  </si>
  <si>
    <t>FRANCO GARCIA</t>
  </si>
  <si>
    <t>ALAN ARGENTINO AIBAR</t>
  </si>
  <si>
    <t>DAYANA FERNANDA SALAZAR</t>
  </si>
  <si>
    <t>lucas agustin chamut</t>
  </si>
  <si>
    <t>sheila yazmin jalil</t>
  </si>
  <si>
    <t>CAROLINA ASIS ARCOS</t>
  </si>
  <si>
    <t>LEONEL REINALDO MARIANI</t>
  </si>
  <si>
    <t>HUMERTO JAVIER GARLATI</t>
  </si>
  <si>
    <t>LUCAS DAMIAN CONTRERAS</t>
  </si>
  <si>
    <t>ALEJANDRO MATIAS MENDIONDO</t>
  </si>
  <si>
    <t>NORMA SILVIA JORRAT</t>
  </si>
  <si>
    <t>maria sofia presti</t>
  </si>
  <si>
    <t>SALUSTIANO ROBLES TERAN</t>
  </si>
  <si>
    <t>JULIETA ANDREA FERNANDEZ VIÑA</t>
  </si>
  <si>
    <t>IVANNA NOELIA YANCE</t>
  </si>
  <si>
    <t>PATRICIO ALEJANDRO DEL VALLE NUÑEZ</t>
  </si>
  <si>
    <t>JOSE AGUSTIN MARQUETTI</t>
  </si>
  <si>
    <t>JIMENEZ JOSE LUIS ANTONIO</t>
  </si>
  <si>
    <t>GABRIEL DARIO ALCORTA</t>
  </si>
  <si>
    <t>GASTON LEANDRO GATTI</t>
  </si>
  <si>
    <t>SANTIAGO DIAZ SPOLITA</t>
  </si>
  <si>
    <t>SAMIA GISELLE GHANEM</t>
  </si>
  <si>
    <t>JOSEFINA VIEJOBUENO</t>
  </si>
  <si>
    <t>LUCIA MARIA LAVILLA</t>
  </si>
  <si>
    <t>EMILSE REARTE</t>
  </si>
  <si>
    <t>ramiro bernardo sanchez</t>
  </si>
  <si>
    <t>alvaro javier gomez</t>
  </si>
  <si>
    <t>NATALIA MURIEL VIC</t>
  </si>
  <si>
    <t>JESSICA MELINA DIAZ</t>
  </si>
  <si>
    <t>marisa noelia jaime</t>
  </si>
  <si>
    <t>tomas jose buffo</t>
  </si>
  <si>
    <t>milagros denise del valle ramos</t>
  </si>
  <si>
    <t>MARIA FLORENCIA GOMEZ DE MARCO</t>
  </si>
  <si>
    <t>elva patricia fatima de la orden</t>
  </si>
  <si>
    <t>JOSE AGUSTIN CARRIZO</t>
  </si>
  <si>
    <t>florencia agustina medina</t>
  </si>
  <si>
    <t>andrea fernanda alderete bosco</t>
  </si>
  <si>
    <t>ARIEL FABIAN RIMER</t>
  </si>
  <si>
    <t>ANA VICTORIA MOLINA</t>
  </si>
  <si>
    <t>NICOLE ESPERANZA ARMISEN FLURY</t>
  </si>
  <si>
    <t>MARIA CAROLINA PAIZ</t>
  </si>
  <si>
    <t>LUZ MICAELA VILLAFAÑE</t>
  </si>
  <si>
    <t>DIEGO MATIAS SUAREZ</t>
  </si>
  <si>
    <t>JOSE IGNACIO ROVATI</t>
  </si>
  <si>
    <t>jose luis fornanciari</t>
  </si>
  <si>
    <t>CECELIA ELIZABETH RIGOURD</t>
  </si>
  <si>
    <t>LUCIA DEL VALLE ALCORTA</t>
  </si>
  <si>
    <t>nadia alejandrina dragañenko</t>
  </si>
  <si>
    <t xml:space="preserve">DULIA RAMONA ALCORTA </t>
  </si>
  <si>
    <t>marta imelda del pilar alcorta</t>
  </si>
  <si>
    <t>JULIETA ZEITUNE</t>
  </si>
  <si>
    <t>JUAN MANUEL ZOTELO PEREZ</t>
  </si>
  <si>
    <t>maria cecilia vides</t>
  </si>
  <si>
    <t>patricia monica jorrat</t>
  </si>
  <si>
    <t>francisco juan marcelo rodriguez</t>
  </si>
  <si>
    <t>nadia yohana gomez</t>
  </si>
  <si>
    <t>agustin m iranda bussola</t>
  </si>
  <si>
    <t>maria eugenia rodriguez</t>
  </si>
  <si>
    <t>liliana graciela toledo</t>
  </si>
  <si>
    <t>hayde saracho</t>
  </si>
  <si>
    <t>maria del rosario bustos</t>
  </si>
  <si>
    <t>maria belen robles guerrero</t>
  </si>
  <si>
    <t>SILVIA BOERO</t>
  </si>
  <si>
    <t>jacoba josefina perez de nucci</t>
  </si>
  <si>
    <t>ana florencia carrizo crisorio</t>
  </si>
  <si>
    <t>tomas moallah</t>
  </si>
  <si>
    <t>SABRINA SOLEDAD SOSA</t>
  </si>
  <si>
    <t>VICTOR ARMANDO MASERO</t>
  </si>
  <si>
    <t>CLAUDIO MACIEL MEDINA</t>
  </si>
  <si>
    <t>MARIA VALERIA CEPPI</t>
  </si>
  <si>
    <t>GERMAN AUGUSTO MARTINEZ QUINTERO</t>
  </si>
  <si>
    <t>iara osatinsky</t>
  </si>
  <si>
    <t>RICHARD AUGUSTO</t>
  </si>
  <si>
    <t>carina evangelina elias</t>
  </si>
  <si>
    <t>tomas de jesus castellanos</t>
  </si>
  <si>
    <t>JULIETA DEL CARMEN RUBEN</t>
  </si>
  <si>
    <t>PABLO FEDERICO GUTIERREZ</t>
  </si>
  <si>
    <t>daniel ignacio fe</t>
  </si>
  <si>
    <t>MARIELA ESTER SIR</t>
  </si>
  <si>
    <t>TAILANDIA</t>
  </si>
  <si>
    <t>ANDREA ELIZABETH SORAIRE</t>
  </si>
  <si>
    <t>ALEJANDRO JAVIER CONTAR</t>
  </si>
  <si>
    <t>ROCIO LETICIA MARTINEZ</t>
  </si>
  <si>
    <t>RAUL FERNANDO GASTON GRAMAJO</t>
  </si>
  <si>
    <t>susana del valle granito</t>
  </si>
  <si>
    <t>MARIA SILVIA GALVEZ</t>
  </si>
  <si>
    <t>MARIA GABRIELA ZELAYA REYNOSO</t>
  </si>
  <si>
    <t>MIRTA SONIA RODRIGUEZ</t>
  </si>
  <si>
    <t>ignacio jose avellaneda</t>
  </si>
  <si>
    <t>MARIA DOLORES ASTRADA</t>
  </si>
  <si>
    <t>MARIA AGOSTINA FIGUEROA</t>
  </si>
  <si>
    <t>SANDRA DEL VALLE MIRANDA</t>
  </si>
  <si>
    <t>sofia carolina lobo</t>
  </si>
  <si>
    <t>claudia patricia abeleira</t>
  </si>
  <si>
    <t xml:space="preserve">eduardo andres de la vega </t>
  </si>
  <si>
    <t>NICOLAS ELIAS</t>
  </si>
  <si>
    <t>emilse lujan ruiz</t>
  </si>
  <si>
    <t>facundo heredia</t>
  </si>
  <si>
    <t>hernan gonzalo wiliszczuk</t>
  </si>
  <si>
    <t>SANTIAGO ROMERO</t>
  </si>
  <si>
    <t>CECILIA DEL CARMEN RAMIREZ</t>
  </si>
  <si>
    <t>lorena maria avellaneda</t>
  </si>
  <si>
    <t>luciana edith ovejero</t>
  </si>
  <si>
    <t>maria cecilia canal martinez</t>
  </si>
  <si>
    <t>ana cecilia barros</t>
  </si>
  <si>
    <t>andrea camila papa</t>
  </si>
  <si>
    <t>franco david alderete</t>
  </si>
  <si>
    <t>BEATRIZ CLAUDIA IRANZO</t>
  </si>
  <si>
    <t>eliana lorena sosa</t>
  </si>
  <si>
    <t>nahiana agostina castro ramis</t>
  </si>
  <si>
    <t>mariel natalia isa</t>
  </si>
  <si>
    <t>maria victoria kern</t>
  </si>
  <si>
    <t>camila diaz ruiz</t>
  </si>
  <si>
    <t>gladys maria giuliano</t>
  </si>
  <si>
    <t>jorge david santucho</t>
  </si>
  <si>
    <t>facundo javier lopez</t>
  </si>
  <si>
    <t>carlos javier ale</t>
  </si>
  <si>
    <t>maria valeria beatriz cenice</t>
  </si>
  <si>
    <t>celina maria david</t>
  </si>
  <si>
    <t>GERONIMO CAPMANY</t>
  </si>
  <si>
    <t>JORGE SEBASTIAN REINOSO ROJO</t>
  </si>
  <si>
    <t>ELINA AMANDA BOTTO FIORA</t>
  </si>
  <si>
    <t>jorge hugo vazquez</t>
  </si>
  <si>
    <t>maria josefina gonzalez</t>
  </si>
  <si>
    <t>JOSE LUIS RODRIGUEZ</t>
  </si>
  <si>
    <t>LUCAS CESAR ORELLANO GARCIA</t>
  </si>
  <si>
    <t>esteban daniel de aduriz</t>
  </si>
  <si>
    <t>FRANCISCO MARTIN DELGADO</t>
  </si>
  <si>
    <t>NORMA IASMIN ABDULHADI</t>
  </si>
  <si>
    <t>veronica ines alvarez</t>
  </si>
  <si>
    <t>ENRIQUE RAMON PEREZ</t>
  </si>
  <si>
    <t>MARIA ANTONELLA CARLINO</t>
  </si>
  <si>
    <t>GLADYS ALEJANDRA ACOSTA</t>
  </si>
  <si>
    <t>LOURDES MARIA VIDES JUAREZ</t>
  </si>
  <si>
    <t>MARCOS DARIO DIOLI</t>
  </si>
  <si>
    <t>dorys mirtha ibarra</t>
  </si>
  <si>
    <t xml:space="preserve">SILVANA YENHY MARILYN HERRERA </t>
  </si>
  <si>
    <t>MAURICIO EUGENIO VILLAFANE</t>
  </si>
  <si>
    <t>marta graciela ledesma</t>
  </si>
  <si>
    <t>juan manuel maris</t>
  </si>
  <si>
    <t>SILVANA FLORENCIA HERRERA</t>
  </si>
  <si>
    <t xml:space="preserve">emiliano jose hernandez </t>
  </si>
  <si>
    <t>marcelo enrique zucal</t>
  </si>
  <si>
    <t>maria jose rocchia</t>
  </si>
  <si>
    <t>MARGARITA MARIA TOLEDO</t>
  </si>
  <si>
    <t>adriana graciela peralta</t>
  </si>
  <si>
    <t>fabiana elizabeth gramajo</t>
  </si>
  <si>
    <t>JUAN VICENTE LONAC</t>
  </si>
  <si>
    <t>MARIA JULIA NOBLEGA</t>
  </si>
  <si>
    <t>FIORELLA VICENTE RIVELLA</t>
  </si>
  <si>
    <t>maria alejandra ruiz</t>
  </si>
  <si>
    <t>GONZALO FONT</t>
  </si>
  <si>
    <t>nora emilia naufe</t>
  </si>
  <si>
    <t>miguel orlando gomez</t>
  </si>
  <si>
    <t>rufino jose paz posse</t>
  </si>
  <si>
    <t>MARIA ALEJANDRA RUIZ</t>
  </si>
  <si>
    <t>NORA RUTH SPINDLER</t>
  </si>
  <si>
    <t>JACQUELINE ELIZABETH GALO</t>
  </si>
  <si>
    <t>JUAN PABLO GONZALEZ QUINTEROS</t>
  </si>
  <si>
    <t>MARIANA NAUFE</t>
  </si>
  <si>
    <t>hugo japaze</t>
  </si>
  <si>
    <t>ROBERTO ALEJANDRO RUIZ OLIVERA</t>
  </si>
  <si>
    <t>JULIETA GUZZO BLANNO</t>
  </si>
  <si>
    <t>GRACIELA MARIA SALAS PEREA</t>
  </si>
  <si>
    <t>rosa raquel caram</t>
  </si>
  <si>
    <t>ANALIA KARINA SALAZAR</t>
  </si>
  <si>
    <t>evaristo alejandro padilla</t>
  </si>
  <si>
    <t>MARIA EUGENIA PIZZO</t>
  </si>
  <si>
    <t>ILEANA PESA</t>
  </si>
  <si>
    <t>JOSE NICOLAS KHOURI</t>
  </si>
  <si>
    <t>JACQUELINE MARIEL UNZAGA</t>
  </si>
  <si>
    <t>JORGE DANIEL FORNES</t>
  </si>
  <si>
    <t>FERNANDA MARIA ADELA ARRAYA</t>
  </si>
  <si>
    <t>ARIANA DEL VALLE ALVAREZ SOTO</t>
  </si>
  <si>
    <t>VIVIANA CAROLINA AGUIRRE VILLARREAL</t>
  </si>
  <si>
    <t>LUIS ENRIQUE CORREA URUBURU</t>
  </si>
  <si>
    <t>BENJAMIN AVELLANEDA GIANCOTTI</t>
  </si>
  <si>
    <t>GONZALO CASTAÑO</t>
  </si>
  <si>
    <t>CLAUDIA PATRICIA NAVARRO MAXUD</t>
  </si>
  <si>
    <t>GRISEL ANALIA AMHERD</t>
  </si>
  <si>
    <t>adrian</t>
  </si>
  <si>
    <t>MICAELA BORQUEZ</t>
  </si>
  <si>
    <t>RAFAEL GERARDO BRITO</t>
  </si>
  <si>
    <t>PABLO GABRIEL CATALDO</t>
  </si>
  <si>
    <t>ELIZABETH ZULEMA LOPEZ</t>
  </si>
  <si>
    <t>MARIA DE LOS ANGELES NAVARRO</t>
  </si>
  <si>
    <t>MARIA JULIETA HERNANDEZ</t>
  </si>
  <si>
    <t>AZUCENA BEATRIZ YBARRA</t>
  </si>
  <si>
    <t>MARIA GISELA ROCHA</t>
  </si>
  <si>
    <t>ROBERTO MARINO ZAMORANO</t>
  </si>
  <si>
    <t>JORGE MARCELO JUAREZ VELIZ</t>
  </si>
  <si>
    <t>ALEXIA MARIA ORO</t>
  </si>
  <si>
    <t>MARIA AGUSTINA PRADO</t>
  </si>
  <si>
    <t>SEBASTIAN GASPARINI</t>
  </si>
  <si>
    <t>MARIA EMILIA MORTORELU ENRICO</t>
  </si>
  <si>
    <t>NADIA GISEL VALDEZ</t>
  </si>
  <si>
    <t>JORGE NICOLAS CARMELICH</t>
  </si>
  <si>
    <t>MATIAS BERNARDO MIRANDA BRITO</t>
  </si>
  <si>
    <t>JOSE JAVIER DUHALDE</t>
  </si>
  <si>
    <t>RICARDO ALBERTO GUEVARA</t>
  </si>
  <si>
    <t>JUAN CARLOS ESPEJO</t>
  </si>
  <si>
    <t>MARTIN SEBASTIAN MEDINA CORBALAN</t>
  </si>
  <si>
    <t>MARIA BELEN FERNANDEZ BRAVO</t>
  </si>
  <si>
    <t>LURDES FLORENCIA GALVAN</t>
  </si>
  <si>
    <t>ARACELIS PATRICIA GARCIA</t>
  </si>
  <si>
    <t>NICOLAS FASOLIS</t>
  </si>
  <si>
    <t>MARIA CONSTANZA ROMERO</t>
  </si>
  <si>
    <t>GUSTAVO FELIX SETLITZA</t>
  </si>
  <si>
    <t>LUCIA ROVARINI</t>
  </si>
  <si>
    <t>MARGARITA VIRGINIA TOLEDO</t>
  </si>
  <si>
    <t>SANDRA MARIELA PIZARRO</t>
  </si>
  <si>
    <t>JONATHAN HERNAN VELARDEZ</t>
  </si>
  <si>
    <t>SUSANA AMELIA BECKER</t>
  </si>
  <si>
    <t>FEDERICO CARLOS AUGUSTO CARRIZO</t>
  </si>
  <si>
    <t>CAMILO ALBERTO CARRIZO</t>
  </si>
  <si>
    <t>JOSE MARIA GONGORA</t>
  </si>
  <si>
    <t>RICARDO BARALO</t>
  </si>
  <si>
    <t>MARIA BIBIANA OLALLA</t>
  </si>
  <si>
    <t>MARIANA DEL HUERTO SANCHEZ MATIAS</t>
  </si>
  <si>
    <t>DIEGO JAVIER DRUCK</t>
  </si>
  <si>
    <t>ANA MARIA GUTIERREZ</t>
  </si>
  <si>
    <t>MARIANA OMODEO</t>
  </si>
  <si>
    <t>JUAN PABLO MOLAS Y MOLAS</t>
  </si>
  <si>
    <t>ALEJANDRO ANIBAL DUHALDE</t>
  </si>
  <si>
    <t>MARIA LOURDES SOTILLO</t>
  </si>
  <si>
    <t>MARIA ROSA VIAÑA</t>
  </si>
  <si>
    <t>FRANCO EMILIO DIAZ</t>
  </si>
  <si>
    <t>NICOLAS GARZON</t>
  </si>
  <si>
    <t>LUCIANA PAROLO</t>
  </si>
  <si>
    <t>maximo vicedo serrano</t>
  </si>
  <si>
    <t>victor martin costilla</t>
  </si>
  <si>
    <t>maria laura medina</t>
  </si>
  <si>
    <t>ELIANA SOFIA FRIAS CASAL</t>
  </si>
  <si>
    <t>MICAELA GANDUR</t>
  </si>
  <si>
    <t>JORGE GABRIEL CHRESTIA</t>
  </si>
  <si>
    <t>LUCAS EZEQUIEL MARENGO</t>
  </si>
  <si>
    <t>JORGE ANTONIO PEREZ</t>
  </si>
  <si>
    <t>enrique manuel bollero</t>
  </si>
  <si>
    <t>maria elena del valle avila</t>
  </si>
  <si>
    <t>PATRICIA VIRGINIA ALBANIL</t>
  </si>
  <si>
    <t>alejandra ruiz navarro</t>
  </si>
  <si>
    <t>ADRIANA ISABEL CASTRO</t>
  </si>
  <si>
    <t>SILVIA CRISTINA CUTO</t>
  </si>
  <si>
    <t>diego garcia santillan</t>
  </si>
  <si>
    <t>FLAVIA PAEZ DE LA TORRE</t>
  </si>
  <si>
    <t>MARIA JOSE ROCCHIA NOVILLO</t>
  </si>
  <si>
    <t>MARTINA PEREZ PELLISA</t>
  </si>
  <si>
    <t>SILVIA BETRIZ RODRIGUEZ</t>
  </si>
  <si>
    <t>teresa fatima neme</t>
  </si>
  <si>
    <t>fabrizio colombo</t>
  </si>
  <si>
    <t>MARIA CONCEPCION IRIARTE</t>
  </si>
  <si>
    <t>XIMENA FERNANDA CACERES OLIVERA</t>
  </si>
  <si>
    <t>martina leonela banega</t>
  </si>
  <si>
    <t>NICOLAS BERNARDO</t>
  </si>
  <si>
    <t>SERGIO JAVIER COSTA</t>
  </si>
  <si>
    <t>rosa ester alderete</t>
  </si>
  <si>
    <t>LOURDES BRUCHMANN</t>
  </si>
  <si>
    <t xml:space="preserve">diego jose oscar barrionuevo </t>
  </si>
  <si>
    <t>MARIA AGUSTINA GONZALEZ</t>
  </si>
  <si>
    <t>PIERINA DAIANA BENNASAR</t>
  </si>
  <si>
    <t xml:space="preserve">jose gregorio arias </t>
  </si>
  <si>
    <t>TOMAS BRUCHMANN</t>
  </si>
  <si>
    <t>beatriz eugenia martinez colombres</t>
  </si>
  <si>
    <t>MARIA EMILIA MARTORELL ENRICO</t>
  </si>
  <si>
    <t>ELIZABET DEL MILAGRO GOMEZ</t>
  </si>
  <si>
    <t>SANTIAGO GASTON ARIAS</t>
  </si>
  <si>
    <t>ARIANNA SIMESSEN DE BIELKE</t>
  </si>
  <si>
    <t>PABLO JAVIER AGU</t>
  </si>
  <si>
    <t>martin alejo gavioli</t>
  </si>
  <si>
    <t>MARIA DE LAS MERCEDES QUIROGA</t>
  </si>
  <si>
    <t>lucas mariano azubel</t>
  </si>
  <si>
    <t>MARIA EUGENIA CHAYA</t>
  </si>
  <si>
    <t>STELLA MARIS JUAREZ</t>
  </si>
  <si>
    <t>nicolas martin bennasar</t>
  </si>
  <si>
    <t>VANESA RUTH SERASOLA</t>
  </si>
  <si>
    <t>PRISCILLA MARISOL HUSSEM</t>
  </si>
  <si>
    <t>FRANCISCO VALERIANO CHIPULINA MARTINEZ</t>
  </si>
  <si>
    <t>GUADALUPE ZARATE VIZGARRA</t>
  </si>
  <si>
    <t>maria de los angeles cambas bassani</t>
  </si>
  <si>
    <t>luiggi quinteros</t>
  </si>
  <si>
    <t>candelaria maria romero</t>
  </si>
  <si>
    <t>esteban rene more</t>
  </si>
  <si>
    <t>ELIDA ADELINA IBAÑEZ</t>
  </si>
  <si>
    <t>MARIA SOLEDAD NADRA</t>
  </si>
  <si>
    <t>constanza maria valderrabano</t>
  </si>
  <si>
    <t>flavia milene mamani</t>
  </si>
  <si>
    <t>LUIGGI QUINTEROS</t>
  </si>
  <si>
    <t>luis ignacio cilia</t>
  </si>
  <si>
    <t>MIGUEL FERNANDO CENA</t>
  </si>
  <si>
    <t>GIULIANNA PERANTONI</t>
  </si>
  <si>
    <t>MARIANO ANDRES ORTIZ DANTUR</t>
  </si>
  <si>
    <t>MARIA LOURDES MARTINEZ MELEK</t>
  </si>
  <si>
    <t>CLAUDIA SUSANA DEL VALLE PEREZ</t>
  </si>
  <si>
    <t>FABIANA VALERIA CASARES</t>
  </si>
  <si>
    <t>SILVIA GRACIELA DECIMA</t>
  </si>
  <si>
    <t>MARCELA DEL VALLE ROCHA</t>
  </si>
  <si>
    <t>silvia gomez</t>
  </si>
  <si>
    <t>MILAGRO BUFFO</t>
  </si>
  <si>
    <t>elma sofia capurro</t>
  </si>
  <si>
    <t>MARIA PIA MALTEZ CAMPOPIANO</t>
  </si>
  <si>
    <t>maria de los milagros lopez</t>
  </si>
  <si>
    <t>MARIA LUCIA PAZ ORTIZ</t>
  </si>
  <si>
    <t>maria del milagro prados ottonello</t>
  </si>
  <si>
    <t>JOAQUIN EXEQUIEL ALVAREZ</t>
  </si>
  <si>
    <t>OLGA JOSEFINA APUD</t>
  </si>
  <si>
    <t>MARIA CRISTINA SCHAEFER</t>
  </si>
  <si>
    <t>NICOLAS MARTIN BENNASAR</t>
  </si>
  <si>
    <t>eliana del valle ferreyra</t>
  </si>
  <si>
    <t>julieta reverso</t>
  </si>
  <si>
    <t>HERNAN DARIO ALVAREZ</t>
  </si>
  <si>
    <t>JOSE SEBASTIAN LUNA</t>
  </si>
  <si>
    <t>SERGIO OSVALDO CARRO</t>
  </si>
  <si>
    <t>javier schammas bosonetto</t>
  </si>
  <si>
    <t>SOFIA DEL VALLE CORRAL</t>
  </si>
  <si>
    <t>MATIAS SEBASTIAN COLACIOPPO</t>
  </si>
  <si>
    <t>ANDREA DONG FANG KAO RUIZ</t>
  </si>
  <si>
    <t>GRACIELA MARIA GIMENEZ LASCANO</t>
  </si>
  <si>
    <t>mariana lopez</t>
  </si>
  <si>
    <t>DARIO GUSTAVO SARUF</t>
  </si>
  <si>
    <t>NOELIA SOLEDAD GOMEZ</t>
  </si>
  <si>
    <t>elizabet jordana lopez</t>
  </si>
  <si>
    <t>MARIA DE LUORDES PARRA ALONSO</t>
  </si>
  <si>
    <t>MARIA FERNANDA ROMERO</t>
  </si>
  <si>
    <t>MARIA EUGENIA ORELLANA</t>
  </si>
  <si>
    <t>PAULA ANDREA D'AGNILLO</t>
  </si>
  <si>
    <t>MARIA ANGELES CORDOBA</t>
  </si>
  <si>
    <t>MARIA ROSA BARROS</t>
  </si>
  <si>
    <t>MARIA FLORENCIA PORTUESE</t>
  </si>
  <si>
    <t>ELENA ROSA DEL VALLE LOGARZO</t>
  </si>
  <si>
    <t>SILVIA LETICIA SAGUIR</t>
  </si>
  <si>
    <t>ESTANISLAO TORRES CAMPI</t>
  </si>
  <si>
    <t>ALBERTO ANTONIO CENA</t>
  </si>
  <si>
    <t>MARIA EUGENIA MARTIN</t>
  </si>
  <si>
    <t>GASTON ENDRES VALES</t>
  </si>
  <si>
    <t>blanca laurentina del carmen arrieta</t>
  </si>
  <si>
    <t>maria florencia alonso</t>
  </si>
  <si>
    <t>CAROLINA FATIMA GONZALEZ</t>
  </si>
  <si>
    <t>maria valentina yermak</t>
  </si>
  <si>
    <t>IVANA FABIOLA BOBILLO MIROLI</t>
  </si>
  <si>
    <t>LUCIANA CAROLINA GURRERO</t>
  </si>
  <si>
    <t>JORGE GUSTAVO JOSE</t>
  </si>
  <si>
    <t>DANIEL ROQUE INGALINA</t>
  </si>
  <si>
    <t>gilda de lourdes gonzalez</t>
  </si>
  <si>
    <t>CARLOS EXEQUIEL DI ASCENZI</t>
  </si>
  <si>
    <t>PABLO MARTIN FERNANDEZ</t>
  </si>
  <si>
    <t>SILVIA LILIANA FERRERO</t>
  </si>
  <si>
    <t>MARIA ELVIRA FORENZA</t>
  </si>
  <si>
    <t>MARIA MACARENA ALVAREZ CASTILLO</t>
  </si>
  <si>
    <t>maria julia ferro</t>
  </si>
  <si>
    <t>agostina garrido risso patron</t>
  </si>
  <si>
    <t>daniela anahi figueroa</t>
  </si>
  <si>
    <t>maria jose robles</t>
  </si>
  <si>
    <t>pablo andres rotger</t>
  </si>
  <si>
    <t>VERONICA POURRIEUX</t>
  </si>
  <si>
    <t>daniela sofia chagay</t>
  </si>
  <si>
    <t>VICTOR ANDRES HEREDIA</t>
  </si>
  <si>
    <t>EBE MARTA DEL VALLE LOPEZ PIOSSEK</t>
  </si>
  <si>
    <t>JUAN PABLO CARAM</t>
  </si>
  <si>
    <t>MARIA PIA RODRIGUEZ ZELAYA</t>
  </si>
  <si>
    <t>carmen del valle bernat</t>
  </si>
  <si>
    <t>JORGE ALBERTO LAZARTE</t>
  </si>
  <si>
    <t>SUSANA BEATRIZ PIZARRO</t>
  </si>
  <si>
    <t>ANIBAL RICARDO PICON</t>
  </si>
  <si>
    <t>natalia jimena silva</t>
  </si>
  <si>
    <t>alfredo jose barthaburu</t>
  </si>
  <si>
    <t>AUGUSTO JAVIER ROTGER</t>
  </si>
  <si>
    <t>hector enrique tamer</t>
  </si>
  <si>
    <t>oscar jimenez</t>
  </si>
  <si>
    <t>MARTA HANNELOREN CHAGRA DIB</t>
  </si>
  <si>
    <t>maria laura ugarte</t>
  </si>
  <si>
    <t>CARLOS PEDRO BORSOTTO</t>
  </si>
  <si>
    <t>MARIA JOSE IRANZO</t>
  </si>
  <si>
    <t>CLAUDIA ALEJANDRA PUJADAS</t>
  </si>
  <si>
    <t>jorge gustavo jimenez</t>
  </si>
  <si>
    <t>maria eugenia daud</t>
  </si>
  <si>
    <t>HECTOR EDUARDO SIMON</t>
  </si>
  <si>
    <t>camila arroyo</t>
  </si>
  <si>
    <t>ALEJANDRA MARIA HEREDIA ALCORTA</t>
  </si>
  <si>
    <t>CESAR LUIS LEDESMA</t>
  </si>
  <si>
    <t>AZUCENA RAQUEL MALDONADO</t>
  </si>
  <si>
    <t>MARIANA AGUSTINA ROBLES</t>
  </si>
  <si>
    <t>juan manuel guevara</t>
  </si>
  <si>
    <t>maria olga leal</t>
  </si>
  <si>
    <t>DELIA ELENA SIMON</t>
  </si>
  <si>
    <t>LUIS RODOLFO POSSI</t>
  </si>
  <si>
    <t>MARIA LAURA CIOLLI</t>
  </si>
  <si>
    <t>ELSA DEL ROSARIO SILVERA</t>
  </si>
  <si>
    <t>CRISTIAN ESTEBAN DIAZ</t>
  </si>
  <si>
    <t>CARLOS GUSTAVO PALIZA</t>
  </si>
  <si>
    <t>natacha paola chacoff</t>
  </si>
  <si>
    <t>janet micaela regalado</t>
  </si>
  <si>
    <t>JOSE AGUSTIN CHIT</t>
  </si>
  <si>
    <t>ANA CAROLINA FARHAT</t>
  </si>
  <si>
    <t>andrea elizabeth salazar</t>
  </si>
  <si>
    <t>julio cesar amani</t>
  </si>
  <si>
    <t>ALAN EMANUEL AREVALO ZAMORA</t>
  </si>
  <si>
    <t>florencia borgonovo</t>
  </si>
  <si>
    <t>karina rocio chemes</t>
  </si>
  <si>
    <t>MAIA PAULINA IBRI</t>
  </si>
  <si>
    <t>VERONICA NATALIA JALIL</t>
  </si>
  <si>
    <t>guadalupe maria dato</t>
  </si>
  <si>
    <t>GASTON SARACCO</t>
  </si>
  <si>
    <t>LUCIA BOERO GONCALVES</t>
  </si>
  <si>
    <t>MARIA LOURDES FERNANDEZ ALDERETE</t>
  </si>
  <si>
    <t>oscar franco rios lampa</t>
  </si>
  <si>
    <t>RAFEAL CAYETANO CLUA</t>
  </si>
  <si>
    <t>HORACIO MAXIMILIANO SALVATIERRA</t>
  </si>
  <si>
    <t>francisco javier garzon</t>
  </si>
  <si>
    <t>maria eugenia robledo</t>
  </si>
  <si>
    <t>miguel angel picon</t>
  </si>
  <si>
    <t>german gritti montesinos</t>
  </si>
  <si>
    <t>PABLO NAHUEL MARIOTTI</t>
  </si>
  <si>
    <t>CESAR GUSTAVO MALDONADO</t>
  </si>
  <si>
    <t>ruben david castro</t>
  </si>
  <si>
    <t>HORACIO NESTOR CARBONELL</t>
  </si>
  <si>
    <t>santiago jarque</t>
  </si>
  <si>
    <t>rebeca raquel villafañe</t>
  </si>
  <si>
    <t>julio bringas</t>
  </si>
  <si>
    <t>ariel omar saracho</t>
  </si>
  <si>
    <t>johana liset rodriguez</t>
  </si>
  <si>
    <t>ROSARIO PALOMARES MARTINEZ</t>
  </si>
  <si>
    <t>MICAELA DEL VALLE JUAREZ</t>
  </si>
  <si>
    <t>juan pablo cuello</t>
  </si>
  <si>
    <t>CECILIA CASTELLANOS</t>
  </si>
  <si>
    <t>francisco ezequiel juarez parrado</t>
  </si>
  <si>
    <t>martin anibal santillan</t>
  </si>
  <si>
    <t>SILVIA HORTENSIA VARELA CARRION</t>
  </si>
  <si>
    <t>ANA CAROLINA MONMANY</t>
  </si>
  <si>
    <t>maria belen velardez fresia</t>
  </si>
  <si>
    <t>MARIA FIGUEROA ALVAREZ</t>
  </si>
  <si>
    <t>florencia andrea ponce</t>
  </si>
  <si>
    <t>MANUELA FALCON</t>
  </si>
  <si>
    <t>francisco jose sosa</t>
  </si>
  <si>
    <t>ricardo mario ramos</t>
  </si>
  <si>
    <t>MARIA CONSTANZA LUCIARDI</t>
  </si>
  <si>
    <t>GABRIEL IGNACIO LOPEZ ZAMPINI</t>
  </si>
  <si>
    <t>ESTER NOEMI LOBO</t>
  </si>
  <si>
    <t>SOFIA MARIA CUDMANI</t>
  </si>
  <si>
    <t>JOSE ANTONIO VALDEZ NAVAL</t>
  </si>
  <si>
    <t>luciana nicole filmann</t>
  </si>
  <si>
    <t>sofia fernandez</t>
  </si>
  <si>
    <t>maria raquel asis</t>
  </si>
  <si>
    <t>MARIA NOELIA CECILIA</t>
  </si>
  <si>
    <t>LUCIA CAROLINA MAZA</t>
  </si>
  <si>
    <t>FACUNDO PAZ POSSE</t>
  </si>
  <si>
    <t>SANTIAGO MAZA</t>
  </si>
  <si>
    <t>SANTIAGO FOGUET</t>
  </si>
  <si>
    <t>MARTIN SANCHEZ</t>
  </si>
  <si>
    <t>MILENA CORBALAN</t>
  </si>
  <si>
    <t>NORA GANUM</t>
  </si>
  <si>
    <t>MARIA LAURA JAIRFALA CAMPI</t>
  </si>
  <si>
    <t>ELIANA MARIEL MARTINEZ</t>
  </si>
  <si>
    <t>agostina del milagro segovia</t>
  </si>
  <si>
    <t>glenda judith pedraza marchetti</t>
  </si>
  <si>
    <t>carlos dario castellanos</t>
  </si>
  <si>
    <t>silvina noelia sosa</t>
  </si>
  <si>
    <t>pablo sebastian maza lescano</t>
  </si>
  <si>
    <t>MAURO ALBERTO ZELAYA</t>
  </si>
  <si>
    <t>silvana del valle acosta</t>
  </si>
  <si>
    <t>JORGELINA VANESA ROMANOS</t>
  </si>
  <si>
    <t>julia elena mariani</t>
  </si>
  <si>
    <t>MARIA BELEN RODRIGUEZ</t>
  </si>
  <si>
    <t>fatima liliana del valle rios</t>
  </si>
  <si>
    <t>MARIANA BACH</t>
  </si>
  <si>
    <t>FRANCISCO JUAREZ PARRADO</t>
  </si>
  <si>
    <t>rosalia dina jalil belmont</t>
  </si>
  <si>
    <t>JUANA ROSA OVEJERO</t>
  </si>
  <si>
    <t>DEBORA DANIELAA MAZA</t>
  </si>
  <si>
    <t>RUBEN MARIO KAPLAN</t>
  </si>
  <si>
    <t>FATIMA CAROLINA FIORENZA</t>
  </si>
  <si>
    <t>federico jose coronel</t>
  </si>
  <si>
    <t>LEON BERNABE LOHEZIC</t>
  </si>
  <si>
    <t>tomas juarez</t>
  </si>
  <si>
    <t>MARIA EMILIA MACIEL</t>
  </si>
  <si>
    <t>IGNACIO AGUSTIN AGUIRRE</t>
  </si>
  <si>
    <t>daniela ines rivero</t>
  </si>
  <si>
    <t>ANA CRISTINA LERI</t>
  </si>
  <si>
    <t>ezequiel fornes palencia</t>
  </si>
  <si>
    <t>javier vicente roig</t>
  </si>
  <si>
    <t>matias lischinsky</t>
  </si>
  <si>
    <t>maria sofia enriquez balestieri</t>
  </si>
  <si>
    <t>juan pablo arrieta</t>
  </si>
  <si>
    <t>FRANCISCO JOSE PAZ</t>
  </si>
  <si>
    <t>maria jose iparraguirre</t>
  </si>
  <si>
    <t>SILVIA SUSANA BARRIONUEVO</t>
  </si>
  <si>
    <t>ALBERTO ENRIQUE VIERA</t>
  </si>
  <si>
    <t>claudia adriana szumik</t>
  </si>
  <si>
    <t>AGUSTINA BELEN PAZ</t>
  </si>
  <si>
    <t>jose daniel gonzalez</t>
  </si>
  <si>
    <t>OMAR ENRIQUE FARHAT</t>
  </si>
  <si>
    <t>mario david ibañez</t>
  </si>
  <si>
    <t>GISELLA APAS</t>
  </si>
  <si>
    <t>JOSE RUBEN DOMINGUEZ</t>
  </si>
  <si>
    <t>adolfo esteban ollaze</t>
  </si>
  <si>
    <t>ANA DE LOURDES JOSE</t>
  </si>
  <si>
    <t>MARIA JOSE DE FATIMA SALTOR</t>
  </si>
  <si>
    <t>CAMILA TOLEDO</t>
  </si>
  <si>
    <t>PATRICIA RODRIGUEZ DEL BUSTO</t>
  </si>
  <si>
    <t>VALERIA BLANCO</t>
  </si>
  <si>
    <t>FERNANDO PABLO GONZALEZ HANN</t>
  </si>
  <si>
    <t>ENRIQUE ADRIAN MARUAGA OLARTE</t>
  </si>
  <si>
    <t>javier forenza</t>
  </si>
  <si>
    <t>MARIA ELENA CONORT</t>
  </si>
  <si>
    <t>maria lourdes de la vega</t>
  </si>
  <si>
    <t>GABRIELA MARIA VELIZ</t>
  </si>
  <si>
    <t>MARIA ELENA HERNANDEZ</t>
  </si>
  <si>
    <t>paula avellaneda</t>
  </si>
  <si>
    <t>MATIAS JOSE PAZ</t>
  </si>
  <si>
    <t>augusto roldan</t>
  </si>
  <si>
    <t>maria agustina villa</t>
  </si>
  <si>
    <t>maria soraya bernabei</t>
  </si>
  <si>
    <t>NICOLAS MARIANO IRAMAIN</t>
  </si>
  <si>
    <t>LEONARDO DAMIAN JAIME</t>
  </si>
  <si>
    <t>jorge alejandro dip fadel</t>
  </si>
  <si>
    <t>victor bruno miguel</t>
  </si>
  <si>
    <t>MARIA GRISELDA ESPASA</t>
  </si>
  <si>
    <t>BENJAMIN BLAS</t>
  </si>
  <si>
    <t>NATALIA NELLY SOSSENKO</t>
  </si>
  <si>
    <t>maria cristina cudmani</t>
  </si>
  <si>
    <t>FLORENCIA VECE</t>
  </si>
  <si>
    <t>SONIA CARINA PANTOJA</t>
  </si>
  <si>
    <t>ALBA EVELINA CORDOBA</t>
  </si>
  <si>
    <t>ALI EDUARDO (PORTERO)</t>
  </si>
  <si>
    <t>CRISTHIAN SUTER</t>
  </si>
  <si>
    <t>alicia del valle juarez</t>
  </si>
  <si>
    <t>SOFIA GUADALUPE ZURITA</t>
  </si>
  <si>
    <t>paula florencia tusa</t>
  </si>
  <si>
    <t>roque juan carlos encina</t>
  </si>
  <si>
    <t>MARIA LAURA SARAVIA</t>
  </si>
  <si>
    <t>nadia cecilia lescano</t>
  </si>
  <si>
    <t>daniel nicolas nalin</t>
  </si>
  <si>
    <t>RICARDO ANTONIO DE AMICIS</t>
  </si>
  <si>
    <t>PEDRO DEL PERO</t>
  </si>
  <si>
    <t>INES MARIA AGU</t>
  </si>
  <si>
    <t>myriam asfoura</t>
  </si>
  <si>
    <t>MAURICIO HERNAN FERREYRA VAGLIATI</t>
  </si>
  <si>
    <t>NOEMI ELIZABETH ZURITA</t>
  </si>
  <si>
    <t>LINA ESTHER DUFAYARD</t>
  </si>
  <si>
    <t>jose roberto falco</t>
  </si>
  <si>
    <t>silvia susana martinez</t>
  </si>
  <si>
    <t>SOFIA MUÑOZ</t>
  </si>
  <si>
    <t>maria micaela curia</t>
  </si>
  <si>
    <t>AGUSTINA PERALTA</t>
  </si>
  <si>
    <t>ROSA SILVINA GUBER</t>
  </si>
  <si>
    <t>GLADYS ESTELA FUENTES</t>
  </si>
  <si>
    <t>WALTER BUESO</t>
  </si>
  <si>
    <t>lucas ezequiel ledesma norry</t>
  </si>
  <si>
    <t>cesar augusto salas</t>
  </si>
  <si>
    <t>JULIANA ANDRADA SARDI</t>
  </si>
  <si>
    <t>antonio martinez de goñi</t>
  </si>
  <si>
    <t>roxana mariel vilte</t>
  </si>
  <si>
    <t>36183f287</t>
  </si>
  <si>
    <t>carlos sebastian saez</t>
  </si>
  <si>
    <t>claudio gustavo amenta</t>
  </si>
  <si>
    <t>stella maria prado</t>
  </si>
  <si>
    <t>ana menendez</t>
  </si>
  <si>
    <t>JUAN ANTONIO MORENO RIVAS</t>
  </si>
  <si>
    <t>fabrizio nicotra</t>
  </si>
  <si>
    <t>analia gomez</t>
  </si>
  <si>
    <t>augusto sebastian casmuz</t>
  </si>
  <si>
    <t>LUIS ALFREDO LEDESMA</t>
  </si>
  <si>
    <t>SUSANA BEATRIZ VILLEGAS</t>
  </si>
  <si>
    <t>maria del rosario rey</t>
  </si>
  <si>
    <t>GUILLERMO LUIS ISAS</t>
  </si>
  <si>
    <t>MIGUEL EDUARO MARCOTULLIO</t>
  </si>
  <si>
    <t>ANTONIO HUMBERTO PONCE DE LEON</t>
  </si>
  <si>
    <t>JORGE RUBEN CIANCAGLINI</t>
  </si>
  <si>
    <t>MARIA CRISTINA HERRERA</t>
  </si>
  <si>
    <t>LILIANA ALICIA DEL VALLE GRAMAJO</t>
  </si>
  <si>
    <t>SERGIO FERNANDO MOYANO BOBBA</t>
  </si>
  <si>
    <t>josefina andujar</t>
  </si>
  <si>
    <t>GLORIA ESTELA ABDELNUR</t>
  </si>
  <si>
    <t>SUSANA NOEMI PONCE</t>
  </si>
  <si>
    <t>celia miroli</t>
  </si>
  <si>
    <t>sofia flores blasco</t>
  </si>
  <si>
    <t>raul augusto elias</t>
  </si>
  <si>
    <t>JOSE MUNIR HASSAN</t>
  </si>
  <si>
    <t>MARIA DEL MILAGRO ROJAS</t>
  </si>
  <si>
    <t>maria jimena aramburu</t>
  </si>
  <si>
    <t>ALBERTO FABIAN STAGNITTA</t>
  </si>
  <si>
    <t>daniel eduardo espeche</t>
  </si>
  <si>
    <t>raul pedro mentz</t>
  </si>
  <si>
    <t>maria jose honorato</t>
  </si>
  <si>
    <t>SERGIO DANIEL LAJUD</t>
  </si>
  <si>
    <t>FERNANDO JAVIER BOLLERO</t>
  </si>
  <si>
    <t>SANDRA ELIZABETH LLABRA SOBRECASAS</t>
  </si>
  <si>
    <t>YOHANA ARACELI BELMONTE</t>
  </si>
  <si>
    <t>SOLEDAD MARIA DATO</t>
  </si>
  <si>
    <t>SABRINA IVONNE MARTINEZ</t>
  </si>
  <si>
    <t>MARIS SOL GERONIMO</t>
  </si>
  <si>
    <t>RAFAEL EDUARDO CAMPERO</t>
  </si>
  <si>
    <t>EDUARDO MARTIN ALZAGA</t>
  </si>
  <si>
    <t>ivanna beker</t>
  </si>
  <si>
    <t>maria josefina mitre</t>
  </si>
  <si>
    <t>maria paula salas</t>
  </si>
  <si>
    <t>GABRIELA SCHUJMAN</t>
  </si>
  <si>
    <t>CEFERINO JOSE SIRGO</t>
  </si>
  <si>
    <t>NILDA ESTER TODESCO DE COCINA</t>
  </si>
  <si>
    <t>NILDA ESTER TODESCO COCINA</t>
  </si>
  <si>
    <t>melanie denisse sal</t>
  </si>
  <si>
    <t>MATIAS SESMA</t>
  </si>
  <si>
    <t>maria de los angeles gonzalez</t>
  </si>
  <si>
    <t>maria agustina gimenez sanchez</t>
  </si>
  <si>
    <t>PATRICIA LILIANA GODOY</t>
  </si>
  <si>
    <t>SEBASTIAN PUENTE</t>
  </si>
  <si>
    <t>isaac ruben antonio ibrahim</t>
  </si>
  <si>
    <t>MARIELA BEATRIZ ROBLES</t>
  </si>
  <si>
    <t>CAROLINA DIAMBRA</t>
  </si>
  <si>
    <t>jorge antonio nicolas palacio</t>
  </si>
  <si>
    <t>MARIA ENCARNACION ALABERSE</t>
  </si>
  <si>
    <t>stefania saba</t>
  </si>
  <si>
    <t>MARIA JOSE CORTES</t>
  </si>
  <si>
    <t>raul nestor guanco</t>
  </si>
  <si>
    <t>juan manuel santillan</t>
  </si>
  <si>
    <t>ABRIL AGOSTINA RUIZ JEDER</t>
  </si>
  <si>
    <t>julio esteban gaezon</t>
  </si>
  <si>
    <t>ricardo norberto santiago</t>
  </si>
  <si>
    <t>claudia viviana stagnitta</t>
  </si>
  <si>
    <t>maria marta caram</t>
  </si>
  <si>
    <t>EUGENIO SANTIAGO VIERA</t>
  </si>
  <si>
    <t>VIRGINIA CASADEY</t>
  </si>
  <si>
    <t>patricia del valle dib</t>
  </si>
  <si>
    <t>david ezequiel gutierrez puertas</t>
  </si>
  <si>
    <t>EVELYN RUTH CORREA</t>
  </si>
  <si>
    <t>alejandra maria sanchez</t>
  </si>
  <si>
    <t>MARIA JOSEFINA DE LA PEÑA</t>
  </si>
  <si>
    <t>MARIA PAOLA TORRES</t>
  </si>
  <si>
    <t>CARLOS MARIA LOPEZ MAÑAN</t>
  </si>
  <si>
    <t>christian gerardo alonso</t>
  </si>
  <si>
    <t>bettina wajnerman</t>
  </si>
  <si>
    <t>maria silvia carbonell</t>
  </si>
  <si>
    <t>maria eugenia bestani</t>
  </si>
  <si>
    <t>RAFAEL JOSE DIAZ AUGIER</t>
  </si>
  <si>
    <t>AGUSTINA MARTINEZ</t>
  </si>
  <si>
    <t>ANDREA PATRICIA FERNANDEZ</t>
  </si>
  <si>
    <t>gisela florencia del valle diaz</t>
  </si>
  <si>
    <t>MARIA SOLEDAD MURO</t>
  </si>
  <si>
    <t>jose maria canelada</t>
  </si>
  <si>
    <t>MARIA VICTORIA AGUILAR</t>
  </si>
  <si>
    <t>RUBEN PABLO KANTAROVSKY</t>
  </si>
  <si>
    <t>PABLO JOSE GUERINEAU</t>
  </si>
  <si>
    <t>agustina maria garbero</t>
  </si>
  <si>
    <t>joaquin iaconis</t>
  </si>
  <si>
    <t>CAROLINA DEL VALLE RAMIREZ</t>
  </si>
  <si>
    <t>MATIAS DAVID CASTRO</t>
  </si>
  <si>
    <t xml:space="preserve">AGUSTIN MANSILLA </t>
  </si>
  <si>
    <t>natalia lorena robledo</t>
  </si>
  <si>
    <t>JUAN IGNACIO HEREDIA</t>
  </si>
  <si>
    <t>vidal walter luna</t>
  </si>
  <si>
    <t>PABLO LEONEL PAEZ COSTILLA</t>
  </si>
  <si>
    <t>RAFAEL ENRIQUE MERCHED</t>
  </si>
  <si>
    <t>fatima judith martin</t>
  </si>
  <si>
    <t>GRACIELA DEL VALLE RODRIGUEZ</t>
  </si>
  <si>
    <t>VICTOR HUGO CABRAL</t>
  </si>
  <si>
    <t>melina tamara ianni</t>
  </si>
  <si>
    <t>PABLO GUILLERMO FILIPPI</t>
  </si>
  <si>
    <t>JAIME MANUEL ALBERTO GONZALEZ</t>
  </si>
  <si>
    <t xml:space="preserve">LUIS MARIA COUREL </t>
  </si>
  <si>
    <t>pablo gabriel muzzo</t>
  </si>
  <si>
    <t>EMILIANA REUS</t>
  </si>
  <si>
    <t>MARIA VIVIANA ALFONSO</t>
  </si>
  <si>
    <t>jorge armando mancilla</t>
  </si>
  <si>
    <t>juan cruz avila</t>
  </si>
  <si>
    <t>omar rubino</t>
  </si>
  <si>
    <t>GUILERMO TORRES</t>
  </si>
  <si>
    <t>facundo ignacio hayward</t>
  </si>
  <si>
    <t>graciela lizondo</t>
  </si>
  <si>
    <t>maria del valle vasile</t>
  </si>
  <si>
    <t>valeria malery ramon</t>
  </si>
  <si>
    <t>IGNACIO NEME</t>
  </si>
  <si>
    <t>ALFREDO RICARDO NEME</t>
  </si>
  <si>
    <t>JENNIFER ALICIA FATACCIOLI SORIA</t>
  </si>
  <si>
    <t>monica elizabeth gerez</t>
  </si>
  <si>
    <t>merceditas sosa soler</t>
  </si>
  <si>
    <t>emilse cristina *espamer</t>
  </si>
  <si>
    <t>ROQUE JAVIER AVILA TERAN</t>
  </si>
  <si>
    <t>carla daniela toledo</t>
  </si>
  <si>
    <t>ELEONORA PAULA MOLLAR VIGH</t>
  </si>
  <si>
    <t>SANTIAGO NAHUEL LOMBARDELLI</t>
  </si>
  <si>
    <t>fiorella melisa avila</t>
  </si>
  <si>
    <t>ALEJANDRA PAOLA ROMERO</t>
  </si>
  <si>
    <t>SABINO MATIAS GOMEZ BORDON</t>
  </si>
  <si>
    <t>natakia jorgelina reyes</t>
  </si>
  <si>
    <t>MARIA VERONICA SALAS</t>
  </si>
  <si>
    <t>olga maria eugenia carrizo</t>
  </si>
  <si>
    <t>MARIA SILVINA ABUD</t>
  </si>
  <si>
    <t>AGUSTINA BOERO GONCALVES</t>
  </si>
  <si>
    <t xml:space="preserve">horacio raul mitre </t>
  </si>
  <si>
    <t>SUSANA MIRIAM GJURKAN</t>
  </si>
  <si>
    <t>RUBEN ALEXANDER MUSA</t>
  </si>
  <si>
    <t>SERGIO DAVALOS PAZ POSSE</t>
  </si>
  <si>
    <t>SILVIA ALEJANDRA PASCUAL</t>
  </si>
  <si>
    <t>DAVID MIGUEL ANGEL DERENOVSKY</t>
  </si>
  <si>
    <t>ANTONIA BERTA PEDRAZA</t>
  </si>
  <si>
    <t>VIRGINIA IRAMAIN MIKKELSEN</t>
  </si>
  <si>
    <t>MARIA FLORENCIA TARANTO</t>
  </si>
  <si>
    <t>VERONICA KRIZ</t>
  </si>
  <si>
    <t>pablo andres mackay</t>
  </si>
  <si>
    <t>luz micaela rodriguez</t>
  </si>
  <si>
    <t>FRANCO MAURICIO MONTOYA</t>
  </si>
  <si>
    <t>ANDREA SILVINA PRADO</t>
  </si>
  <si>
    <t>CAMILA ANALIA ALBARRACIN</t>
  </si>
  <si>
    <t>maria agustina vilaro</t>
  </si>
  <si>
    <t>nicolas fasolis</t>
  </si>
  <si>
    <t>maria lorena fornaciari</t>
  </si>
  <si>
    <t>MARIA CECILIA PALAVECINO BENEZIANO</t>
  </si>
  <si>
    <t>augusto javier maldonado yubrin</t>
  </si>
  <si>
    <t>eduardo raul romero</t>
  </si>
  <si>
    <t>LAURA MARIA ESTER AMATE PEREZ</t>
  </si>
  <si>
    <t>JESUS MARCELO LIZONDO</t>
  </si>
  <si>
    <t>cesar camel karim abib</t>
  </si>
  <si>
    <t>marcelo jesus martinez lozano</t>
  </si>
  <si>
    <t>PAULINA PICON</t>
  </si>
  <si>
    <t>MICAELA GARCIA</t>
  </si>
  <si>
    <t>ROCIO MELISA SERRANO DIAZ</t>
  </si>
  <si>
    <t>adriana paola aguirre</t>
  </si>
  <si>
    <t>JOSE IGNACIO MENA AILAN</t>
  </si>
  <si>
    <t>HECTOR SEBASTIAN ARRUJ</t>
  </si>
  <si>
    <t>MARIA DEL ROSARIO FONTS</t>
  </si>
  <si>
    <t>maria elena conort</t>
  </si>
  <si>
    <t>rodrigo esteban el eter</t>
  </si>
  <si>
    <t>ADRIANA INES PEREZ</t>
  </si>
  <si>
    <t>maria del milagro campero cossio</t>
  </si>
  <si>
    <t>JOSEFINA RAIDEN</t>
  </si>
  <si>
    <t>joaquin jose paz</t>
  </si>
  <si>
    <t>valentina martinez salinas</t>
  </si>
  <si>
    <t>camilo rafael bucci</t>
  </si>
  <si>
    <t>MARIA IRUPE RATTI</t>
  </si>
  <si>
    <t>alvaro martin salazar</t>
  </si>
  <si>
    <t xml:space="preserve">andrea silvina prado </t>
  </si>
  <si>
    <t>franco matias ramon</t>
  </si>
  <si>
    <t>ALBERTO SANTIAGO DI COLANTONIO</t>
  </si>
  <si>
    <t>MAXIMILIANO DANIEL HADBE</t>
  </si>
  <si>
    <t>MARIUA EMILIA SAEZ</t>
  </si>
  <si>
    <t>luis ernesto garreton</t>
  </si>
  <si>
    <t>adriana alejandrina vargas</t>
  </si>
  <si>
    <t>mario rodolfo vaca</t>
  </si>
  <si>
    <t>MARIA EMILSE ARAOZ</t>
  </si>
  <si>
    <t>carlos javier gonzalez toselli</t>
  </si>
  <si>
    <t>maria florencia moisa</t>
  </si>
  <si>
    <t>CARLOS ANDRES JORRAT</t>
  </si>
  <si>
    <t>NAZARENA SORIA HADAD</t>
  </si>
  <si>
    <t>JOSE DAVID VARGAS</t>
  </si>
  <si>
    <t>pablo alejandro palazzolo</t>
  </si>
  <si>
    <t>LUIS GABRIEL OLIVA</t>
  </si>
  <si>
    <t>silvia fernandez</t>
  </si>
  <si>
    <t>FABRICIO MOISES MARTINEZ</t>
  </si>
  <si>
    <t>viviana alejandra gramajo</t>
  </si>
  <si>
    <t>sandra marcela soria</t>
  </si>
  <si>
    <t>SILVINA RODRIGUEZ RAIMONDO</t>
  </si>
  <si>
    <t>MARIA LAURA ALE</t>
  </si>
  <si>
    <t>marta cristina fennema</t>
  </si>
  <si>
    <t>YANINA FERNANDA BERTINI</t>
  </si>
  <si>
    <t>sergio de la vega</t>
  </si>
  <si>
    <t>IRMA GRACIELA PONDE DE LEON</t>
  </si>
  <si>
    <t>PATRICIO JAVIER GIMENEZ</t>
  </si>
  <si>
    <t>MARCELA ROCIO PERETTI NAPPA</t>
  </si>
  <si>
    <t>FABIANA CATALINA ZELEMA</t>
  </si>
  <si>
    <t>IARA MARIA SARACHO YANICELLI</t>
  </si>
  <si>
    <t>pamela lucia sierra</t>
  </si>
  <si>
    <t>MARIA FLORENCIA MARCHESE</t>
  </si>
  <si>
    <t>ADRIANA LAMAS</t>
  </si>
  <si>
    <t>JORGE DARIO ZERDA</t>
  </si>
  <si>
    <t>MARIA EMILIA CAJAL</t>
  </si>
  <si>
    <t>SERGIO ESTEBAN ARRUJ</t>
  </si>
  <si>
    <t>JULIA VERONICA PASTRANA</t>
  </si>
  <si>
    <t>GISELE BIBIANA CORDILEONE</t>
  </si>
  <si>
    <t>clara isabel cabrera</t>
  </si>
  <si>
    <t>RUBEN RODRIGO SEGOVIA</t>
  </si>
  <si>
    <t>RAMON DARIO GOMEZ OMIL</t>
  </si>
  <si>
    <t>mayra luciana abraham</t>
  </si>
  <si>
    <t>NORMA CATALINA MORALES</t>
  </si>
  <si>
    <t>pablo napadensky</t>
  </si>
  <si>
    <t>RAMIRO MARTIN LAVILLA</t>
  </si>
  <si>
    <t>rosario torres posse</t>
  </si>
  <si>
    <t>JUAN CARLOS STERENBERG</t>
  </si>
  <si>
    <t>STELLA MARIS MESON</t>
  </si>
  <si>
    <t>MARIA LAURA PICON</t>
  </si>
  <si>
    <t>ANTONIO JOSE HASKOUR BITTAR</t>
  </si>
  <si>
    <t>SERGIO OSCAR ROBIN</t>
  </si>
  <si>
    <t>NOEMI ESTER MOYANO</t>
  </si>
  <si>
    <t>MARIA ALEJANDRA RODRIGUEZ</t>
  </si>
  <si>
    <t>MARIANO YAMIL TAZAR</t>
  </si>
  <si>
    <t>ANA MARIA BRUN</t>
  </si>
  <si>
    <t>CELIA BELEN DIAZ</t>
  </si>
  <si>
    <t>CAMILA ALEJANDRA NUÑEZ</t>
  </si>
  <si>
    <t>ERNESTO ALBERTO SAADE</t>
  </si>
  <si>
    <t>VICTORIA CACERES</t>
  </si>
  <si>
    <t>PAULA ANDREA STEIN CHNEIDER</t>
  </si>
  <si>
    <t>ALEJANDRO JOSE POVIÑA</t>
  </si>
  <si>
    <t>MARIA EUGENIA BRUNO</t>
  </si>
  <si>
    <t>NESTOR ALFREDO CARRANZA</t>
  </si>
  <si>
    <t>SANTIAGO JAVIER ALONSO</t>
  </si>
  <si>
    <t>BRAHIM OUZZANE</t>
  </si>
  <si>
    <t>LAURA GISEL RUIZ GUZMAN</t>
  </si>
  <si>
    <t>damian wachs</t>
  </si>
  <si>
    <t>leandro emanuel arlati</t>
  </si>
  <si>
    <t>ignacio alejandro marino</t>
  </si>
  <si>
    <t>maria cecilia gramajo</t>
  </si>
  <si>
    <t>maria eugenia bruno</t>
  </si>
  <si>
    <t>MARIA GABRIELA ROLANDI</t>
  </si>
  <si>
    <t>silvia emilce perez mulki</t>
  </si>
  <si>
    <t>andres mateo de la vega</t>
  </si>
  <si>
    <t>maria paula ferrari</t>
  </si>
  <si>
    <t>ricardo gustavo vercellone</t>
  </si>
  <si>
    <t>rodolfo sosa</t>
  </si>
  <si>
    <t>claudia mabel silva</t>
  </si>
  <si>
    <t>ariel maximiliano villarreal</t>
  </si>
  <si>
    <t>ana beatriz dale</t>
  </si>
  <si>
    <t>laura siree carrizo crisorio</t>
  </si>
  <si>
    <t>encio blasco</t>
  </si>
  <si>
    <t xml:space="preserve">julieta giraud </t>
  </si>
  <si>
    <t>luis maria rotella</t>
  </si>
  <si>
    <t>oscar abel vittar marteau</t>
  </si>
  <si>
    <t>maria ines alzogaray</t>
  </si>
  <si>
    <t>adriana syriani</t>
  </si>
  <si>
    <t>martin augusto sanchez</t>
  </si>
  <si>
    <t>marcelo esteban jimenez santillan</t>
  </si>
  <si>
    <t>yulieta estefania florentin</t>
  </si>
  <si>
    <t>carlos matias mentz</t>
  </si>
  <si>
    <t>julia ines lew</t>
  </si>
  <si>
    <t>fernando socoliski</t>
  </si>
  <si>
    <t>esteban jesus musso</t>
  </si>
  <si>
    <t>hugo jose falci</t>
  </si>
  <si>
    <t>nicolas viola</t>
  </si>
  <si>
    <t>domingo salazar</t>
  </si>
  <si>
    <t>maria silvia aybar</t>
  </si>
  <si>
    <t>VERONICA GABRIELA FADEL</t>
  </si>
  <si>
    <t>juliette hanna nochahrli</t>
  </si>
  <si>
    <t>lautaro juarez saracho</t>
  </si>
  <si>
    <t>fernando pablo gonzalez hahn</t>
  </si>
  <si>
    <t>MARIA PIA JOSE POVIÑA</t>
  </si>
  <si>
    <t>martin capuano</t>
  </si>
  <si>
    <t>benjamin raul aguirre</t>
  </si>
  <si>
    <t>barbara ines savino garcia</t>
  </si>
  <si>
    <t>SILVIA LILIAN BALDO</t>
  </si>
  <si>
    <t>GLADIS TERESA FERNANDEZ</t>
  </si>
  <si>
    <t>sabrina itati bustos</t>
  </si>
  <si>
    <t>norberto nicolas romanoff</t>
  </si>
  <si>
    <t>LUIS MARCELO CUELLO</t>
  </si>
  <si>
    <t>GABRIEL SAIFE</t>
  </si>
  <si>
    <t>JUAN PABLO GOMEZ</t>
  </si>
  <si>
    <t>maria fernanda salinas</t>
  </si>
  <si>
    <t>JULIETA NOELIA FAOTO</t>
  </si>
  <si>
    <t>eliana maria posleman</t>
  </si>
  <si>
    <t>RITA DAMIANA ROTTA</t>
  </si>
  <si>
    <t>maria soledad basbus</t>
  </si>
  <si>
    <t>CASAR SEBASTIAN FIGUEROA TORRES</t>
  </si>
  <si>
    <t>jorge raul carranza</t>
  </si>
  <si>
    <t>GONZALO JOSE FIGUEROA TORRES</t>
  </si>
  <si>
    <t>JULIETA SILVIA ALVAREZ EICHELE</t>
  </si>
  <si>
    <t>MARCOS ADRIAN BENEGAS</t>
  </si>
  <si>
    <t>SANTIAGO CAZZOLA</t>
  </si>
  <si>
    <t>bautista antonio murga</t>
  </si>
  <si>
    <t>VICTOR CORDILEONE</t>
  </si>
  <si>
    <t>CARLOS MARIA PADROS</t>
  </si>
  <si>
    <t>JAVIER ALEJANDRO TREJO IMBAUD</t>
  </si>
  <si>
    <t>MARIA MARTA STARMANNS</t>
  </si>
  <si>
    <t>oscar gabriel zapata</t>
  </si>
  <si>
    <t>SARA EUGENIA CASASOLA</t>
  </si>
  <si>
    <t>LUIS ALBERTO LOBO PEÑA</t>
  </si>
  <si>
    <t>MARIANO GABRIEL FIGUEROA TORRES</t>
  </si>
  <si>
    <t>MAURO ADERITO BANDEO</t>
  </si>
  <si>
    <t>SERGIO ALBERTO JUAREZ</t>
  </si>
  <si>
    <t>NADINNE ABBOUD</t>
  </si>
  <si>
    <t>carlos esteban gramajo</t>
  </si>
  <si>
    <t>SONIA MARIA RIOS AVELLANEDA</t>
  </si>
  <si>
    <t>LUIS PABLO GALLARDO</t>
  </si>
  <si>
    <t>evangelina del valle carrizo</t>
  </si>
  <si>
    <t>claudia del rosario amado</t>
  </si>
  <si>
    <t>HUGO GUSTAVO HERRERA</t>
  </si>
  <si>
    <t>maria julia paz</t>
  </si>
  <si>
    <t>ernestina susana teisaire</t>
  </si>
  <si>
    <t>HUGO FELIPE ROJAS</t>
  </si>
  <si>
    <t>LUIS MARIA ESPECHE</t>
  </si>
  <si>
    <t>maria cristina herrera</t>
  </si>
  <si>
    <t>MARIA FLORENCIA CARDOZO</t>
  </si>
  <si>
    <t>PABLO MARCELO DIP</t>
  </si>
  <si>
    <t>federico javier bustos foglia</t>
  </si>
  <si>
    <t>PERLA FRIDMAN</t>
  </si>
  <si>
    <t>LUCIANO EMANUEL CHAIN</t>
  </si>
  <si>
    <t>JOSE MARIA OVIEDO SANCHEZ</t>
  </si>
  <si>
    <t>MAURICIO RUEBN HERNANDO</t>
  </si>
  <si>
    <t>teresita del valle heredia</t>
  </si>
  <si>
    <t>MATIAS LOPEZ ESTEBAN</t>
  </si>
  <si>
    <t>ALEJANDRA NOELIA TACLA</t>
  </si>
  <si>
    <t>AGUSTINA BARROS</t>
  </si>
  <si>
    <t>maria del rosario olmos vigo</t>
  </si>
  <si>
    <t>MIGUEL AHUMADA</t>
  </si>
  <si>
    <t>DAMASIA TERAN</t>
  </si>
  <si>
    <t>claudia marcela courtade</t>
  </si>
  <si>
    <t>diego hugo diaz</t>
  </si>
  <si>
    <t>MARIA FLORENCIA ANDUJAR</t>
  </si>
  <si>
    <t>MARIA SILVIA LOPEZ RUBIO</t>
  </si>
  <si>
    <t>LILIANA DEL VALLE RODRIGUEZ</t>
  </si>
  <si>
    <t>VIRGINIA CELIA POSSE</t>
  </si>
  <si>
    <t>matias marcelo mileguir</t>
  </si>
  <si>
    <t>ENRIQUE LUCIANO HAARSCHER</t>
  </si>
  <si>
    <t>gabriela estela garcia contreras</t>
  </si>
  <si>
    <t>ROSA EVELINA CARDOZO</t>
  </si>
  <si>
    <t>Origen pasaporte</t>
  </si>
  <si>
    <t>Tipo de pasaporte</t>
  </si>
  <si>
    <t>Mes de entrega</t>
  </si>
  <si>
    <t>Año de entrega</t>
  </si>
  <si>
    <t>Continente</t>
  </si>
  <si>
    <t>Semestre de entrega</t>
  </si>
  <si>
    <t>Cuatrimestre</t>
  </si>
  <si>
    <t>Tipo de cuatrimestre</t>
  </si>
  <si>
    <t>1-</t>
  </si>
  <si>
    <t>¿Qué cantidad de pasaportes se entregó en total en cada ciudad?</t>
  </si>
  <si>
    <t xml:space="preserve">Total pasaportes </t>
  </si>
  <si>
    <t>TOTAL</t>
  </si>
  <si>
    <t>CHEQUEADO</t>
  </si>
  <si>
    <t>2-</t>
  </si>
  <si>
    <t>¿Qué cantidad de pasaportes entrgó cada empresa por año?</t>
  </si>
  <si>
    <t>Empresa</t>
  </si>
  <si>
    <t>3-</t>
  </si>
  <si>
    <t>¿Qué país tuvo mayor demanda de pasaportes en  2023?</t>
  </si>
  <si>
    <t>País</t>
  </si>
  <si>
    <t>Cantidad</t>
  </si>
  <si>
    <t>4-</t>
  </si>
  <si>
    <t>¿Qué agente tiene mayor promedio de entregas por día?</t>
  </si>
  <si>
    <t>Agente</t>
  </si>
  <si>
    <t>Promedio</t>
  </si>
  <si>
    <t>5-</t>
  </si>
  <si>
    <t>¿Cuántos pasaportes se entregaron a titulares/apoderados por mes en cada año?</t>
  </si>
  <si>
    <t>Mes</t>
  </si>
  <si>
    <t>Enero</t>
  </si>
  <si>
    <t>Febrero</t>
  </si>
  <si>
    <t>Marzo</t>
  </si>
  <si>
    <t>Abril</t>
  </si>
  <si>
    <t>Mayo</t>
  </si>
  <si>
    <t>Junio</t>
  </si>
  <si>
    <t>Julio</t>
  </si>
  <si>
    <t>Agosto</t>
  </si>
  <si>
    <t>Septiembre</t>
  </si>
  <si>
    <t>Octubre</t>
  </si>
  <si>
    <t>Noviembre</t>
  </si>
  <si>
    <t>Dciembre</t>
  </si>
  <si>
    <t>6-</t>
  </si>
  <si>
    <t>¿Cuántos pasaportes individuales se entregaron por año?</t>
  </si>
  <si>
    <t>7-</t>
  </si>
  <si>
    <t>¿De qué país de origen hizo más entregas de pasaporte cada correo?</t>
  </si>
  <si>
    <t>8-</t>
  </si>
  <si>
    <t>¿Cuántos pasaportes originarios de EEUU se entrgaron por año?</t>
  </si>
  <si>
    <t>9-</t>
  </si>
  <si>
    <t>¿Cuántos pasaportes familiares se entrgaron por continente?</t>
  </si>
  <si>
    <t>VALIDACIONES</t>
  </si>
  <si>
    <t>REFERENCIAS</t>
  </si>
  <si>
    <t xml:space="preserve"> =1 individual</t>
  </si>
  <si>
    <t xml:space="preserve"> =&gt;2 familiar</t>
  </si>
  <si>
    <t>FUNCION</t>
  </si>
  <si>
    <t xml:space="preserve"> =SI(G2&gt;1;"FAMILIAR";"INDIVIDUAL")</t>
  </si>
  <si>
    <t>AMERICANO</t>
  </si>
  <si>
    <t>EUROPEO</t>
  </si>
  <si>
    <t>ASIATICO</t>
  </si>
  <si>
    <t xml:space="preserve"> =BUSCARV(K2;'CA y tablas'!$B$22:$C$28;2;FALSO)</t>
  </si>
  <si>
    <t>MES</t>
  </si>
  <si>
    <t xml:space="preserve"> =MES(E2)</t>
  </si>
  <si>
    <t>AÑO</t>
  </si>
  <si>
    <t xml:space="preserve"> =AÑO(E2)</t>
  </si>
  <si>
    <t xml:space="preserve"> =SI(M3&lt;=6;"S1";SI(M3&gt;=7;"S2"))</t>
  </si>
  <si>
    <t>TIPO DE CUATRIMESTRE</t>
  </si>
  <si>
    <t xml:space="preserve"> =SI(Q3=1;"Q1";SI(Q3=2;"Q2";"Q3"))</t>
  </si>
  <si>
    <t>Respuesta 6</t>
  </si>
  <si>
    <t>FAMILIAR</t>
  </si>
  <si>
    <t>INDIVIDUAL</t>
  </si>
  <si>
    <t>Suma total</t>
  </si>
  <si>
    <t>Respuesta 7</t>
  </si>
  <si>
    <t>Respuesta 8</t>
  </si>
  <si>
    <t>Respuesta 9</t>
  </si>
  <si>
    <t>DASHBOARD</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</si>
</sst>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M/YYYY"/>
  </numFmts>
  <fonts count="13">
    <font>
      <sz val="11.0"/>
      <color theme="1"/>
      <name val="Arial"/>
      <scheme val="minor"/>
    </font>
    <font>
      <b/>
      <sz val="16.0"/>
      <color theme="1"/>
      <name val="Calibri"/>
    </font>
    <font/>
    <font>
      <color theme="1"/>
      <name val="Arial"/>
      <scheme val="minor"/>
    </font>
    <font>
      <sz val="11.0"/>
      <color theme="1"/>
      <name val="Calibri"/>
    </font>
    <font>
      <sz val="10.0"/>
      <color theme="1"/>
      <name val="Calibri"/>
    </font>
    <font>
      <sz val="10.0"/>
      <color rgb="FF1F1F1F"/>
      <name val="Calibri"/>
    </font>
    <font>
      <b/>
      <sz val="11.0"/>
      <color theme="0"/>
      <name val="Calibri"/>
    </font>
    <font>
      <b/>
      <sz val="11.0"/>
      <color theme="1"/>
      <name val="Calibri"/>
    </font>
    <font>
      <sz val="11.0"/>
      <color rgb="FFFF0000"/>
      <name val="Calibri"/>
    </font>
    <font>
      <sz val="11.0"/>
      <color rgb="FF1F1F1F"/>
      <name val="Arial"/>
      <scheme val="minor"/>
    </font>
    <font>
      <color rgb="FF000000"/>
      <name val="Arial"/>
      <scheme val="minor"/>
    </font>
    <font>
      <b/>
      <sz val="16.0"/>
      <color theme="1"/>
      <name val="Arial"/>
      <scheme val="minor"/>
    </font>
  </fonts>
  <fills count="8">
    <fill>
      <patternFill patternType="none"/>
    </fill>
    <fill>
      <patternFill patternType="lightGray"/>
    </fill>
    <fill>
      <patternFill patternType="solid">
        <fgColor rgb="FFF4B083"/>
        <bgColor rgb="FFF4B083"/>
      </patternFill>
    </fill>
    <fill>
      <patternFill patternType="solid">
        <fgColor rgb="FFFFFFFF"/>
        <bgColor rgb="FFFFFFFF"/>
      </patternFill>
    </fill>
    <fill>
      <patternFill patternType="solid">
        <fgColor theme="5"/>
        <bgColor theme="5"/>
      </patternFill>
    </fill>
    <fill>
      <patternFill patternType="solid">
        <fgColor rgb="FFFBE4D5"/>
        <bgColor rgb="FFFBE4D5"/>
      </patternFill>
    </fill>
    <fill>
      <patternFill patternType="solid">
        <fgColor theme="0"/>
        <bgColor theme="0"/>
      </patternFill>
    </fill>
    <fill>
      <patternFill patternType="solid">
        <fgColor rgb="FFFCE5CD"/>
        <bgColor rgb="FFFCE5CD"/>
      </patternFill>
    </fill>
  </fills>
  <borders count="13">
    <border/>
    <border>
      <left/>
      <top/>
      <bottom/>
    </border>
    <border>
      <top/>
      <bottom/>
    </border>
    <border>
      <right/>
      <top/>
      <bottom/>
    </border>
    <border>
      <left/>
      <right/>
      <top/>
      <bottom/>
    </border>
    <border>
      <left style="thin">
        <color rgb="FFF4B083"/>
      </left>
      <right/>
      <top/>
      <bottom/>
    </border>
    <border>
      <left/>
      <right style="thin">
        <color rgb="FFF4B083"/>
      </right>
      <top/>
      <bottom/>
    </border>
    <border>
      <left style="thin">
        <color rgb="FF000000"/>
      </left>
      <right style="thin">
        <color rgb="FF000000"/>
      </right>
      <top style="thin">
        <color rgb="FF000000"/>
      </top>
      <bottom style="thin">
        <color rgb="FF000000"/>
      </bottom>
    </border>
    <border>
      <left style="thin">
        <color rgb="FF000000"/>
      </left>
      <right/>
      <top style="thin">
        <color rgb="FF000000"/>
      </top>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left style="thin">
        <color rgb="FF000000"/>
      </left>
      <top style="thin">
        <color rgb="FF000000"/>
      </top>
    </border>
    <border>
      <left style="thin">
        <color rgb="FF000000"/>
      </left>
      <right style="thin">
        <color rgb="FF000000"/>
      </right>
      <top style="thin">
        <color rgb="FF000000"/>
      </top>
    </border>
  </borders>
  <cellStyleXfs count="1">
    <xf borderId="0" fillId="0" fontId="0" numFmtId="0" applyAlignment="1" applyFont="1"/>
  </cellStyleXfs>
  <cellXfs count="65">
    <xf borderId="0" fillId="0" fontId="0" numFmtId="0" xfId="0" applyAlignment="1" applyFont="1">
      <alignment readingOrder="0" shrinkToFit="0" vertical="bottom" wrapText="0"/>
    </xf>
    <xf borderId="1" fillId="2" fontId="1" numFmtId="0" xfId="0" applyAlignment="1" applyBorder="1" applyFill="1" applyFont="1">
      <alignment horizontal="center"/>
    </xf>
    <xf borderId="2" fillId="0" fontId="2" numFmtId="0" xfId="0" applyBorder="1" applyFont="1"/>
    <xf borderId="3" fillId="0" fontId="2" numFmtId="0" xfId="0" applyBorder="1" applyFont="1"/>
    <xf borderId="0" fillId="0" fontId="3" numFmtId="0" xfId="0" applyFont="1"/>
    <xf borderId="1" fillId="2" fontId="1" numFmtId="0" xfId="0" applyAlignment="1" applyBorder="1" applyFont="1">
      <alignment horizontal="center" vertical="center"/>
    </xf>
    <xf borderId="0" fillId="0" fontId="4" numFmtId="164" xfId="0" applyAlignment="1" applyFont="1" applyNumberFormat="1">
      <alignment horizontal="center"/>
    </xf>
    <xf borderId="0" fillId="0" fontId="4" numFmtId="3" xfId="0" applyAlignment="1" applyFont="1" applyNumberFormat="1">
      <alignment horizontal="center"/>
    </xf>
    <xf borderId="0" fillId="0" fontId="4" numFmtId="49" xfId="0" applyAlignment="1" applyFont="1" applyNumberFormat="1">
      <alignment horizontal="center"/>
    </xf>
    <xf borderId="0" fillId="0" fontId="4" numFmtId="0" xfId="0" applyAlignment="1" applyFont="1">
      <alignment horizontal="center"/>
    </xf>
    <xf borderId="0" fillId="0" fontId="5" numFmtId="164" xfId="0" applyAlignment="1" applyFont="1" applyNumberFormat="1">
      <alignment horizontal="center"/>
    </xf>
    <xf borderId="0" fillId="0" fontId="5" numFmtId="3" xfId="0" applyAlignment="1" applyFont="1" applyNumberFormat="1">
      <alignment horizontal="center"/>
    </xf>
    <xf borderId="0" fillId="0" fontId="5" numFmtId="49" xfId="0" applyAlignment="1" applyFont="1" applyNumberFormat="1">
      <alignment horizontal="center"/>
    </xf>
    <xf borderId="0" fillId="0" fontId="5" numFmtId="0" xfId="0" applyAlignment="1" applyFont="1">
      <alignment horizontal="center"/>
    </xf>
    <xf borderId="4" fillId="3" fontId="6" numFmtId="49" xfId="0" applyAlignment="1" applyBorder="1" applyFill="1" applyFont="1" applyNumberFormat="1">
      <alignment horizontal="center"/>
    </xf>
    <xf borderId="5" fillId="4" fontId="7" numFmtId="164" xfId="0" applyAlignment="1" applyBorder="1" applyFill="1" applyFont="1" applyNumberFormat="1">
      <alignment horizontal="center"/>
    </xf>
    <xf borderId="4" fillId="4" fontId="7" numFmtId="3" xfId="0" applyAlignment="1" applyBorder="1" applyFont="1" applyNumberFormat="1">
      <alignment horizontal="center"/>
    </xf>
    <xf borderId="4" fillId="4" fontId="7" numFmtId="49" xfId="0" applyAlignment="1" applyBorder="1" applyFont="1" applyNumberFormat="1">
      <alignment horizontal="center"/>
    </xf>
    <xf borderId="4" fillId="4" fontId="7" numFmtId="164" xfId="0" applyAlignment="1" applyBorder="1" applyFont="1" applyNumberFormat="1">
      <alignment horizontal="center"/>
    </xf>
    <xf borderId="4" fillId="4" fontId="7" numFmtId="0" xfId="0" applyAlignment="1" applyBorder="1" applyFont="1">
      <alignment horizontal="center"/>
    </xf>
    <xf borderId="6" fillId="4" fontId="7" numFmtId="0" xfId="0" applyAlignment="1" applyBorder="1" applyFont="1">
      <alignment horizontal="center"/>
    </xf>
    <xf borderId="7" fillId="4" fontId="7" numFmtId="0" xfId="0" applyAlignment="1" applyBorder="1" applyFont="1">
      <alignment horizontal="center"/>
    </xf>
    <xf borderId="8" fillId="5" fontId="5" numFmtId="164" xfId="0" applyAlignment="1" applyBorder="1" applyFill="1" applyFont="1" applyNumberFormat="1">
      <alignment horizontal="center" vertical="center"/>
    </xf>
    <xf borderId="8" fillId="5" fontId="5" numFmtId="3" xfId="0" applyAlignment="1" applyBorder="1" applyFont="1" applyNumberFormat="1">
      <alignment horizontal="center" vertical="center"/>
    </xf>
    <xf borderId="8" fillId="5" fontId="5" numFmtId="49" xfId="0" applyAlignment="1" applyBorder="1" applyFont="1" applyNumberFormat="1">
      <alignment horizontal="center" vertical="center"/>
    </xf>
    <xf borderId="8" fillId="5" fontId="4" numFmtId="0" xfId="0" applyAlignment="1" applyBorder="1" applyFont="1">
      <alignment horizontal="center" vertical="center"/>
    </xf>
    <xf borderId="8" fillId="5" fontId="5" numFmtId="0" xfId="0" applyAlignment="1" applyBorder="1" applyFont="1">
      <alignment horizontal="center" vertical="center"/>
    </xf>
    <xf borderId="9" fillId="5" fontId="4" numFmtId="0" xfId="0" applyAlignment="1" applyBorder="1" applyFont="1">
      <alignment horizontal="center" vertical="center"/>
    </xf>
    <xf borderId="10" fillId="0" fontId="4" numFmtId="0" xfId="0" applyAlignment="1" applyBorder="1" applyFont="1">
      <alignment horizontal="center" vertical="center"/>
    </xf>
    <xf borderId="7" fillId="0" fontId="4" numFmtId="0" xfId="0" applyAlignment="1" applyBorder="1" applyFont="1">
      <alignment horizontal="center" vertical="center"/>
    </xf>
    <xf borderId="11" fillId="0" fontId="5" numFmtId="164" xfId="0" applyAlignment="1" applyBorder="1" applyFont="1" applyNumberFormat="1">
      <alignment horizontal="center" vertical="center"/>
    </xf>
    <xf borderId="11" fillId="0" fontId="5" numFmtId="3" xfId="0" applyAlignment="1" applyBorder="1" applyFont="1" applyNumberFormat="1">
      <alignment horizontal="center" vertical="center"/>
    </xf>
    <xf borderId="11" fillId="0" fontId="5" numFmtId="49" xfId="0" applyAlignment="1" applyBorder="1" applyFont="1" applyNumberFormat="1">
      <alignment horizontal="center" vertical="center"/>
    </xf>
    <xf borderId="11" fillId="0" fontId="4" numFmtId="0" xfId="0" applyAlignment="1" applyBorder="1" applyFont="1">
      <alignment horizontal="center" vertical="center"/>
    </xf>
    <xf borderId="11" fillId="0" fontId="5" numFmtId="0" xfId="0" applyAlignment="1" applyBorder="1" applyFont="1">
      <alignment horizontal="center" vertical="center"/>
    </xf>
    <xf borderId="12" fillId="0" fontId="4" numFmtId="0" xfId="0" applyAlignment="1" applyBorder="1" applyFont="1">
      <alignment horizontal="center" vertical="center"/>
    </xf>
    <xf borderId="8" fillId="3" fontId="6" numFmtId="49" xfId="0" applyAlignment="1" applyBorder="1" applyFont="1" applyNumberFormat="1">
      <alignment horizontal="center" vertical="center"/>
    </xf>
    <xf borderId="7" fillId="2" fontId="8" numFmtId="0" xfId="0" applyAlignment="1" applyBorder="1" applyFont="1">
      <alignment horizontal="center"/>
    </xf>
    <xf borderId="7" fillId="0" fontId="4" numFmtId="0" xfId="0" applyAlignment="1" applyBorder="1" applyFont="1">
      <alignment horizontal="center"/>
    </xf>
    <xf borderId="7" fillId="2" fontId="4" numFmtId="0" xfId="0" applyAlignment="1" applyBorder="1" applyFont="1">
      <alignment horizontal="center"/>
    </xf>
    <xf borderId="4" fillId="2" fontId="4" numFmtId="0" xfId="0" applyBorder="1" applyFont="1"/>
    <xf borderId="0" fillId="0" fontId="9" numFmtId="0" xfId="0" applyFont="1"/>
    <xf borderId="12" fillId="0" fontId="4" numFmtId="0" xfId="0" applyAlignment="1" applyBorder="1" applyFont="1">
      <alignment horizontal="center"/>
    </xf>
    <xf borderId="7" fillId="0" fontId="4" numFmtId="2" xfId="0" applyAlignment="1" applyBorder="1" applyFont="1" applyNumberFormat="1">
      <alignment horizontal="center"/>
    </xf>
    <xf borderId="7" fillId="0" fontId="4" numFmtId="0" xfId="0" applyBorder="1" applyFont="1"/>
    <xf borderId="0" fillId="3" fontId="10" numFmtId="0" xfId="0" applyAlignment="1" applyFont="1">
      <alignment readingOrder="0"/>
    </xf>
    <xf borderId="1" fillId="2" fontId="4" numFmtId="0" xfId="0" applyAlignment="1" applyBorder="1" applyFont="1">
      <alignment horizontal="center"/>
    </xf>
    <xf borderId="7" fillId="2" fontId="4" numFmtId="0" xfId="0" applyBorder="1" applyFont="1"/>
    <xf borderId="4" fillId="2" fontId="8" numFmtId="0" xfId="0" applyBorder="1" applyFont="1"/>
    <xf borderId="0" fillId="0" fontId="3" numFmtId="0" xfId="0" applyFont="1"/>
    <xf borderId="0" fillId="0" fontId="3" numFmtId="0" xfId="0" applyAlignment="1" applyFont="1">
      <alignment horizontal="left"/>
    </xf>
    <xf borderId="0" fillId="0" fontId="3" numFmtId="0" xfId="0" applyAlignment="1" applyFont="1">
      <alignment horizontal="center"/>
    </xf>
    <xf borderId="0" fillId="3" fontId="3" numFmtId="0" xfId="0" applyFont="1"/>
    <xf borderId="0" fillId="3" fontId="3" numFmtId="0" xfId="0" applyFont="1"/>
    <xf borderId="0" fillId="6" fontId="3" numFmtId="0" xfId="0" applyFill="1" applyFont="1"/>
    <xf borderId="0" fillId="0" fontId="11" numFmtId="0" xfId="0" applyAlignment="1" applyFont="1">
      <alignment horizontal="center"/>
    </xf>
    <xf borderId="0" fillId="0" fontId="11" numFmtId="0" xfId="0" applyFont="1"/>
    <xf borderId="0" fillId="6" fontId="3" numFmtId="0" xfId="0" applyAlignment="1" applyFont="1">
      <alignment horizontal="center"/>
    </xf>
    <xf borderId="0" fillId="7" fontId="3" numFmtId="0" xfId="0" applyFill="1" applyFont="1"/>
    <xf borderId="0" fillId="7" fontId="3" numFmtId="0" xfId="0" applyAlignment="1" applyFont="1">
      <alignment horizontal="center"/>
    </xf>
    <xf borderId="0" fillId="0" fontId="3" numFmtId="0" xfId="0" applyAlignment="1" applyFont="1">
      <alignment horizontal="center"/>
    </xf>
    <xf borderId="0" fillId="3" fontId="3" numFmtId="0" xfId="0" applyAlignment="1" applyFont="1">
      <alignment horizontal="center"/>
    </xf>
    <xf borderId="0" fillId="3" fontId="11" numFmtId="0" xfId="0" applyFont="1"/>
    <xf borderId="0" fillId="2" fontId="12" numFmtId="0" xfId="0" applyAlignment="1" applyFont="1">
      <alignment horizontal="center" readingOrder="0"/>
    </xf>
    <xf borderId="0" fillId="0" fontId="3" numFmtId="0" xfId="0" applyAlignment="1" applyFont="1">
      <alignment readingOrder="0"/>
    </xf>
  </cellXfs>
  <cellStyles count="1">
    <cellStyle xfId="0" name="Normal" builtinId="0"/>
  </cellStyles>
  <dxfs count="6">
    <dxf>
      <font/>
      <fill>
        <patternFill patternType="none"/>
      </fill>
      <border/>
    </dxf>
    <dxf>
      <font/>
      <fill>
        <patternFill patternType="solid">
          <fgColor rgb="FFED7D31"/>
          <bgColor rgb="FFED7D31"/>
        </patternFill>
      </fill>
      <border/>
    </dxf>
    <dxf>
      <font/>
      <fill>
        <patternFill patternType="solid">
          <fgColor rgb="FFFBE4D5"/>
          <bgColor rgb="FFFBE4D5"/>
        </patternFill>
      </fill>
      <border/>
    </dxf>
    <dxf>
      <font/>
      <fill>
        <patternFill patternType="solid">
          <fgColor theme="0"/>
          <bgColor theme="0"/>
        </patternFill>
      </fill>
      <border/>
    </dxf>
    <dxf>
      <font/>
      <fill>
        <patternFill patternType="solid">
          <fgColor rgb="FFFFFFFF"/>
          <bgColor rgb="FFFFFFFF"/>
        </patternFill>
      </fill>
      <border/>
    </dxf>
    <dxf>
      <font/>
      <fill>
        <patternFill patternType="solid">
          <fgColor rgb="FFFCE5CD"/>
          <bgColor rgb="FFFCE5CD"/>
        </patternFill>
      </fill>
      <border/>
    </dxf>
  </dxfs>
  <tableStyles count="2">
    <tableStyle count="3" pivot="0" name="Base Trabajada-style">
      <tableStyleElement dxfId="1" type="headerRow"/>
      <tableStyleElement dxfId="2" type="firstRowStripe"/>
      <tableStyleElement dxfId="3" type="secondRowStripe"/>
    </tableStyle>
    <tableStyle count="3" pivot="0" name="Tabla dinámica -style 3">
      <tableStyleElement dxfId="1" type="headerRow"/>
      <tableStyleElement dxfId="4" type="firstRowStripe"/>
      <tableStyleElement dxfId="5" type="secondRowStripe"/>
    </tableStyle>
  </tableStyles>
</styleSheet>
</file>

<file path=xl/_rels/workbook.xml.rels><?xml version="1.0" encoding="UTF-8" standalone="yes"?><Relationships xmlns="http://schemas.openxmlformats.org/package/2006/relationships"><Relationship Id="rId20" Type="http://schemas.microsoft.com/office/2007/relationships/slicerCache" Target="slicerCaches/slicerCache7.xml"/><Relationship Id="rId11" Type="http://schemas.openxmlformats.org/officeDocument/2006/relationships/worksheet" Target="worksheets/sheet7.xml"/><Relationship Id="rId10" Type="http://schemas.openxmlformats.org/officeDocument/2006/relationships/worksheet" Target="worksheets/sheet6.xml"/><Relationship Id="rId21" Type="http://customschemas.google.com/relationships/workbookmetadata" Target="metadata"/><Relationship Id="rId13" Type="http://schemas.openxmlformats.org/officeDocument/2006/relationships/pivotCacheDefinition" Target="pivotCache/pivotCacheDefinition1.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microsoft.com/office/2007/relationships/slicerCache" Target="slicerCaches/slicerCache2.xml"/><Relationship Id="rId14" Type="http://schemas.microsoft.com/office/2007/relationships/slicerCache" Target="slicerCaches/slicerCache1.xml"/><Relationship Id="rId17" Type="http://schemas.microsoft.com/office/2007/relationships/slicerCache" Target="slicerCaches/slicerCache4.xml"/><Relationship Id="rId16" Type="http://schemas.microsoft.com/office/2007/relationships/slicerCache" Target="slicerCaches/slicerCache3.xml"/><Relationship Id="rId5" Type="http://schemas.openxmlformats.org/officeDocument/2006/relationships/worksheet" Target="worksheets/sheet1.xml"/><Relationship Id="rId19" Type="http://schemas.microsoft.com/office/2007/relationships/slicerCache" Target="slicerCaches/slicerCache6.xml"/><Relationship Id="rId6" Type="http://schemas.openxmlformats.org/officeDocument/2006/relationships/worksheet" Target="worksheets/sheet2.xml"/><Relationship Id="rId18" Type="http://schemas.microsoft.com/office/2007/relationships/slicerCache" Target="slicerCaches/slicerCache5.xml"/><Relationship Id="rId7" Type="http://schemas.openxmlformats.org/officeDocument/2006/relationships/worksheet" Target="worksheets/sheet3.xml"/><Relationship Id="rId8" Type="http://schemas.openxmlformats.org/officeDocument/2006/relationships/worksheet" Target="worksheets/sheet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sz="1800">
                <a:solidFill>
                  <a:schemeClr val="dk1"/>
                </a:solidFill>
                <a:latin typeface="+mn-lt"/>
              </a:defRPr>
            </a:pPr>
            <a:r>
              <a:rPr b="1" sz="1800">
                <a:solidFill>
                  <a:schemeClr val="dk1"/>
                </a:solidFill>
                <a:latin typeface="+mn-lt"/>
              </a:rPr>
              <a:t>Tipos de pasaportes entregados por año</a:t>
            </a:r>
          </a:p>
        </c:rich>
      </c:tx>
      <c:overlay val="0"/>
    </c:title>
    <c:view3D>
      <c:rotX val="15"/>
      <c:rotY val="20"/>
      <c:depthPercent val="100"/>
      <c:rAngAx val="1"/>
    </c:view3D>
    <c:plotArea>
      <c:layout/>
      <c:bar3DChart>
        <c:barDir val="col"/>
        <c:grouping val="clustered"/>
        <c:ser>
          <c:idx val="0"/>
          <c:order val="0"/>
          <c:tx>
            <c:strRef>
              <c:f>'Tabla dinámica '!$B$1:$B$2</c:f>
            </c:strRef>
          </c:tx>
          <c:spPr>
            <a:solidFill>
              <a:schemeClr val="accent1"/>
            </a:solidFill>
            <a:ln cmpd="sng">
              <a:solidFill>
                <a:srgbClr val="1F1F1F">
                  <a:alpha val="100000"/>
                </a:srgbClr>
              </a:solidFill>
            </a:ln>
          </c:spPr>
          <c:dLbls>
            <c:numFmt formatCode="General" sourceLinked="1"/>
            <c:txPr>
              <a:bodyPr/>
              <a:lstStyle/>
              <a:p>
                <a:pPr lvl="0">
                  <a:defRPr b="1"/>
                </a:pPr>
              </a:p>
            </c:txPr>
            <c:showLegendKey val="0"/>
            <c:showVal val="1"/>
            <c:showCatName val="0"/>
            <c:showSerName val="0"/>
            <c:showPercent val="0"/>
            <c:showBubbleSize val="0"/>
          </c:dLbls>
          <c:cat>
            <c:strRef>
              <c:f>'Tabla dinámica '!$A$3:$A$4</c:f>
            </c:strRef>
          </c:cat>
          <c:val>
            <c:numRef>
              <c:f>'Tabla dinámica '!$B$3:$B$4</c:f>
              <c:numCache/>
            </c:numRef>
          </c:val>
        </c:ser>
        <c:ser>
          <c:idx val="1"/>
          <c:order val="1"/>
          <c:tx>
            <c:strRef>
              <c:f>'Tabla dinámica '!$C$1:$C$2</c:f>
            </c:strRef>
          </c:tx>
          <c:spPr>
            <a:solidFill>
              <a:srgbClr val="B7E1CD"/>
            </a:solidFill>
            <a:ln cmpd="sng">
              <a:solidFill>
                <a:srgbClr val="1F1F1F">
                  <a:alpha val="100000"/>
                </a:srgbClr>
              </a:solidFill>
            </a:ln>
          </c:spPr>
          <c:dLbls>
            <c:numFmt formatCode="General" sourceLinked="1"/>
            <c:txPr>
              <a:bodyPr/>
              <a:lstStyle/>
              <a:p>
                <a:pPr lvl="0">
                  <a:defRPr b="1"/>
                </a:pPr>
              </a:p>
            </c:txPr>
            <c:showLegendKey val="0"/>
            <c:showVal val="1"/>
            <c:showCatName val="0"/>
            <c:showSerName val="0"/>
            <c:showPercent val="0"/>
            <c:showBubbleSize val="0"/>
          </c:dLbls>
          <c:cat>
            <c:strRef>
              <c:f>'Tabla dinámica '!$A$3:$A$4</c:f>
            </c:strRef>
          </c:cat>
          <c:val>
            <c:numRef>
              <c:f>'Tabla dinámica '!$C$3:$C$4</c:f>
              <c:numCache/>
            </c:numRef>
          </c:val>
        </c:ser>
        <c:axId val="1618532747"/>
        <c:axId val="633541844"/>
      </c:bar3DChart>
      <c:catAx>
        <c:axId val="161853274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Año de entrega</a:t>
                </a:r>
              </a:p>
            </c:rich>
          </c:tx>
          <c:overlay val="0"/>
        </c:title>
        <c:numFmt formatCode="General" sourceLinked="1"/>
        <c:majorTickMark val="none"/>
        <c:minorTickMark val="none"/>
        <c:spPr/>
        <c:txPr>
          <a:bodyPr/>
          <a:lstStyle/>
          <a:p>
            <a:pPr lvl="0">
              <a:defRPr b="0">
                <a:solidFill>
                  <a:srgbClr val="000000"/>
                </a:solidFill>
                <a:latin typeface="+mn-lt"/>
              </a:defRPr>
            </a:pPr>
          </a:p>
        </c:txPr>
        <c:crossAx val="633541844"/>
      </c:catAx>
      <c:valAx>
        <c:axId val="633541844"/>
        <c:scaling>
          <c:orientation val="minMax"/>
        </c:scaling>
        <c:delete val="0"/>
        <c:axPos val="l"/>
        <c:majorGridlines>
          <c:spPr>
            <a:ln>
              <a:solidFill>
                <a:srgbClr val="FFE6DD"/>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618532747"/>
      </c:valAx>
    </c:plotArea>
    <c:legend>
      <c:legendPos val="r"/>
      <c:overlay val="0"/>
      <c:txPr>
        <a:bodyPr/>
        <a:lstStyle/>
        <a:p>
          <a:pPr lvl="0">
            <a:defRPr b="0">
              <a:solidFill>
                <a:srgbClr val="1A1A1A"/>
              </a:solidFill>
              <a:latin typeface="+mn-lt"/>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sz="1800">
                <a:solidFill>
                  <a:srgbClr val="1F1F1F"/>
                </a:solidFill>
                <a:latin typeface="+mn-lt"/>
              </a:defRPr>
            </a:pPr>
            <a:r>
              <a:rPr b="1" sz="1800">
                <a:solidFill>
                  <a:srgbClr val="1F1F1F"/>
                </a:solidFill>
                <a:latin typeface="+mn-lt"/>
              </a:rPr>
              <a:t>Origen y cantidad de pasaportes entregados</a:t>
            </a:r>
          </a:p>
        </c:rich>
      </c:tx>
      <c:overlay val="0"/>
    </c:title>
    <c:view3D>
      <c:rotX val="50"/>
      <c:perspective val="0"/>
    </c:view3D>
    <c:plotArea>
      <c:layout/>
      <c:pie3DChart>
        <c:varyColors val="1"/>
        <c:ser>
          <c:idx val="0"/>
          <c:order val="0"/>
          <c:tx>
            <c:strRef>
              <c:f>'Tabla dinámica '!$B$8:$B$9</c:f>
            </c:strRef>
          </c:tx>
          <c:dPt>
            <c:idx val="0"/>
            <c:spPr>
              <a:solidFill>
                <a:srgbClr val="ED7D31"/>
              </a:solidFill>
            </c:spPr>
          </c:dPt>
          <c:dPt>
            <c:idx val="1"/>
            <c:spPr>
              <a:solidFill>
                <a:srgbClr val="FFE6DD"/>
              </a:solidFill>
            </c:spPr>
          </c:dPt>
          <c:dPt>
            <c:idx val="2"/>
            <c:spPr>
              <a:solidFill>
                <a:srgbClr val="F4B083"/>
              </a:solidFill>
            </c:spPr>
          </c:dPt>
          <c:dPt>
            <c:idx val="3"/>
            <c:spPr>
              <a:solidFill>
                <a:srgbClr val="B7E1CD"/>
              </a:solidFill>
            </c:spPr>
          </c:dPt>
          <c:dPt>
            <c:idx val="4"/>
            <c:spPr>
              <a:solidFill>
                <a:srgbClr val="FF9900"/>
              </a:solidFill>
            </c:spPr>
          </c:dPt>
          <c:dPt>
            <c:idx val="5"/>
            <c:spPr>
              <a:solidFill>
                <a:srgbClr val="CFE2F3"/>
              </a:solidFill>
            </c:spPr>
          </c:dPt>
          <c:dPt>
            <c:idx val="6"/>
            <c:spPr>
              <a:solidFill>
                <a:srgbClr val="A4C2F4"/>
              </a:solidFill>
            </c:spPr>
          </c:dPt>
          <c:dLbls>
            <c:showLegendKey val="0"/>
            <c:showVal val="0"/>
            <c:showCatName val="0"/>
            <c:showSerName val="0"/>
            <c:showPercent val="0"/>
            <c:showBubbleSize val="0"/>
            <c:showLeaderLines val="1"/>
          </c:dLbls>
          <c:cat>
            <c:strRef>
              <c:f>'Tabla dinámica '!$A$10:$A$16</c:f>
            </c:strRef>
          </c:cat>
          <c:val>
            <c:numRef>
              <c:f>'Tabla dinámica '!$B$10:$B$16</c:f>
              <c:numCache/>
            </c:numRef>
          </c:val>
        </c:ser>
        <c:dLbls>
          <c:showLegendKey val="0"/>
          <c:showVal val="0"/>
          <c:showCatName val="0"/>
          <c:showSerName val="0"/>
          <c:showPercent val="0"/>
          <c:showBubbleSize val="0"/>
        </c:dLbls>
      </c:pie3DChart>
    </c:plotArea>
    <c:legend>
      <c:legendPos val="r"/>
      <c:overlay val="0"/>
      <c:txPr>
        <a:bodyPr/>
        <a:lstStyle/>
        <a:p>
          <a:pPr lvl="0">
            <a:defRPr b="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sz="1800">
                <a:solidFill>
                  <a:schemeClr val="dk1"/>
                </a:solidFill>
                <a:latin typeface="+mn-lt"/>
              </a:defRPr>
            </a:pPr>
            <a:r>
              <a:rPr b="1" sz="1800">
                <a:solidFill>
                  <a:schemeClr val="dk1"/>
                </a:solidFill>
                <a:latin typeface="+mn-lt"/>
              </a:rPr>
              <a:t>Cantidad de pasaportes entregados por país</a:t>
            </a:r>
          </a:p>
        </c:rich>
      </c:tx>
      <c:overlay val="0"/>
    </c:title>
    <c:view3D>
      <c:rotX val="15"/>
      <c:rotY val="20"/>
      <c:depthPercent val="100"/>
      <c:rAngAx val="1"/>
    </c:view3D>
    <c:plotArea>
      <c:layout/>
      <c:bar3DChart>
        <c:barDir val="bar"/>
        <c:grouping val="clustered"/>
        <c:ser>
          <c:idx val="0"/>
          <c:order val="0"/>
          <c:tx>
            <c:strRef>
              <c:f>'Tabla dinámica '!$B$20:$B$21</c:f>
            </c:strRef>
          </c:tx>
          <c:spPr>
            <a:solidFill>
              <a:schemeClr val="accent1"/>
            </a:solidFill>
            <a:ln cmpd="sng">
              <a:solidFill>
                <a:schemeClr val="dk1"/>
              </a:solidFill>
            </a:ln>
          </c:spPr>
          <c:dLbls>
            <c:numFmt formatCode="General" sourceLinked="1"/>
            <c:txPr>
              <a:bodyPr/>
              <a:lstStyle/>
              <a:p>
                <a:pPr lvl="0">
                  <a:defRPr>
                    <a:solidFill>
                      <a:srgbClr val="000000"/>
                    </a:solidFill>
                  </a:defRPr>
                </a:pPr>
              </a:p>
            </c:txPr>
            <c:showLegendKey val="0"/>
            <c:showVal val="1"/>
            <c:showCatName val="0"/>
            <c:showSerName val="0"/>
            <c:showPercent val="0"/>
            <c:showBubbleSize val="0"/>
          </c:dLbls>
          <c:cat>
            <c:strRef>
              <c:f>'Tabla dinámica '!$A$22:$A$28</c:f>
            </c:strRef>
          </c:cat>
          <c:val>
            <c:numRef>
              <c:f>'Tabla dinámica '!$B$22:$B$28</c:f>
              <c:numCache/>
            </c:numRef>
          </c:val>
        </c:ser>
        <c:ser>
          <c:idx val="1"/>
          <c:order val="1"/>
          <c:tx>
            <c:strRef>
              <c:f>'Tabla dinámica '!$C$20:$C$21</c:f>
            </c:strRef>
          </c:tx>
          <c:spPr>
            <a:solidFill>
              <a:srgbClr val="B7E1CD"/>
            </a:solidFill>
            <a:ln cmpd="sng">
              <a:solidFill>
                <a:srgbClr val="1F1F1F">
                  <a:alpha val="100000"/>
                </a:srgbClr>
              </a:solidFill>
            </a:ln>
          </c:spPr>
          <c:dLbls>
            <c:numFmt formatCode="General" sourceLinked="1"/>
            <c:txPr>
              <a:bodyPr/>
              <a:lstStyle/>
              <a:p>
                <a:pPr lvl="0">
                  <a:defRPr>
                    <a:solidFill>
                      <a:srgbClr val="FF6D01"/>
                    </a:solidFill>
                  </a:defRPr>
                </a:pPr>
              </a:p>
            </c:txPr>
            <c:showLegendKey val="0"/>
            <c:showVal val="1"/>
            <c:showCatName val="0"/>
            <c:showSerName val="0"/>
            <c:showPercent val="0"/>
            <c:showBubbleSize val="0"/>
          </c:dLbls>
          <c:cat>
            <c:strRef>
              <c:f>'Tabla dinámica '!$A$22:$A$28</c:f>
            </c:strRef>
          </c:cat>
          <c:val>
            <c:numRef>
              <c:f>'Tabla dinámica '!$C$22:$C$28</c:f>
              <c:numCache/>
            </c:numRef>
          </c:val>
        </c:ser>
        <c:axId val="593028945"/>
        <c:axId val="906180386"/>
      </c:bar3DChart>
      <c:catAx>
        <c:axId val="593028945"/>
        <c:scaling>
          <c:orientation val="maxMin"/>
        </c:scaling>
        <c:delete val="0"/>
        <c:axPos val="l"/>
        <c:title>
          <c:tx>
            <c:rich>
              <a:bodyPr/>
              <a:lstStyle/>
              <a:p>
                <a:pPr lvl="0">
                  <a:defRPr b="0">
                    <a:solidFill>
                      <a:srgbClr val="000000"/>
                    </a:solidFill>
                    <a:latin typeface="+mn-lt"/>
                  </a:defRPr>
                </a:pPr>
                <a:r>
                  <a:rPr b="0">
                    <a:solidFill>
                      <a:srgbClr val="000000"/>
                    </a:solidFill>
                    <a:latin typeface="+mn-lt"/>
                  </a:rPr>
                  <a:t>Origen pasaporte</a:t>
                </a:r>
              </a:p>
            </c:rich>
          </c:tx>
          <c:overlay val="0"/>
        </c:title>
        <c:numFmt formatCode="General" sourceLinked="1"/>
        <c:majorTickMark val="none"/>
        <c:minorTickMark val="none"/>
        <c:spPr/>
        <c:txPr>
          <a:bodyPr/>
          <a:lstStyle/>
          <a:p>
            <a:pPr lvl="0">
              <a:defRPr b="0">
                <a:solidFill>
                  <a:srgbClr val="000000"/>
                </a:solidFill>
                <a:latin typeface="+mn-lt"/>
              </a:defRPr>
            </a:pPr>
          </a:p>
        </c:txPr>
        <c:crossAx val="906180386"/>
      </c:catAx>
      <c:valAx>
        <c:axId val="906180386"/>
        <c:scaling>
          <c:orientation val="minMax"/>
        </c:scaling>
        <c:delete val="0"/>
        <c:axPos val="b"/>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593028945"/>
        <c:crosses val="max"/>
      </c:valAx>
    </c:plotArea>
    <c:legend>
      <c:legendPos val="r"/>
      <c:overlay val="0"/>
      <c:txPr>
        <a:bodyPr/>
        <a:lstStyle/>
        <a:p>
          <a:pPr lvl="0">
            <a:defRPr b="0">
              <a:solidFill>
                <a:srgbClr val="1A1A1A"/>
              </a:solidFill>
              <a:latin typeface="+mn-lt"/>
            </a:defRPr>
          </a:pPr>
        </a:p>
      </c:txPr>
    </c:legend>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sz="1800">
                <a:solidFill>
                  <a:srgbClr val="1F1F1F"/>
                </a:solidFill>
                <a:latin typeface="+mn-lt"/>
              </a:defRPr>
            </a:pPr>
            <a:r>
              <a:rPr b="1" sz="1800">
                <a:solidFill>
                  <a:srgbClr val="1F1F1F"/>
                </a:solidFill>
                <a:latin typeface="+mn-lt"/>
              </a:rPr>
              <a:t>Cantidad de pasaportes entregados por continente</a:t>
            </a:r>
          </a:p>
        </c:rich>
      </c:tx>
      <c:overlay val="0"/>
    </c:title>
    <c:view3D>
      <c:rotX val="50"/>
      <c:perspective val="0"/>
    </c:view3D>
    <c:plotArea>
      <c:layout/>
      <c:doughnutChart>
        <c:varyColors val="1"/>
        <c:ser>
          <c:idx val="0"/>
          <c:order val="0"/>
          <c:tx>
            <c:strRef>
              <c:f>'Tabla dinámica '!$B$32:$B$33</c:f>
            </c:strRef>
          </c:tx>
          <c:dPt>
            <c:idx val="0"/>
            <c:spPr>
              <a:solidFill>
                <a:srgbClr val="ED7D31"/>
              </a:solidFill>
            </c:spPr>
          </c:dPt>
          <c:dPt>
            <c:idx val="1"/>
            <c:spPr>
              <a:solidFill>
                <a:srgbClr val="FCE5CD"/>
              </a:solidFill>
            </c:spPr>
          </c:dPt>
          <c:dPt>
            <c:idx val="2"/>
            <c:spPr>
              <a:solidFill>
                <a:srgbClr val="B7E1CD"/>
              </a:solidFill>
            </c:spPr>
          </c:dPt>
          <c:dLbls>
            <c:showLegendKey val="0"/>
            <c:showVal val="0"/>
            <c:showCatName val="0"/>
            <c:showSerName val="0"/>
            <c:showPercent val="0"/>
            <c:showBubbleSize val="0"/>
            <c:showLeaderLines val="1"/>
          </c:dLbls>
          <c:cat>
            <c:strRef>
              <c:f>'Tabla dinámica '!$A$34:$A$36</c:f>
            </c:strRef>
          </c:cat>
          <c:val>
            <c:numRef>
              <c:f>'Tabla dinámica '!$B$34:$B$36</c:f>
              <c:numCache/>
            </c:numRef>
          </c:val>
        </c:ser>
        <c:dLbls>
          <c:showLegendKey val="0"/>
          <c:showVal val="0"/>
          <c:showCatName val="0"/>
          <c:showSerName val="0"/>
          <c:showPercent val="0"/>
          <c:showBubbleSize val="0"/>
        </c:dLbls>
        <c:holeSize val="50"/>
      </c:doughnutChart>
    </c:plotArea>
    <c:legend>
      <c:legendPos val="r"/>
      <c:overlay val="0"/>
      <c:txPr>
        <a:bodyPr/>
        <a:lstStyle/>
        <a:p>
          <a:pPr lvl="0">
            <a:defRPr b="0">
              <a:solidFill>
                <a:srgbClr val="1A1A1A"/>
              </a:solidFill>
              <a:latin typeface="+mn-lt"/>
            </a:defRPr>
          </a:pPr>
        </a:p>
      </c:txPr>
    </c:legend>
    <c:plotVisOnly val="1"/>
  </c:chart>
</c:chartSpace>
</file>

<file path=xl/drawings/_rels/drawing8.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276225</xdr:colOff>
      <xdr:row>60</xdr:row>
      <xdr:rowOff>38100</xdr:rowOff>
    </xdr:from>
    <xdr:ext cx="981075" cy="533400"/>
    <xdr:sp>
      <xdr:nvSpPr>
        <xdr:cNvPr id="3" name="Shape 3"/>
        <xdr:cNvSpPr/>
      </xdr:nvSpPr>
      <xdr:spPr>
        <a:xfrm>
          <a:off x="4860225" y="3518063"/>
          <a:ext cx="971550" cy="523875"/>
        </a:xfrm>
        <a:prstGeom prst="rightArrow">
          <a:avLst>
            <a:gd fmla="val 50000" name="adj1"/>
            <a:gd fmla="val 50000" name="adj2"/>
          </a:avLst>
        </a:prstGeom>
        <a:solidFill>
          <a:srgbClr val="F4B081"/>
        </a:solidFill>
        <a:ln cap="flat" cmpd="sng" w="12700">
          <a:solidFill>
            <a:srgbClr val="1C3052"/>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ctr">
            <a:spcBef>
              <a:spcPts val="0"/>
            </a:spcBef>
            <a:spcAft>
              <a:spcPts val="0"/>
            </a:spcAft>
            <a:buNone/>
          </a:pPr>
          <a:r>
            <a:rPr lang="en-US" sz="1100">
              <a:solidFill>
                <a:srgbClr val="000000"/>
              </a:solidFill>
              <a:latin typeface="Calibri"/>
              <a:ea typeface="Calibri"/>
              <a:cs typeface="Calibri"/>
              <a:sym typeface="Calibri"/>
            </a:rPr>
            <a:t>Dashboard</a:t>
          </a:r>
          <a:endParaRPr sz="1400"/>
        </a:p>
      </xdr:txBody>
    </xdr:sp>
    <xdr:clientData fLocksWithSheet="0"/>
  </xdr:oneCellAnchor>
  <xdr:oneCellAnchor>
    <xdr:from>
      <xdr:col>6</xdr:col>
      <xdr:colOff>276225</xdr:colOff>
      <xdr:row>63</xdr:row>
      <xdr:rowOff>9525</xdr:rowOff>
    </xdr:from>
    <xdr:ext cx="981075" cy="552450"/>
    <xdr:sp>
      <xdr:nvSpPr>
        <xdr:cNvPr id="4" name="Shape 4"/>
        <xdr:cNvSpPr/>
      </xdr:nvSpPr>
      <xdr:spPr>
        <a:xfrm>
          <a:off x="4860225" y="3513300"/>
          <a:ext cx="971550" cy="533400"/>
        </a:xfrm>
        <a:prstGeom prst="rightArrow">
          <a:avLst>
            <a:gd fmla="val 50000" name="adj1"/>
            <a:gd fmla="val 50000" name="adj2"/>
          </a:avLst>
        </a:prstGeom>
        <a:solidFill>
          <a:srgbClr val="F4B081"/>
        </a:solidFill>
        <a:ln cap="flat" cmpd="sng" w="12700">
          <a:solidFill>
            <a:srgbClr val="1C3052"/>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ctr">
            <a:spcBef>
              <a:spcPts val="0"/>
            </a:spcBef>
            <a:spcAft>
              <a:spcPts val="0"/>
            </a:spcAft>
            <a:buNone/>
          </a:pPr>
          <a:r>
            <a:rPr lang="en-US" sz="1100">
              <a:solidFill>
                <a:srgbClr val="000000"/>
              </a:solidFill>
              <a:latin typeface="Calibri"/>
              <a:ea typeface="Calibri"/>
              <a:cs typeface="Calibri"/>
              <a:sym typeface="Calibri"/>
            </a:rPr>
            <a:t>Dashboard</a:t>
          </a:r>
          <a:endParaRPr sz="1400"/>
        </a:p>
      </xdr:txBody>
    </xdr:sp>
    <xdr:clientData fLocksWithSheet="0"/>
  </xdr:oneCellAnchor>
  <xdr:oneCellAnchor>
    <xdr:from>
      <xdr:col>6</xdr:col>
      <xdr:colOff>276225</xdr:colOff>
      <xdr:row>66</xdr:row>
      <xdr:rowOff>19050</xdr:rowOff>
    </xdr:from>
    <xdr:ext cx="981075" cy="533400"/>
    <xdr:sp>
      <xdr:nvSpPr>
        <xdr:cNvPr id="5" name="Shape 5"/>
        <xdr:cNvSpPr/>
      </xdr:nvSpPr>
      <xdr:spPr>
        <a:xfrm>
          <a:off x="4860225" y="3518063"/>
          <a:ext cx="971550" cy="523875"/>
        </a:xfrm>
        <a:prstGeom prst="rightArrow">
          <a:avLst>
            <a:gd fmla="val 50000" name="adj1"/>
            <a:gd fmla="val 50000" name="adj2"/>
          </a:avLst>
        </a:prstGeom>
        <a:solidFill>
          <a:srgbClr val="F4B081"/>
        </a:solidFill>
        <a:ln cap="flat" cmpd="sng" w="12700">
          <a:solidFill>
            <a:srgbClr val="1C3052"/>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ctr">
            <a:spcBef>
              <a:spcPts val="0"/>
            </a:spcBef>
            <a:spcAft>
              <a:spcPts val="0"/>
            </a:spcAft>
            <a:buNone/>
          </a:pPr>
          <a:r>
            <a:rPr lang="en-US" sz="1100">
              <a:solidFill>
                <a:srgbClr val="000000"/>
              </a:solidFill>
              <a:latin typeface="Calibri"/>
              <a:ea typeface="Calibri"/>
              <a:cs typeface="Calibri"/>
              <a:sym typeface="Calibri"/>
            </a:rPr>
            <a:t>Dashboard</a:t>
          </a:r>
          <a:endParaRPr sz="1400"/>
        </a:p>
      </xdr:txBody>
    </xdr:sp>
    <xdr:clientData fLocksWithSheet="0"/>
  </xdr:oneCellAnchor>
  <xdr:oneCellAnchor>
    <xdr:from>
      <xdr:col>6</xdr:col>
      <xdr:colOff>276225</xdr:colOff>
      <xdr:row>69</xdr:row>
      <xdr:rowOff>9525</xdr:rowOff>
    </xdr:from>
    <xdr:ext cx="981075" cy="533400"/>
    <xdr:sp>
      <xdr:nvSpPr>
        <xdr:cNvPr id="6" name="Shape 6"/>
        <xdr:cNvSpPr/>
      </xdr:nvSpPr>
      <xdr:spPr>
        <a:xfrm>
          <a:off x="4860225" y="3518063"/>
          <a:ext cx="971550" cy="523875"/>
        </a:xfrm>
        <a:prstGeom prst="rightArrow">
          <a:avLst>
            <a:gd fmla="val 50000" name="adj1"/>
            <a:gd fmla="val 50000" name="adj2"/>
          </a:avLst>
        </a:prstGeom>
        <a:solidFill>
          <a:srgbClr val="F4B081"/>
        </a:solidFill>
        <a:ln cap="flat" cmpd="sng" w="12700">
          <a:solidFill>
            <a:srgbClr val="1C3052"/>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ctr">
            <a:spcBef>
              <a:spcPts val="0"/>
            </a:spcBef>
            <a:spcAft>
              <a:spcPts val="0"/>
            </a:spcAft>
            <a:buNone/>
          </a:pPr>
          <a:r>
            <a:rPr lang="en-US" sz="1100">
              <a:solidFill>
                <a:srgbClr val="000000"/>
              </a:solidFill>
              <a:latin typeface="Calibri"/>
              <a:ea typeface="Calibri"/>
              <a:cs typeface="Calibri"/>
              <a:sym typeface="Calibri"/>
            </a:rPr>
            <a:t>Dashboard</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504825</xdr:colOff>
      <xdr:row>2</xdr:row>
      <xdr:rowOff>19050</xdr:rowOff>
    </xdr:from>
    <xdr:ext cx="2743200" cy="2857500"/>
    <mc:AlternateContent>
      <mc:Choice Requires="sle15">
        <xdr:graphicFrame>
          <xdr:nvGraphicFramePr>
            <xdr:cNvPr id="1" name="Tipo de pasaporte_1"/>
            <xdr:cNvGraphicFramePr/>
          </xdr:nvGraphicFramePr>
          <xdr:xfrm>
            <a:off x="0" y="0"/>
            <a:ext cx="0" cy="0"/>
          </xdr:xfrm>
          <a:graphic>
            <a:graphicData uri="http://schemas.microsoft.com/office/drawing/2010/slicer">
              <x3Unk:slicer name="Tipo de pasaporte_1"/>
            </a:graphicData>
          </a:graphic>
        </xdr:graphicFrame>
      </mc:Choice>
      <mc:Fallback>
        <xdr:sp>
          <xdr:nvSpPr>
            <xdr:cNvPr id="1"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4</xdr:col>
      <xdr:colOff>295275</xdr:colOff>
      <xdr:row>32</xdr:row>
      <xdr:rowOff>133350</xdr:rowOff>
    </xdr:from>
    <xdr:ext cx="2200275" cy="2857500"/>
    <mc:AlternateContent>
      <mc:Choice Requires="sle15">
        <xdr:graphicFrame>
          <xdr:nvGraphicFramePr>
            <xdr:cNvPr id="2" name="Continente_2"/>
            <xdr:cNvGraphicFramePr/>
          </xdr:nvGraphicFramePr>
          <xdr:xfrm>
            <a:off x="0" y="0"/>
            <a:ext cx="0" cy="0"/>
          </xdr:xfrm>
          <a:graphic>
            <a:graphicData uri="http://schemas.microsoft.com/office/drawing/2010/slicer">
              <x3Unk:slicer name="Continente_2"/>
            </a:graphicData>
          </a:graphic>
        </xdr:graphicFrame>
      </mc:Choice>
      <mc:Fallback>
        <xdr:sp>
          <xdr:nvSpPr>
            <xdr:cNvPr id="2"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5</xdr:col>
      <xdr:colOff>152400</xdr:colOff>
      <xdr:row>10</xdr:row>
      <xdr:rowOff>104775</xdr:rowOff>
    </xdr:from>
    <xdr:ext cx="2266950" cy="2857500"/>
    <mc:AlternateContent>
      <mc:Choice Requires="sle15">
        <xdr:graphicFrame>
          <xdr:nvGraphicFramePr>
            <xdr:cNvPr id="3" name="Column1_3"/>
            <xdr:cNvGraphicFramePr/>
          </xdr:nvGraphicFramePr>
          <xdr:xfrm>
            <a:off x="0" y="0"/>
            <a:ext cx="0" cy="0"/>
          </xdr:xfrm>
          <a:graphic>
            <a:graphicData uri="http://schemas.microsoft.com/office/drawing/2010/slicer">
              <x3Unk:slicer name="Column1_3"/>
            </a:graphicData>
          </a:graphic>
        </xdr:graphicFrame>
      </mc:Choice>
      <mc:Fallback>
        <xdr:sp>
          <xdr:nvSpPr>
            <xdr:cNvPr id="3"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4</xdr:col>
      <xdr:colOff>361950</xdr:colOff>
      <xdr:row>21</xdr:row>
      <xdr:rowOff>171450</xdr:rowOff>
    </xdr:from>
    <xdr:ext cx="2066925" cy="2857500"/>
    <mc:AlternateContent>
      <mc:Choice Requires="sle15">
        <xdr:graphicFrame>
          <xdr:nvGraphicFramePr>
            <xdr:cNvPr id="4" name="Column1_4"/>
            <xdr:cNvGraphicFramePr/>
          </xdr:nvGraphicFramePr>
          <xdr:xfrm>
            <a:off x="0" y="0"/>
            <a:ext cx="0" cy="0"/>
          </xdr:xfrm>
          <a:graphic>
            <a:graphicData uri="http://schemas.microsoft.com/office/drawing/2010/slicer">
              <x3Unk:slicer name="Column1_4"/>
            </a:graphicData>
          </a:graphic>
        </xdr:graphicFrame>
      </mc:Choice>
      <mc:Fallback>
        <xdr:sp>
          <xdr:nvSpPr>
            <xdr:cNvPr id="4"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3</xdr:row>
      <xdr:rowOff>66675</xdr:rowOff>
    </xdr:from>
    <xdr:ext cx="3933825" cy="2438400"/>
    <xdr:graphicFrame>
      <xdr:nvGraphicFramePr>
        <xdr:cNvPr id="53969065" name="Chart 1" title="Gráfico"/>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7</xdr:col>
      <xdr:colOff>238125</xdr:colOff>
      <xdr:row>3</xdr:row>
      <xdr:rowOff>47625</xdr:rowOff>
    </xdr:from>
    <xdr:ext cx="4772025" cy="2943225"/>
    <xdr:graphicFrame>
      <xdr:nvGraphicFramePr>
        <xdr:cNvPr id="302367401" name="Chart 2" title="Gráfico"/>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238125</xdr:colOff>
      <xdr:row>22</xdr:row>
      <xdr:rowOff>123825</xdr:rowOff>
    </xdr:from>
    <xdr:ext cx="4829175" cy="2943225"/>
    <xdr:graphicFrame>
      <xdr:nvGraphicFramePr>
        <xdr:cNvPr id="1442481249" name="Chart 3" title="Gráfico"/>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8</xdr:col>
      <xdr:colOff>38100</xdr:colOff>
      <xdr:row>22</xdr:row>
      <xdr:rowOff>161925</xdr:rowOff>
    </xdr:from>
    <xdr:ext cx="4638675" cy="2867025"/>
    <xdr:graphicFrame>
      <xdr:nvGraphicFramePr>
        <xdr:cNvPr id="2034479003" name="Chart 4" title="Gráfico"/>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1</xdr:col>
      <xdr:colOff>171450</xdr:colOff>
      <xdr:row>16</xdr:row>
      <xdr:rowOff>171450</xdr:rowOff>
    </xdr:from>
    <xdr:ext cx="2981325" cy="2857500"/>
    <mc:AlternateContent>
      <mc:Choice Requires="sle15">
        <xdr:graphicFrame>
          <xdr:nvGraphicFramePr>
            <xdr:cNvPr id="5" name="Column1_5"/>
            <xdr:cNvGraphicFramePr/>
          </xdr:nvGraphicFramePr>
          <xdr:xfrm>
            <a:off x="0" y="0"/>
            <a:ext cx="0" cy="0"/>
          </xdr:xfrm>
          <a:graphic>
            <a:graphicData uri="http://schemas.microsoft.com/office/drawing/2010/slicer">
              <x3Unk:slicer name="Column1_5"/>
            </a:graphicData>
          </a:graphic>
        </xdr:graphicFrame>
      </mc:Choice>
      <mc:Fallback>
        <xdr:sp>
          <xdr:nvSpPr>
            <xdr:cNvPr id="5"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8</xdr:col>
      <xdr:colOff>447675</xdr:colOff>
      <xdr:row>19</xdr:row>
      <xdr:rowOff>57150</xdr:rowOff>
    </xdr:from>
    <xdr:ext cx="2981325" cy="2857500"/>
    <mc:AlternateContent>
      <mc:Choice Requires="sle15">
        <xdr:graphicFrame>
          <xdr:nvGraphicFramePr>
            <xdr:cNvPr id="6" name="Origen pasaporte_6"/>
            <xdr:cNvGraphicFramePr/>
          </xdr:nvGraphicFramePr>
          <xdr:xfrm>
            <a:off x="0" y="0"/>
            <a:ext cx="0" cy="0"/>
          </xdr:xfrm>
          <a:graphic>
            <a:graphicData uri="http://schemas.microsoft.com/office/drawing/2010/slicer">
              <x3Unk:slicer name="Origen pasaporte_6"/>
            </a:graphicData>
          </a:graphic>
        </xdr:graphicFrame>
      </mc:Choice>
      <mc:Fallback>
        <xdr:sp>
          <xdr:nvSpPr>
            <xdr:cNvPr id="6"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1</xdr:col>
      <xdr:colOff>552450</xdr:colOff>
      <xdr:row>38</xdr:row>
      <xdr:rowOff>171450</xdr:rowOff>
    </xdr:from>
    <xdr:ext cx="2981325" cy="2857500"/>
    <mc:AlternateContent>
      <mc:Choice Requires="sle15">
        <xdr:graphicFrame>
          <xdr:nvGraphicFramePr>
            <xdr:cNvPr id="7" name="Column1_7"/>
            <xdr:cNvGraphicFramePr/>
          </xdr:nvGraphicFramePr>
          <xdr:xfrm>
            <a:off x="0" y="0"/>
            <a:ext cx="0" cy="0"/>
          </xdr:xfrm>
          <a:graphic>
            <a:graphicData uri="http://schemas.microsoft.com/office/drawing/2010/slicer">
              <x3Unk:slicer name="Column1_7"/>
            </a:graphicData>
          </a:graphic>
        </xdr:graphicFrame>
      </mc:Choice>
      <mc:Fallback>
        <xdr:sp>
          <xdr:nvSpPr>
            <xdr:cNvPr id="7"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9</xdr:col>
      <xdr:colOff>419100</xdr:colOff>
      <xdr:row>38</xdr:row>
      <xdr:rowOff>142875</xdr:rowOff>
    </xdr:from>
    <xdr:ext cx="2857500" cy="2857500"/>
    <mc:AlternateContent>
      <mc:Choice Requires="sle15">
        <xdr:graphicFrame>
          <xdr:nvGraphicFramePr>
            <xdr:cNvPr id="8" name="Continente_8"/>
            <xdr:cNvGraphicFramePr/>
          </xdr:nvGraphicFramePr>
          <xdr:xfrm>
            <a:off x="0" y="0"/>
            <a:ext cx="0" cy="0"/>
          </xdr:xfrm>
          <a:graphic>
            <a:graphicData uri="http://schemas.microsoft.com/office/drawing/2010/slicer">
              <x3Unk:slicer name="Continente_8"/>
            </a:graphicData>
          </a:graphic>
        </xdr:graphicFrame>
      </mc:Choice>
      <mc:Fallback>
        <xdr:sp>
          <xdr:nvSpPr>
            <xdr:cNvPr id="8"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wsDr>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R1100" sheet="Base Trabajada"/>
  </cacheSource>
  <cacheFields>
    <cacheField name="Fecha de llegada" numFmtId="164">
      <sharedItems containsDate="1" containsString="0" containsBlank="1">
        <d v="2022-10-17T00:00:00Z"/>
        <d v="2022-10-19T00:00:00Z"/>
        <d v="2022-10-18T00:00:00Z"/>
        <d v="2022-10-21T00:00:00Z"/>
        <d v="2022-10-25T00:00:00Z"/>
        <d v="2022-10-27T00:00:00Z"/>
        <d v="2022-10-28T00:00:00Z"/>
        <d v="2022-10-31T00:00:00Z"/>
        <d v="2022-11-07T00:00:00Z"/>
        <d v="2022-11-04T00:00:00Z"/>
        <d v="2022-11-08T00:00:00Z"/>
        <d v="2022-11-09T00:00:00Z"/>
        <d v="2022-11-11T00:00:00Z"/>
        <d v="2022-11-14T00:00:00Z"/>
        <d v="2022-11-01T00:00:00Z"/>
        <d v="2022-11-18T00:00:00Z"/>
        <d v="2022-11-22T00:00:00Z"/>
        <d v="2022-11-23T00:00:00Z"/>
        <d v="2022-11-24T00:00:00Z"/>
        <d v="2022-11-28T00:00:00Z"/>
        <d v="2022-11-29T00:00:00Z"/>
        <d v="2022-11-30T00:00:00Z"/>
        <d v="2022-12-02T00:00:00Z"/>
        <d v="2022-12-06T00:00:00Z"/>
        <d v="2022-12-07T00:00:00Z"/>
        <d v="2022-12-13T00:00:00Z"/>
        <d v="2022-12-14T00:00:00Z"/>
        <d v="2022-12-15T00:00:00Z"/>
        <d v="2022-12-16T00:00:00Z"/>
        <d v="2022-12-22T00:00:00Z"/>
        <d v="2022-12-26T00:00:00Z"/>
        <d v="2022-12-27T00:00:00Z"/>
        <d v="2022-12-29T00:00:00Z"/>
        <d v="2022-12-30T00:00:00Z"/>
        <d v="2022-12-19T00:00:00Z"/>
        <d v="2023-01-13T00:00:00Z"/>
        <d v="2023-01-19T00:00:00Z"/>
        <d v="2023-01-17T00:00:00Z"/>
        <d v="2023-01-24T00:00:00Z"/>
        <d v="2023-01-11T00:00:00Z"/>
        <d v="2023-01-27T00:00:00Z"/>
        <d v="2023-01-31T00:00:00Z"/>
        <d v="2023-02-01T00:00:00Z"/>
        <d v="2023-01-20T00:00:00Z"/>
        <d v="2023-01-30T00:00:00Z"/>
        <d v="2023-02-03T00:00:00Z"/>
        <d v="2023-02-06T00:00:00Z"/>
        <d v="2023-01-26T00:00:00Z"/>
        <d v="2023-02-13T00:00:00Z"/>
        <d v="2023-02-14T00:00:00Z"/>
        <d v="2023-04-26T00:00:00Z"/>
        <d v="2023-02-17T00:00:00Z"/>
        <d v="2023-02-15T00:00:00Z"/>
        <d v="2023-02-16T00:00:00Z"/>
        <d v="2023-02-22T00:00:00Z"/>
        <d v="2023-02-23T00:00:00Z"/>
        <d v="2023-02-27T00:00:00Z"/>
        <d v="2023-02-28T00:00:00Z"/>
        <d v="2023-03-03T00:00:00Z"/>
        <d v="2023-03-01T00:00:00Z"/>
        <d v="2023-03-02T00:00:00Z"/>
        <d v="2023-03-06T00:00:00Z"/>
        <d v="2023-03-07T00:00:00Z"/>
        <d v="2023-02-24T00:00:00Z"/>
        <d v="2023-03-10T00:00:00Z"/>
        <d v="2023-03-14T00:00:00Z"/>
        <d v="2023-03-15T00:00:00Z"/>
        <d v="2023-03-16T00:00:00Z"/>
        <d v="2023-03-17T00:00:00Z"/>
        <d v="2023-03-20T00:00:00Z"/>
        <d v="2023-03-21T00:00:00Z"/>
        <d v="2023-03-22T00:00:00Z"/>
        <d v="2023-03-23T00:00:00Z"/>
        <d v="2023-03-27T00:00:00Z"/>
        <d v="2023-03-28T00:00:00Z"/>
        <d v="2023-03-30T00:00:00Z"/>
        <d v="2023-03-31T00:00:00Z"/>
        <d v="2023-04-03T00:00:00Z"/>
        <d v="2023-04-04T00:00:00Z"/>
        <d v="2023-04-05T00:00:00Z"/>
        <d v="2023-04-10T00:00:00Z"/>
        <d v="2023-04-11T00:00:00Z"/>
        <d v="2023-04-12T00:00:00Z"/>
        <d v="2023-04-13T00:00:00Z"/>
        <d v="2023-04-14T00:00:00Z"/>
        <d v="2023-04-18T00:00:00Z"/>
        <d v="2023-04-19T00:00:00Z"/>
        <d v="2023-04-20T00:00:00Z"/>
        <d v="2023-04-21T00:00:00Z"/>
        <d v="2023-04-25T00:00:00Z"/>
        <d v="2023-04-27T00:00:00Z"/>
        <d v="2023-04-28T00:00:00Z"/>
        <d v="2023-05-02T00:00:00Z"/>
        <d v="2023-05-04T00:00:00Z"/>
        <d v="2023-05-05T00:00:00Z"/>
        <d v="2023-05-09T00:00:00Z"/>
        <d v="2023-05-12T00:00:00Z"/>
        <d v="2023-05-11T00:00:00Z"/>
        <d v="2023-05-16T00:00:00Z"/>
        <d v="2023-05-18T00:00:00Z"/>
        <d v="2023-05-19T00:00:00Z"/>
        <d v="2023-05-22T00:00:00Z"/>
        <d v="2023-05-23T00:00:00Z"/>
        <d v="2023-05-30T00:00:00Z"/>
        <d v="2023-05-31T00:00:00Z"/>
        <d v="2023-06-02T00:00:00Z"/>
        <d v="2023-06-06T00:00:00Z"/>
        <d v="2023-06-08T00:00:00Z"/>
        <d v="2023-06-09T00:00:00Z"/>
        <d v="2023-09-08T00:00:00Z"/>
        <d v="2023-06-13T00:00:00Z"/>
        <d v="2023-06-14T00:00:00Z"/>
        <d v="2023-06-15T00:00:00Z"/>
        <d v="2023-06-21T00:00:00Z"/>
        <d v="2023-06-22T00:00:00Z"/>
        <d v="2023-06-23T00:00:00Z"/>
        <d v="2023-06-27T00:00:00Z"/>
        <d v="2023-06-28T00:00:00Z"/>
        <d v="2023-06-29T00:00:00Z"/>
        <d v="2023-06-30T00:00:00Z"/>
        <d v="2023-07-03T00:00:00Z"/>
        <d v="2023-07-04T00:00:00Z"/>
        <d v="2023-07-05T00:00:00Z"/>
        <d v="2023-07-07T00:00:00Z"/>
        <d v="2023-07-11T00:00:00Z"/>
        <d v="2023-07-10T00:00:00Z"/>
        <d v="2023-07-12T00:00:00Z"/>
        <d v="2023-07-18T00:00:00Z"/>
        <d v="2023-07-20T00:00:00Z"/>
        <d v="2023-07-21T00:00:00Z"/>
        <d v="2023-07-25T00:00:00Z"/>
        <d v="2023-07-26T00:00:00Z"/>
        <d v="2023-07-27T00:00:00Z"/>
        <d v="2023-07-28T00:00:00Z"/>
        <d v="2023-08-01T00:00:00Z"/>
        <d v="2023-08-02T00:00:00Z"/>
        <d v="2023-08-04T00:00:00Z"/>
        <d v="2023-08-08T00:00:00Z"/>
        <d v="2023-08-09T00:00:00Z"/>
        <d v="2023-08-10T00:00:00Z"/>
        <d v="2023-08-11T00:00:00Z"/>
        <d v="2023-08-15T00:00:00Z"/>
        <d v="2023-08-17T00:00:00Z"/>
        <d v="2023-08-18T00:00:00Z"/>
        <d v="2023-08-22T00:00:00Z"/>
        <d v="2023-08-24T00:00:00Z"/>
        <d v="2023-08-25T00:00:00Z"/>
        <m/>
      </sharedItems>
    </cacheField>
    <cacheField name="Numero de guia" numFmtId="3">
      <sharedItems containsString="0" containsBlank="1" containsNumber="1" containsInteger="1">
        <n v="3.643884075E9"/>
        <n v="4.57120643E9"/>
        <n v="5.563157596E9"/>
        <n v="1.467588883E9"/>
        <n v="9.030738216E9"/>
        <n v="7.839167276E9"/>
        <n v="8.249432962E9"/>
        <n v="4.583243626E9"/>
        <n v="5.611820922E9"/>
        <n v="6.98713694E9"/>
        <n v="3.995222884E9"/>
        <n v="9.673398696E9"/>
        <n v="2.824734931E9"/>
        <n v="9.895775956E9"/>
        <n v="3.586447233E9"/>
        <n v="2.583345015E9"/>
        <n v="3.735635514E9"/>
        <n v="2.824753584E9"/>
        <n v="6.328497383E9"/>
        <n v="2.583533864E9"/>
        <n v="9.35098143E9"/>
        <n v="8.52191172E9"/>
        <n v="3.383448714E9"/>
        <n v="7.715769412E9"/>
        <n v="1.513424872E9"/>
        <n v="7.976295364E9"/>
        <n v="6.293532814E9"/>
        <n v="7.765889423E9"/>
        <n v="6.223801625E9"/>
        <n v="5.621307123E9"/>
        <n v="2.732514676E9"/>
        <n v="4.971198035E9"/>
        <n v="8.297366582E9"/>
        <n v="7.424480486E9"/>
        <n v="7.416223625E9"/>
        <n v="2.773726491E9"/>
        <n v="3.378537842E9"/>
        <n v="2.943298772E9"/>
        <n v="7.718622995E9"/>
        <n v="1.513374096E9"/>
        <n v="8.930817582E9"/>
        <n v="2.16849171E9"/>
        <n v="8.96352163E9"/>
        <n v="7.579272433E9"/>
        <n v="3.275114695E9"/>
        <n v="5.538817465E9"/>
        <n v="5.015195511E9"/>
        <n v="4.033407254E9"/>
        <n v="7.715746824E9"/>
        <n v="1.56975406E9"/>
        <n v="7.181106214E9"/>
        <n v="7.718303611E9"/>
        <n v="2.568288262E9"/>
        <n v="2.996927113E9"/>
        <n v="4.032978865E9"/>
        <n v="5.328769644E9"/>
        <n v="7.718535182E9"/>
        <n v="3.702967844E9"/>
        <n v="5.672646582E9"/>
        <n v="5.526799202E9"/>
        <n v="5.526787582E9"/>
        <n v="5.508135544E9"/>
        <n v="6.429525465E9"/>
        <n v="2.883436651E9"/>
        <n v="5.508270471E9"/>
        <n v="6.859817624E9"/>
        <n v="2.378733276E9"/>
        <n v="4.43327864E9"/>
        <n v="2.384246583E9"/>
        <n v="7.355726722E9"/>
        <n v="9.870563496E9"/>
        <n v="3.699733472E9"/>
        <n v="3.390086906E9"/>
        <n v="1.097832632E9"/>
        <n v="5.992876212E9"/>
        <n v="6.447052791E9"/>
        <n v="8.14461284E9"/>
        <n v="2.023592196E9"/>
        <n v="2.324471015E9"/>
        <n v="3.31912763E9"/>
        <n v="5.370734095E9"/>
        <n v="4.106642665E9"/>
        <n v="7.18107635E9"/>
        <n v="4.347282892E9"/>
        <n v="3.790526552E9"/>
        <n v="7.447323995E9"/>
        <n v="7.447338242E9"/>
        <n v="6.924031844E9"/>
        <n v="1.773358473E9"/>
        <n v="5.839758562E9"/>
        <n v="4.742858794E9"/>
        <n v="6.827937093E9"/>
        <n v="9.606388665E9"/>
        <n v="8.257968633E9"/>
        <n v="7.462228745E9"/>
        <n v="5.106948361E9"/>
        <n v="6.370068003E9"/>
        <n v="1.419231936E9"/>
        <n v="5.251045321E9"/>
        <n v="1.592620315E9"/>
        <n v="5.442689626E9"/>
        <n v="9.606409245E9"/>
        <n v="4.328899396E9"/>
        <n v="5.251041084E9"/>
        <n v="6.500386712E9"/>
        <n v="3.435910155E9"/>
        <n v="5.487296636E9"/>
        <n v="5.10676166E9"/>
        <n v="4.125553751E9"/>
        <n v="1.29901009E9"/>
        <n v="5.09083953E9"/>
        <n v="2.218419965E9"/>
        <n v="4.984782025E9"/>
        <n v="2.960991272E9"/>
        <n v="3.188533585E9"/>
        <n v="2.440433026E9"/>
        <n v="4.492068582E9"/>
        <n v="9.855941303E9"/>
        <n v="3.407160842E9"/>
        <n v="6.331043132E9"/>
        <n v="1.300758395E9"/>
        <n v="4.967665146E9"/>
        <n v="1.278564685E9"/>
        <n v="8.91321473E9"/>
        <n v="5.014954755E9"/>
        <n v="8.459905624E9"/>
        <n v="2.330118825E9"/>
        <n v="1.128625772E9"/>
        <n v="9.629086412E9"/>
        <n v="1.394197582E9"/>
        <n v="1.128596431E9"/>
        <n v="2.200978485E9"/>
        <n v="8.910535852E9"/>
        <n v="2.616911555E9"/>
        <n v="6.33102519E9"/>
        <n v="6.324796203E9"/>
        <n v="8.459840406E9"/>
        <n v="1.80588982E9"/>
        <n v="3.095450374E9"/>
        <n v="4.958089474E9"/>
        <n v="1.290405981E9"/>
        <n v="4.936512766E9"/>
        <n v="3.095294462E9"/>
        <n v="1.414790462E9"/>
        <n v="6.42653928E9"/>
        <n v="4.561387364E9"/>
        <n v="8.087134053E9"/>
        <n v="8.087146701E9"/>
        <n v="5.738105365E9"/>
        <n v="7.07913689E9"/>
        <n v="3.243359895E9"/>
        <n v="4.090829805E9"/>
        <n v="8.343811965E9"/>
        <n v="1.216497391E9"/>
        <n v="4.210819852E9"/>
        <n v="4.609606282E9"/>
        <n v="2.804248381E9"/>
        <n v="6.063147543E9"/>
        <n v="6.838434761E9"/>
        <n v="5.567814836E9"/>
        <n v="3.20751207E9"/>
        <n v="4.904506294E9"/>
        <n v="4.601480251E9"/>
        <n v="6.662259402E9"/>
        <n v="6.399409634E9"/>
        <n v="6.399408886E9"/>
        <n v="1.448927255E9"/>
        <n v="4.790378434E9"/>
        <n v="1.4489643E9"/>
        <n v="3.007630124E9"/>
        <n v="1.955771252E9"/>
        <n v="1.05799827E9"/>
        <n v="7.096738062E9"/>
        <n v="3.189660412E9"/>
        <n v="9.865284424E9"/>
        <n v="1.275525366E9"/>
        <n v="8.350955642E9"/>
        <n v="7.312874085E9"/>
        <n v="2.899230622E9"/>
        <n v="7.011741004E9"/>
        <n v="4.378161535E9"/>
        <n v="4.230458993E9"/>
        <n v="1.183174473E9"/>
        <n v="7.238987081E9"/>
        <n v="6.62950134E9"/>
        <n v="2.245235403E9"/>
        <n v="6.372506722E9"/>
        <n v="7.955374663E9"/>
        <n v="9.493827895E9"/>
        <n v="4.342560655E9"/>
        <n v="3.458094231E9"/>
        <n v="3.247938396E9"/>
        <n v="2.021734094E9"/>
        <n v="1.65627651E9"/>
        <n v="1.109635155E9"/>
        <n v="4.230423363E9"/>
        <n v="3.182933445E9"/>
        <n v="9.520001735E9"/>
        <n v="6.870382584E9"/>
        <n v="2.995863566E9"/>
        <n v="9.873020916E9"/>
        <n v="1.968369631E9"/>
        <n v="9.511692385E9"/>
        <n v="4.489346411E9"/>
        <n v="9.87303513E9"/>
        <n v="9.784616472E9"/>
        <n v="5.999907023E9"/>
        <n v="1.900432726E9"/>
        <n v="5.522736354E9"/>
        <n v="7.612076415E9"/>
        <n v="3.182899473E9"/>
        <n v="3.40919467E9"/>
        <n v="9.984011251E9"/>
        <n v="9.650997215E9"/>
        <n v="4.807640681E9"/>
        <n v="5.203112316E9"/>
        <n v="8.010806646E9"/>
        <n v="8.436441031E9"/>
        <n v="5.475598251E9"/>
        <n v="7.510727464E9"/>
        <n v="8.964012072E9"/>
        <n v="9.784620893E9"/>
        <n v="9.64085948E9"/>
        <n v="8.010803835E9"/>
        <n v="1.418955753E9"/>
        <n v="1.79823714E9"/>
        <n v="4.93211656E9"/>
        <n v="9.497807336E9"/>
        <n v="4.61077855E9"/>
        <n v="6.853797602E9"/>
        <n v="8.255234805E9"/>
        <n v="7.504707416E9"/>
        <n v="4.932088081E9"/>
        <n v="2.061657732E9"/>
        <n v="8.663145724E9"/>
        <n v="4.727163744E9"/>
        <n v="8.482407371E9"/>
        <n v="6.09845733E9"/>
        <n v="6.098478245E9"/>
        <n v="8.242209205E9"/>
        <n v="8.198588554E9"/>
        <n v="1.170049613E9"/>
        <n v="9.50757332E9"/>
        <n v="4.077071666E9"/>
        <n v="4.575224474E9"/>
        <n v="3.72484581E9"/>
        <n v="4.56948709E9"/>
        <n v="8.198591682E9"/>
        <n v="4.07704899E9"/>
        <n v="2.39799504E9"/>
        <n v="9.507590621E9"/>
        <n v="5.401384203E9"/>
        <n v="2.996789176E9"/>
        <n v="6.282426102E9"/>
        <n v="9.507590002E9"/>
        <n v="3.183000575E9"/>
        <n v="9.062481783E9"/>
        <n v="2.414141855E9"/>
        <n v="2.41417603E9"/>
        <n v="8.913898405E9"/>
        <n v="3.183005906E9"/>
        <n v="5.39612465E9"/>
        <n v="9.673498822E9"/>
        <n v="6.369047661E9"/>
        <n v="7.390951654E9"/>
        <n v="9.507628771E9"/>
        <n v="8.227436711E9"/>
        <n v="6.067973402E9"/>
        <n v="7.702559174E9"/>
        <n v="1.151993651E9"/>
        <n v="4.744055116E9"/>
        <n v="2.911360642E9"/>
        <n v="1.508364826E9"/>
        <n v="2.418266465E9"/>
        <n v="5.878787364E9"/>
        <n v="8.552573131E9"/>
        <n v="4.875171943E9"/>
        <n v="2.82086602E9"/>
        <n v="6.178725475E9"/>
        <n v="2.503917172E9"/>
        <n v="6.64711425E9"/>
        <n v="4.973345042E9"/>
        <n v="5.001800053E9"/>
        <n v="3.268010071E9"/>
        <n v="1.249784281E9"/>
        <n v="7.157262276E9"/>
        <n v="8.475398492E9"/>
        <n v="6.647088092E9"/>
        <n v="3.395732642E9"/>
        <n v="5.734089712E9"/>
        <n v="4.973331075E9"/>
        <n v="9.86430123E9"/>
        <n v="9.86429766E9"/>
        <n v="1.3653437E9"/>
        <n v="3.453691382E9"/>
        <n v="5.325658494E9"/>
        <n v="8.3641614E9"/>
        <n v="9.651014995E9"/>
        <n v="1.214056911E9"/>
        <n v="5.667223903E9"/>
        <n v="2.63642407E9"/>
        <n v="2.27137078E9"/>
        <n v="5.66717249E9"/>
        <n v="5.001802761E9"/>
        <n v="5.001805141E9"/>
        <n v="1.874327291E9"/>
        <n v="1.87433232E9"/>
        <n v="1.564503076E9"/>
        <n v="2.271372176E9"/>
        <n v="9.864275175E9"/>
        <n v="1.581103591E9"/>
        <n v="1.253222784E9"/>
        <n v="7.436963251E9"/>
        <n v="1.102558774E9"/>
        <n v="2.692715421E9"/>
        <n v="9.864348653E9"/>
        <n v="5.534232152E9"/>
        <n v="5.32566664E9"/>
        <n v="5.667179092E9"/>
        <n v="1.365358046E9"/>
        <n v="9.782492506E9"/>
        <n v="1.581102655E9"/>
        <n v="8.364173882E9"/>
        <n v="9.164721241E9"/>
        <n v="8.610053314E9"/>
        <n v="2.006490813E9"/>
        <n v="2.766714915E9"/>
        <n v="5.534407126E9"/>
        <n v="5.55429532E9"/>
        <n v="1.102557702E9"/>
        <n v="3.825435526E9"/>
        <n v="7.95696069E9"/>
        <n v="6.647161964E9"/>
        <n v="6.647155992E9"/>
        <n v="2.006475074E9"/>
        <n v="2.271375116E9"/>
        <n v="4.68559035E9"/>
        <n v="1.043981794E9"/>
        <n v="7.698597815E9"/>
        <n v="1.30929372E9"/>
        <n v="5.66717746E9"/>
        <n v="9.782491305E9"/>
        <n v="3.825456714E9"/>
        <n v="4.064488805E9"/>
        <n v="4.34503328E9"/>
        <n v="9.941463416E9"/>
        <n v="3.395746955E9"/>
        <n v="7.47526521E9"/>
        <n v="5.559360494E9"/>
        <n v="7.956952754E9"/>
        <n v="8.485059332E9"/>
        <n v="3.718733152E9"/>
        <n v="7.171699636E9"/>
        <n v="3.523443884E9"/>
        <n v="5.231243522E9"/>
        <n v="3.718747362E9"/>
        <n v="3.457829384E9"/>
        <n v="6.778434014E9"/>
        <n v="2.456634213E9"/>
        <n v="6.561925532E9"/>
        <n v="3.52342949E9"/>
        <n v="3.15795683E9"/>
        <n v="3.656178761E9"/>
        <n v="6.691274671E9"/>
        <n v="1.87434877E9"/>
        <n v="6.303539045E9"/>
        <n v="1.309740434E9"/>
        <n v="5.411435293E9"/>
        <n v="5.559360354E9"/>
        <n v="7.032016051E9"/>
        <n v="7.171673692E9"/>
        <n v="8.72595878E9"/>
        <n v="6.281137004E9"/>
        <n v="3.656200973E9"/>
        <n v="9.605785803E9"/>
        <n v="8.526485376E9"/>
        <n v="7.702524944E9"/>
        <n v="3.054754076E9"/>
        <n v="2.211442866E9"/>
        <n v="6.175247901E9"/>
        <n v="3.899487255E9"/>
        <n v="3.281732123E9"/>
        <n v="4.172366516E9"/>
        <n v="3.624617732E9"/>
        <n v="4.104130623E9"/>
        <n v="3.50285894E9"/>
        <n v="4.630159446E9"/>
        <n v="4.829475442E9"/>
        <n v="3.782798331E9"/>
        <n v="9.882443292E9"/>
        <n v="6.18691458E9"/>
        <n v="2.486733325E9"/>
        <n v="7.475240382E9"/>
        <n v="1.58110869E9"/>
        <n v="5.771650286E9"/>
        <n v="6.561964673E9"/>
        <n v="3.50294952E9"/>
        <n v="1.922231006E9"/>
        <n v="1.274452804E9"/>
        <n v="2.906094332E9"/>
        <n v="9.52564795E9"/>
        <n v="2.838790776E9"/>
        <n v="4.631990451E9"/>
        <n v="1.00532285E9"/>
        <n v="2.168635066E9"/>
        <n v="7.13814493E9"/>
        <n v="2.906088441E9"/>
        <n v="5.875215393E9"/>
        <n v="6.186912944E9"/>
        <n v="4.160562932E9"/>
        <n v="2.879824286E9"/>
        <n v="1.923874525E9"/>
        <n v="1.370198126E9"/>
        <n v="1.922190885E9"/>
        <n v="1.04172411E9"/>
        <n v="2.906023466E9"/>
        <n v="2.9060626E9"/>
        <n v="4.743595964E9"/>
        <n v="3.352797114E9"/>
        <n v="7.19408277E9"/>
        <n v="1.923874805E9"/>
        <n v="9.026856053E9"/>
        <n v="2.404251916E9"/>
        <n v="4.2581742E9"/>
        <n v="6.303544085E9"/>
        <n v="6.46534168E9"/>
        <n v="8.662660985E9"/>
        <n v="5.813243155E9"/>
        <n v="7.515993903E9"/>
        <n v="2.696953044E9"/>
        <n v="1.454092076E9"/>
        <n v="7.887003784E9"/>
        <n v="7.886990252E9"/>
        <n v="8.725961893E9"/>
        <n v="6.186914285E9"/>
        <n v="2.906041946E9"/>
        <n v="3.542258661E9"/>
        <n v="5.813252911E9"/>
        <n v="9.026857453E9"/>
        <n v="7.768400544E9"/>
        <n v="6.226454146E9"/>
        <n v="2.722095854E9"/>
        <n v="9.688772612E9"/>
        <n v="9.645582752E9"/>
        <n v="1.289967103E9"/>
        <n v="4.018520881E9"/>
        <n v="7.925380223E9"/>
        <n v="2.386668863E9"/>
        <n v="3.421884023E9"/>
        <n v="9.88243158E9"/>
        <n v="9.878487511E9"/>
        <n v="9.247055241E9"/>
        <n v="1.08775331E9"/>
        <n v="1.670953421E9"/>
        <n v="3.568269725E9"/>
        <n v="5.987551113E9"/>
        <n v="1.267152095E9"/>
        <n v="7.504825425E9"/>
        <n v="8.600355072E9"/>
        <n v="6.781669856E9"/>
        <n v="8.474050675E9"/>
        <n v="6.071611173E9"/>
        <n v="5.554460413E9"/>
        <n v="1.821350694E9"/>
        <n v="1.39538399E9"/>
        <n v="4.0994359E9"/>
        <n v="4.260079762E9"/>
        <n v="4.099474046E9"/>
        <n v="1.085397515E9"/>
        <n v="3.049617723E9"/>
        <n v="1.41675653E9"/>
        <n v="5.014407366E9"/>
        <n v="3.049615796E9"/>
        <n v="6.110433766E9"/>
        <n v="4.099481492E9"/>
        <n v="9.8647619E9"/>
        <n v="3.795633446E9"/>
        <n v="8.055641296E9"/>
        <n v="4.726488255E9"/>
        <n v="1.453821456E9"/>
        <n v="3.412358902E9"/>
        <n v="3.037995741E9"/>
        <n v="3.824558441E9"/>
        <n v="7.297205613E9"/>
        <n v="4.90773983E9"/>
        <n v="9.52021308E9"/>
        <n v="4.938834876E9"/>
        <n v="4.113219585E9"/>
        <n v="3.038014302E9"/>
        <n v="7.72927239E9"/>
        <n v="9.417192341E9"/>
        <n v="3.683570726E9"/>
        <n v="4.084592024E9"/>
        <n v="5.014534965E9"/>
        <n v="5.014516883E9"/>
        <n v="6.189116916E9"/>
        <n v="4.015549904E9"/>
        <n v="7.73452799E9"/>
        <n v="6.189184676E9"/>
        <n v="4.535524652E9"/>
        <n v="3.412367291E9"/>
        <n v="8.746401554E9"/>
        <n v="1.84694342E9"/>
        <n v="9.198662082E9"/>
        <n v="7.602846893E9"/>
        <n v="6.90440317E9"/>
        <n v="2.636440052E9"/>
        <n v="5.994692631E9"/>
        <n v="6.813128545E9"/>
        <n v="9.41722355E9"/>
        <n v="4.912253894E9"/>
        <n v="7.602838331E9"/>
        <n v="7.602775526E9"/>
        <n v="5.988239784E9"/>
        <n v="4.89184241E9"/>
        <n v="4.115459191E9"/>
        <n v="2.967555183E9"/>
        <n v="1.84692256E9"/>
        <n v="3.683588871E9"/>
        <n v="7.436917025E9"/>
        <n v="4.535509366E9"/>
        <n v="2.799008892E9"/>
        <n v="6.227207394E9"/>
        <n v="6.767189822E9"/>
        <n v="5.400888054E9"/>
        <n v="5.567258502E9"/>
        <n v="8.607911034E9"/>
        <n v="5.271083893E9"/>
        <n v="7.602842026E9"/>
        <n v="7.214092594E9"/>
        <n v="2.483169135E9"/>
        <n v="3.322882485E9"/>
        <n v="9.787795264E9"/>
        <n v="5.753278226E9"/>
        <n v="2.186366663E9"/>
        <n v="2.563332321E9"/>
        <n v="2.651037115E9"/>
        <n v="6.180658853E9"/>
        <n v="9.108303175E9"/>
        <n v="4.148398914E9"/>
        <n v="9.108300784E9"/>
        <n v="2.651086126E9"/>
        <n v="5.105286546E9"/>
        <n v="6.180727173E9"/>
        <n v="2.62077235E9"/>
        <n v="5.553938574E9"/>
        <n v="8.746431396E9"/>
        <n v="7.076711106E9"/>
        <n v="9.612034891E9"/>
        <n v="2.6207426E9"/>
        <n v="6.529729404E9"/>
        <n v="2.803050121E9"/>
        <n v="4.731836034E9"/>
        <n v="4.493968356E9"/>
        <n v="9.295785214E9"/>
        <n v="6.529752935E9"/>
        <n v="1.89414127E9"/>
        <n v="2.040190401E9"/>
        <n v="1.076029835E9"/>
        <n v="3.038001945E9"/>
        <n v="1.033919121E9"/>
        <n v="6.904426056E9"/>
        <n v="6.007493435E9"/>
        <n v="7.459882544E9"/>
        <n v="1.37126983E9"/>
        <n v="6.529752692E9"/>
        <n v="5.23217695E9"/>
        <n v="6.328446386E9"/>
        <n v="3.807508666E9"/>
        <n v="1.12372596E9"/>
        <n v="1.123716554E9"/>
        <n v="8.61662739E9"/>
        <n v="2.320188065E9"/>
        <n v="5.27110024E9"/>
        <n v="2.286905412E9"/>
        <n v="2.91873435E9"/>
        <n v="6.84369658E9"/>
        <n v="4.132497154E9"/>
        <n v="9.76919307E9"/>
        <n v="2.595525096E9"/>
        <n v="2.595474954E9"/>
        <n v="4.168924701E9"/>
        <n v="8.99314626E9"/>
        <n v="6.18908486E9"/>
        <n v="5.553942866E9"/>
        <n v="6.529718086E9"/>
        <n v="4.967389324E9"/>
        <n v="6.191226554E9"/>
        <n v="4.731862741E9"/>
        <n v="7.214007522E9"/>
        <n v="5.385229161E9"/>
        <n v="4.168925666E9"/>
        <n v="6.191187004E9"/>
        <n v="3.152757915E9"/>
        <n v="4.103675052E9"/>
        <n v="6.568570735E9"/>
        <n v="4.13259329E9"/>
        <n v="4.471635383E9"/>
        <n v="4.888007445E9"/>
        <n v="9.730661846E9"/>
        <n v="4.967335343E9"/>
        <n v="1.471993143E9"/>
        <n v="1.630809331E9"/>
        <n v="3.65882391E9"/>
        <n v="7.986880392E9"/>
        <n v="2.621020511E9"/>
        <n v="1.559327162E9"/>
        <n v="2.649080184E9"/>
        <n v="7.214024812E9"/>
        <n v="1.78479966E9"/>
        <n v="1.630807861E9"/>
        <n v="1.630797722E9"/>
        <n v="5.740047342E9"/>
        <n v="4.103682321E9"/>
        <n v="4.166835691E9"/>
        <n v="2.66828156E9"/>
        <n v="9.813342162E9"/>
        <n v="3.65898225E9"/>
        <n v="4.471633563E9"/>
        <n v="3.800119901E9"/>
        <n v="5.541962366E9"/>
        <n v="7.107860012E9"/>
        <n v="5.140354424E9"/>
        <n v="2.690187684E9"/>
        <n v="2.649089984E9"/>
        <n v="1.284169832E9"/>
        <n v="5.840525541E9"/>
        <n v="2.77398471E9"/>
        <n v="6.501840273E9"/>
        <n v="5.197829302E9"/>
        <n v="6.677248443E9"/>
        <n v="4.182509785E9"/>
        <n v="7.096888164E9"/>
        <n v="3.579581353E9"/>
        <n v="4.967401515E9"/>
        <n v="4.166791171E9"/>
        <n v="3.38592604E9"/>
        <n v="1.284173262E9"/>
        <n v="9.813357024E9"/>
        <n v="9.510156972E9"/>
        <n v="8.009594902E9"/>
        <n v="5.264307893E9"/>
        <n v="2.798980483E9"/>
        <n v="3.807544252E9"/>
        <n v="6.275331145E9"/>
        <n v="1.37070703E9"/>
        <n v="4.132607522E9"/>
        <n v="4.132640002E9"/>
        <n v="2.668289573E9"/>
        <n v="2.668295921E9"/>
        <n v="1.704675755E9"/>
        <n v="2.386108141E9"/>
        <n v="5.770428381E9"/>
        <n v="6.323641984E9"/>
        <n v="4.132479783E9"/>
        <n v="9.730677515E9"/>
        <n v="1.570086615E9"/>
        <n v="2.514086632E9"/>
        <n v="3.30755824E9"/>
        <n v="2.386080115E9"/>
        <n v="4.102673116E9"/>
        <n v="4.588094722E9"/>
        <n v="3.1529183E9"/>
        <n v="6.323557925E9"/>
        <n v="9.557279653E9"/>
        <n v="1.155590936E9"/>
        <n v="2.386103764E9"/>
        <n v="3.041346151E9"/>
        <n v="2.07306848E9"/>
        <n v="4.729498631E9"/>
        <n v="4.221063184E9"/>
        <n v="9.769146365E9"/>
        <n v="9.730684191E9"/>
        <n v="2.61953335E9"/>
        <n v="4.588083765E9"/>
        <n v="1.768877666E9"/>
        <n v="4.588094501E9"/>
        <n v="2.434469354E9"/>
        <n v="6.18309916E9"/>
        <n v="4.257969192E9"/>
        <n v="7.930926404E9"/>
        <n v="4.670943653E9"/>
        <n v="6.793689011E9"/>
        <n v="1.15561117E9"/>
        <n v="4.886999541E9"/>
        <n v="8.951989885E9"/>
        <n v="3.891946984E9"/>
        <n v="1.305261591E9"/>
        <n v="3.361051315E9"/>
        <n v="3.830165496E9"/>
        <n v="2.868656906E9"/>
        <n v="6.18656892E9"/>
        <n v="3.268710395E9"/>
        <n v="8.174030023E9"/>
        <n v="3.639376215E9"/>
        <n v="3.0238677E9"/>
        <n v="7.205562151E9"/>
        <n v="8.17405197E9"/>
        <n v="5.527582863E9"/>
        <n v="7.73941427E9"/>
        <n v="3.405601743E9"/>
        <n v="6.79369012E9"/>
        <n v="5.527575406E9"/>
        <n v="5.056235166E9"/>
        <n v="2.868663136E9"/>
        <n v="7.205564236E9"/>
        <n v="3.26862809E9"/>
        <n v="7.970855911E9"/>
        <n v="5.005946374E9"/>
        <n v="7.479323961E9"/>
        <n v="5.005970454E9"/>
        <n v="2.434426153E9"/>
        <n v="4.729466324E9"/>
        <n v="5.16191305E9"/>
        <n v="3.639377416E9"/>
        <n v="5.541954681E9"/>
        <n v="6.282909253E9"/>
        <n v="4.902152883E9"/>
        <n v="5.250484013E9"/>
        <n v="3.867929111E9"/>
        <n v="3.86526273E9"/>
        <n v="7.729490705E9"/>
        <n v="7.819776064E9"/>
        <n v="3.268706792E9"/>
        <n v="3.048174441E9"/>
        <n v="8.992147522E9"/>
        <n v="4.009012081E9"/>
        <n v="7.930919883E9"/>
        <n v="2.871174456E9"/>
        <n v="6.926539863E9"/>
        <n v="8.992180595E9"/>
        <n v="4.009038622E9"/>
        <n v="7.203615145E9"/>
        <n v="9.812651262E9"/>
        <n v="4.233753543E9"/>
        <n v="7.098505503E9"/>
        <n v="3.865271384E9"/>
        <n v="8.318918742E9"/>
        <n v="9.941793735E9"/>
        <n v="2.212850872E9"/>
        <n v="3.273118413E9"/>
        <n v="8.318932425E9"/>
        <n v="6.119499201E9"/>
        <n v="1.157946182E9"/>
        <n v="1.155619356E9"/>
        <n v="1.77046541E9"/>
        <n v="7.47929994E9"/>
        <n v="3.867937603E9"/>
        <n v="9.94194103E9"/>
        <n v="2.898574803E9"/>
        <n v="6.119496843E9"/>
        <n v="6.793667996E9"/>
        <n v="9.905629742E9"/>
        <n v="2.208285914E9"/>
        <n v="1.72841228E9"/>
        <n v="8.275394853E9"/>
        <n v="7.958188604E9"/>
        <n v="3.865258876E9"/>
        <n v="5.872565775E9"/>
        <n v="1.341126043E9"/>
        <n v="2.864897221E9"/>
        <n v="5.144498892E9"/>
        <n v="6.290436106E9"/>
        <n v="2.882944433E9"/>
        <n v="4.96718285E9"/>
        <n v="2.864919923E9"/>
        <n v="6.382610651E9"/>
        <n v="5.442297302E9"/>
        <n v="2.130604722E9"/>
        <n v="5.775069926E9"/>
        <n v="9.609296572E9"/>
        <n v="8.730430914E9"/>
        <n v="1.239132716E9"/>
        <n v="4.431213555E9"/>
        <n v="7.982468966E9"/>
        <n v="7.703331274E9"/>
        <n v="9.228505915E9"/>
        <n v="8.009730831E9"/>
        <n v="6.07055001E9"/>
        <n v="3.867930043E9"/>
        <n v="7.703295655E9"/>
        <n v="2.486908141E9"/>
        <n v="3.831685701E9"/>
        <n v="5.837292624E9"/>
        <n v="2.48665473E9"/>
        <n v="6.034144281E9"/>
        <n v="2.826640191E9"/>
        <n v="3.83651933E9"/>
        <n v="5.555312556E9"/>
        <n v="3.144584951E9"/>
        <n v="3.144509336E9"/>
        <n v="9.099556734E9"/>
        <n v="7.211697124E9"/>
        <n v="6.382674476E9"/>
        <n v="9.024572874E9"/>
        <n v="8.294632054E9"/>
        <n v="4.610943783E9"/>
        <n v="3.14454777E9"/>
        <n v="3.144544023E9"/>
        <n v="5.383708783E9"/>
        <n v="3.464852742E9"/>
        <n v="7.908795086E9"/>
        <n v="2.254716984E9"/>
        <n v="5.811997225E9"/>
        <n v="5.144501633E9"/>
        <n v="2.486941494E9"/>
        <n v="6.034148223E9"/>
        <n v="5.383758704E9"/>
        <n v="7.908821292E9"/>
        <n v="5.990108084E9"/>
        <n v="3.079169752E9"/>
        <n v="1.010483375E9"/>
        <n v="5.99009103E9"/>
        <n v="2.44985825E9"/>
        <n v="2.54002504E9"/>
        <n v="3.497821003E9"/>
        <n v="1.462063934E9"/>
        <n v="1.6047164E9"/>
        <n v="2.231467313E9"/>
        <n v="2.23446643E9"/>
        <n v="2.104892366E9"/>
        <n v="6.3826588E9"/>
        <n v="6.274071016E9"/>
        <n v="9.102747802E9"/>
        <n v="5.383659676E9"/>
        <n v="3.144521811E9"/>
        <n v="2.415319933E9"/>
        <n v="3.496229015E9"/>
        <n v="4.728852483E9"/>
        <n v="2.59884436E9"/>
        <n v="1.46206844E9"/>
        <n v="7.925078674E9"/>
        <n v="4.96506458E9"/>
        <n v="3.865224694E9"/>
        <n v="4.610938636E9"/>
        <n v="1.462026252E9"/>
        <n v="7.11125457E9"/>
        <n v="4.214112523E9"/>
        <n v="1.46214957E9"/>
        <n v="2.652082705E9"/>
        <n v="3.43793793E9"/>
        <n v="7.197197206E9"/>
        <n v="2.415351046E9"/>
        <n v="3.874471705E9"/>
        <n v="7.014890411E9"/>
        <n v="7.014879141E9"/>
        <n v="3.497815031E9"/>
        <n v="6.931989525E9"/>
        <n v="1.34108065E9"/>
        <n v="3.144577133E9"/>
        <n v="4.214116686E9"/>
        <n v="6.571439803E9"/>
        <n v="2.455258816E9"/>
        <n v="2.878338772E9"/>
        <n v="9.612726605E9"/>
        <n v="6.580999515E9"/>
        <n v="3.27312706E9"/>
        <n v="6.274097443E9"/>
        <n v="2.826590476E9"/>
        <n v="3.189003311E9"/>
        <n v="9.522577842E9"/>
        <n v="3.451939175E9"/>
        <n v="5.250092794E9"/>
        <n v="1.726884924E9"/>
        <n v="4.61096713E9"/>
        <n v="7.71190091E9"/>
        <n v="7.014959652E9"/>
        <n v="5.828591926E9"/>
        <n v="3.064693516E9"/>
        <n v="6.686919621E9"/>
        <n v="7.154766382E9"/>
        <n v="3.100307011E9"/>
        <n v="2.878403743E9"/>
        <n v="5.373314074E9"/>
        <n v="4.59068435E9"/>
        <n v="2.07883599E9"/>
        <n v="5.417493594E9"/>
        <n v="4.627964106E9"/>
        <n v="7.355304504E9"/>
        <n v="4.627953525E9"/>
        <n v="5.836342864E9"/>
        <n v="5.543359706E9"/>
        <n v="3.633922283E9"/>
        <n v="9.93127625E9"/>
        <n v="2.540025574E9"/>
        <n v="1.462163544E9"/>
        <n v="2.436907476E9"/>
        <n v="1.496997176E9"/>
        <n v="7.079741771E9"/>
        <n v="5.50676791E9"/>
        <n v="4.502961982E9"/>
        <n v="1.384084656E9"/>
        <n v="3.123819591E9"/>
        <n v="5.250104635E9"/>
        <n v="3.421355011E9"/>
        <n v="6.572606913E9"/>
        <n v="5.249991865E9"/>
        <n v="5.971892721E9"/>
        <n v="6.485397074E9"/>
        <n v="3.100334436E9"/>
        <n v="4.502959565E9"/>
        <n v="5.417435446E9"/>
        <n v="3.45194661E9"/>
        <n v="4.158995153E9"/>
        <n v="4.897015056E9"/>
        <n v="3.486545694E9"/>
        <n v="3.464801255E9"/>
        <n v="4.214122452E9"/>
        <n v="2.317478365E9"/>
        <n v="2.190676946E9"/>
        <n v="9.987917833E9"/>
        <n v="7.055170323E9"/>
        <n v="6.326903811E9"/>
        <n v="6.304181343E9"/>
        <n v="9.761146743E9"/>
        <n v="1.018463143E9"/>
        <n v="5.506743513E9"/>
        <n v="3.218014236E9"/>
        <n v="1.386276986E9"/>
        <n v="1.66685393E9"/>
        <n v="6.326904205E9"/>
        <n v="3.612086822E9"/>
        <n v="1.40725767E9"/>
        <n v="1.666834304E9"/>
        <n v="3.848345244E9"/>
        <n v="3.12202359E9"/>
        <n v="1.777217934E9"/>
        <n v="1.341141524E9"/>
        <n v="6.274058276E9"/>
        <n v="1.529757386E9"/>
        <n v="9.612711312E9"/>
        <n v="3.633925551E9"/>
        <n v="1.43684772E9"/>
        <n v="9.859039676E9"/>
        <n v="2.543827156E9"/>
        <n v="3.122022676E9"/>
        <n v="1.455830924E9"/>
        <n v="5.302724501E9"/>
        <n v="5.589580415E9"/>
        <n v="2.486638781E9"/>
        <n v="1.324080704E9"/>
        <n v="1.32417838E9"/>
        <n v="1.916119962E9"/>
        <n v="5.261355971E9"/>
        <n v="4.336194656E9"/>
        <n v="9.808875322E9"/>
        <n v="4.61186565E9"/>
        <n v="2.212256863E9"/>
        <n v="6.177697536E9"/>
        <n v="4.610970151E9"/>
        <n v="1.462089226E9"/>
        <n v="4.9650643E9"/>
        <n v="3.496264822E9"/>
        <n v="5.302683492E9"/>
        <n v="1.113390213E9"/>
        <n v="8.370383626E9"/>
        <n v="5.59828157E9"/>
        <n v="9.793225245E9"/>
        <n v="3.129376655E9"/>
        <n v="7.511488261E9"/>
        <n v="6.326931564E9"/>
        <n v="2.543766643E9"/>
        <n v="5.48690751E9"/>
        <n v="8.217607296E9"/>
        <n v="9.793147932E9"/>
        <n v="6.980995383E9"/>
        <n v="1.217236753E9"/>
        <n v="2.486893452E9"/>
        <n v="1.174314315E9"/>
        <n v="6.572597242E9"/>
        <n v="6.697837801E9"/>
        <n v="4.981769391E9"/>
        <n v="6.419360894E9"/>
        <n v="8.370364682E9"/>
        <n v="9.815102872E9"/>
        <n v="1.140111044E9"/>
        <n v="9.793144756E9"/>
        <n v="8.433026895E9"/>
        <n v="6.980958574E9"/>
        <n v="7.51459464E9"/>
        <n v="3.8954958E9"/>
        <n v="1.217244571E9"/>
        <n v="3.627711146E9"/>
        <n v="8.324866476E9"/>
        <n v="5.76743468E9"/>
        <n v="2.992430976E9"/>
        <n v="8.324857785E9"/>
        <n v="4.897012945E9"/>
        <n v="1.66681459E9"/>
        <n v="6.926862423E9"/>
        <n v="2.543793184E9"/>
        <n v="8.224352091E9"/>
        <n v="3.129384215E9"/>
        <n v="4.42268001E9"/>
        <n v="6.980967641E9"/>
        <n v="1.167020875E9"/>
        <n v="8.433019803E9"/>
        <n v="1.551403162E9"/>
        <n v="3.627739161E9"/>
        <n v="2.992440581E9"/>
        <n v="7.736457271E9"/>
        <n v="5.767447814E9"/>
        <n v="7.389475015E9"/>
        <n v="3.750197964E9"/>
        <n v="8.395504246E9"/>
        <n v="6.697679074E9"/>
        <n v="9.80888111E9"/>
        <n v="6.37030639E9"/>
        <n v="5.772041822E9"/>
        <n v="3.1293934E9"/>
        <n v="1.453095906E9"/>
        <n v="1.453169454E9"/>
        <n v="8.236538494E9"/>
        <n v="9.781204145E9"/>
        <n v="1.172868561E9"/>
        <n v="4.806951645E9"/>
        <n v="8.41815821E9"/>
        <n v="6.770850236E9"/>
        <n v="1.470565493E9"/>
        <n v="6.162485571E9"/>
        <n v="6.162522715E9"/>
        <n v="7.954957765E9"/>
        <n v="1.754088184E9"/>
        <n v="4.270403362E9"/>
        <n v="5.417491516E9"/>
        <n v="6.980973996E9"/>
        <n v="1.172854524E9"/>
        <n v="7.160078376E9"/>
        <n v="2.34081771E9"/>
        <n v="5.162230662E9"/>
        <n v="4.105956481E9"/>
        <n v="4.125468001E9"/>
        <n v="3.32728046E9"/>
        <n v="8.398236335E9"/>
        <n v="1.812049923E9"/>
        <n v="4.560525266E9"/>
        <n v="3.287356796E9"/>
        <n v="3.437971003E9"/>
        <n v="3.633846381E9"/>
        <n v="1.666854652E9"/>
        <n v="4.1590605E9"/>
        <n v="6.980992756E9"/>
        <n v="3.895489415E9"/>
        <n v="7.736409656E9"/>
        <n v="6.770856831E9"/>
        <n v="7.160067261E9"/>
        <n v="5.140509091E9"/>
        <n v="7.079049961E9"/>
        <n v="9.463143583E9"/>
        <n v="8.304860056E9"/>
        <n v="5.767370442E9"/>
        <n v="4.261426304E9"/>
        <n v="5.723239001E9"/>
        <n v="2.623527454E9"/>
        <n v="1.812011375E9"/>
        <n v="5.535081786E9"/>
        <n v="7.416031906E9"/>
        <n v="3.464872806E9"/>
        <n v="1.666874193E9"/>
        <n v="9.859005413E9"/>
        <n v="9.815116824E9"/>
        <n v="5.771732153E9"/>
        <n v="2.212629425E9"/>
        <n v="5.767448853E9"/>
        <n v="7.160059992E9"/>
        <n v="1.377090746E9"/>
        <n v="4.125493105E9"/>
        <n v="9.067774785E9"/>
        <n v="1.646608353E9"/>
        <n v="5.535079104E9"/>
        <n v="8.209385472E9"/>
        <n v="3.574438593E9"/>
        <n v="9.606819596E9"/>
        <n v="8.726291836E9"/>
        <n v="5.860931403E9"/>
        <n v="8.726295966E9"/>
        <n v="9.167845901E9"/>
        <n v="4.008838046E9"/>
        <n v="3.895471086E9"/>
        <n v="1.015786306E9"/>
        <n v="9.781190786E9"/>
        <n v="8.418210032E9"/>
        <n v="7.106981486E9"/>
        <n v="4.40020763E9"/>
        <n v="1.581245094E9"/>
        <n v="9.651400172E9"/>
        <n v="8.726230516E9"/>
        <n v="4.008884935E9"/>
        <n v="2.63135908E9"/>
        <n v="9.022291563E9"/>
        <n v="6.9809474E9"/>
        <n v="5.723247261E9"/>
        <n v="2.936127622E9"/>
        <n v="1.109938723E9"/>
        <n v="6.162483003E9"/>
        <n v="5.162225014E9"/>
        <n v="1.581258055E9"/>
        <n v="4.992229896E9"/>
        <m/>
      </sharedItems>
    </cacheField>
    <cacheField name="Nombre" numFmtId="49">
      <sharedItems containsBlank="1">
        <s v="KARINA ROCIO CHEMES"/>
        <s v="SOTELO HERNAN JOSE EDUARDO"/>
        <s v="MARIA DE LAS NIEVES BECERRA"/>
        <s v="FRANCISCO CHOQUIS"/>
        <s v="MIROLO SOFIA ALEJANDRA"/>
        <s v="delfina mizrahi"/>
        <s v="RAFAEL TOBIAS BULACIO"/>
        <s v="MARIA GRACIELA LAVADO"/>
        <s v="augusto pena"/>
        <s v="RAUL ALFREDO AGUIRRE"/>
        <s v="MARIA CECILIA TORRES DE AGUIRRE"/>
        <s v="SUSANA FUENTES"/>
        <s v="cinthia natalia nuñez"/>
        <s v="JORGE ESTEBAN EGOZCUE"/>
        <s v="Juan sebastian brite salazar"/>
        <s v="patricio ascarate"/>
        <s v="martin allo"/>
        <s v="MARTIN RODRIGO ALEXANDER"/>
        <s v="HERNAN PEREZ"/>
        <s v="CARLOS MARIA APUD"/>
        <s v="martina luciana diaz"/>
        <s v="SALTOR MARIA JOSE DE FATIMA"/>
        <s v="LEIVA RAQUEL MARGARITA DEL VALLE"/>
        <s v="maria agustina gray"/>
        <s v="GUADALUPE GONZALEZ DEL PINO GUERCI"/>
        <s v="MARIA EUGENIA GUZMAN ARIAS"/>
        <s v="alvaro agustin alanis"/>
        <s v="GISELE TEIXEIRA GOMES"/>
        <s v="SILVANA ELIZABETH DIAZ"/>
        <s v="MATEO MARTIN NORIEGA"/>
        <s v="PABLO MARIOTTI"/>
        <s v="ana lucia lamagni"/>
        <s v="salustiano robles teran"/>
        <s v="solana arce"/>
        <s v="trinidad maria safarsi"/>
        <s v="cristian frias silva"/>
        <s v="CLAUDIA MARIA NOEL BENUD"/>
        <s v="leonardo francisco ulla"/>
        <s v="MARIA LAURA VALDEZ"/>
        <s v="santiago edurado gallo"/>
        <s v="maximo jose moukarzel"/>
        <s v="JOSE AGUSTIN GRAMAJO"/>
        <s v="PALOMARES MARTINEZ TOMAS JOSE"/>
        <s v="SANTIAGO PIO NIKLISON"/>
        <s v="bruno alfredo marranzino"/>
        <s v="JORGE ALEJANDRO LEMBO"/>
        <s v="MARCOS ALEJANDRO CHEMEZ"/>
        <s v="FRANCO GARCIA"/>
        <s v="ALAN ARGENTINO AIBAR"/>
        <s v="DAYANA FERNANDA SALAZAR"/>
        <s v="lucas agustin chamut"/>
        <s v="sheila yazmin jalil"/>
        <s v="CAROLINA ASIS ARCOS"/>
        <s v="LEONEL REINALDO MARIANI"/>
        <s v="HUMERTO JAVIER GARLATI"/>
        <s v="LUCAS DAMIAN CONTRERAS"/>
        <s v="ALEJANDRO MATIAS MENDIONDO"/>
        <s v="NORMA SILVIA JORRAT"/>
        <s v="maria sofia presti"/>
        <s v="JULIETA ANDREA FERNANDEZ VIÑA"/>
        <s v="IVANNA NOELIA YANCE"/>
        <s v="PATRICIO ALEJANDRO DEL VALLE NUÑEZ"/>
        <s v="JOSE AGUSTIN MARQUETTI"/>
        <s v="JIMENEZ JOSE LUIS ANTONIO"/>
        <s v="GABRIEL DARIO ALCORTA"/>
        <s v="GASTON LEANDRO GATTI"/>
        <s v="SANTIAGO DIAZ SPOLITA"/>
        <s v="SAMIA GISELLE GHANEM"/>
        <s v="JOSEFINA VIEJOBUENO"/>
        <s v="LUCIA MARIA LAVILLA"/>
        <s v="EMILSE REARTE"/>
        <s v="ramiro bernardo sanchez"/>
        <s v="alvaro javier gomez"/>
        <s v="NATALIA MURIEL VIC"/>
        <s v="JESSICA MELINA DIAZ"/>
        <s v="marisa noelia jaime"/>
        <s v="tomas jose buffo"/>
        <s v="milagros denise del valle ramos"/>
        <s v="MARIA FLORENCIA GOMEZ DE MARCO"/>
        <s v="elva patricia fatima de la orden"/>
        <s v="JOSE AGUSTIN CARRIZO"/>
        <s v="florencia agustina medina"/>
        <s v="andrea fernanda alderete bosco"/>
        <s v="ARIEL FABIAN RIMER"/>
        <s v="ANA VICTORIA MOLINA"/>
        <s v="NICOLE ESPERANZA ARMISEN FLURY"/>
        <s v="MARIA CAROLINA PAIZ"/>
        <s v="LUZ MICAELA VILLAFAÑE"/>
        <s v="DIEGO MATIAS SUAREZ"/>
        <s v="JOSE IGNACIO ROVATI"/>
        <s v="jose luis fornanciari"/>
        <s v="CECELIA ELIZABETH RIGOURD"/>
        <s v="LUCIA DEL VALLE ALCORTA"/>
        <s v="nadia alejandrina dragañenko"/>
        <s v="DULIA RAMONA ALCORTA "/>
        <s v="marta imelda del pilar alcorta"/>
        <s v="JULIETA ZEITUNE"/>
        <s v="JUAN MANUEL ZOTELO PEREZ"/>
        <s v="maria cecilia vides"/>
        <s v="patricia monica jorrat"/>
        <s v="francisco juan marcelo rodriguez"/>
        <s v="nadia yohana gomez"/>
        <s v="agustin m iranda bussola"/>
        <s v="maria eugenia rodriguez"/>
        <s v="liliana graciela toledo"/>
        <s v="hayde saracho"/>
        <s v="maria del rosario bustos"/>
        <s v="maria belen robles guerrero"/>
        <s v="SILVIA BOERO"/>
        <s v="jacoba josefina perez de nucci"/>
        <s v="ana florencia carrizo crisorio"/>
        <s v="tomas moallah"/>
        <s v="SABRINA SOLEDAD SOSA"/>
        <s v="VICTOR ARMANDO MASERO"/>
        <s v="CLAUDIO MACIEL MEDINA"/>
        <s v="MARIA VALERIA CEPPI"/>
        <s v="GERMAN AUGUSTO MARTINEZ QUINTERO"/>
        <s v="iara osatinsky"/>
        <s v="RICHARD AUGUSTO"/>
        <s v="carina evangelina elias"/>
        <s v="tomas de jesus castellanos"/>
        <s v="JULIETA DEL CARMEN RUBEN"/>
        <s v="PABLO FEDERICO GUTIERREZ"/>
        <s v="daniel ignacio fe"/>
        <s v="MARIELA ESTER SIR"/>
        <s v="ANDREA ELIZABETH SORAIRE"/>
        <s v="ALEJANDRO JAVIER CONTAR"/>
        <s v="ROCIO LETICIA MARTINEZ"/>
        <s v="RAUL FERNANDO GASTON GRAMAJO"/>
        <s v="susana del valle granito"/>
        <s v="MARIA SILVIA GALVEZ"/>
        <s v="MARIA GABRIELA ZELAYA REYNOSO"/>
        <s v="MIRTA SONIA RODRIGUEZ"/>
        <s v="ignacio jose avellaneda"/>
        <s v="MARIA DOLORES ASTRADA"/>
        <s v="MARIA AGOSTINA FIGUEROA"/>
        <s v="SANDRA DEL VALLE MIRANDA"/>
        <s v="sofia carolina lobo"/>
        <s v="claudia patricia abeleira"/>
        <s v="eduardo andres de la vega "/>
        <s v="NICOLAS ELIAS"/>
        <s v="emilse lujan ruiz"/>
        <s v="facundo heredia"/>
        <s v="hernan gonzalo wiliszczuk"/>
        <s v="SANTIAGO ROMERO"/>
        <s v="CECILIA DEL CARMEN RAMIREZ"/>
        <s v="lorena maria avellaneda"/>
        <s v="luciana edith ovejero"/>
        <s v="maria cecilia canal martinez"/>
        <s v="ana cecilia barros"/>
        <s v="andrea camila papa"/>
        <s v="franco david alderete"/>
        <s v="BEATRIZ CLAUDIA IRANZO"/>
        <s v="eliana lorena sosa"/>
        <s v="nahiana agostina castro ramis"/>
        <s v="mariel natalia isa"/>
        <s v="maria victoria kern"/>
        <s v="camila diaz ruiz"/>
        <s v="gladys maria giuliano"/>
        <s v="jorge david santucho"/>
        <s v="facundo javier lopez"/>
        <s v="carlos javier ale"/>
        <s v="maria valeria beatriz cenice"/>
        <s v="celina maria david"/>
        <s v="GERONIMO CAPMANY"/>
        <s v="JORGE SEBASTIAN REINOSO ROJO"/>
        <s v="ELINA AMANDA BOTTO FIORA"/>
        <s v="jorge hugo vazquez"/>
        <s v="maria josefina gonzalez"/>
        <s v="JOSE LUIS RODRIGUEZ"/>
        <s v="LUCAS CESAR ORELLANO GARCIA"/>
        <s v="esteban daniel de aduriz"/>
        <s v="FRANCISCO MARTIN DELGADO"/>
        <s v="NORMA IASMIN ABDULHADI"/>
        <s v="veronica ines alvarez"/>
        <s v="ENRIQUE RAMON PEREZ"/>
        <s v="MARIA ANTONELLA CARLINO"/>
        <s v="GLADYS ALEJANDRA ACOSTA"/>
        <s v="LOURDES MARIA VIDES JUAREZ"/>
        <s v="MARCOS DARIO DIOLI"/>
        <s v="dorys mirtha ibarra"/>
        <s v="SILVANA YENHY MARILYN HERRERA "/>
        <s v="MAURICIO EUGENIO VILLAFANE"/>
        <s v="marta graciela ledesma"/>
        <s v="juan manuel maris"/>
        <s v="SILVANA FLORENCIA HERRERA"/>
        <s v="emiliano jose hernandez "/>
        <s v="marcelo enrique zucal"/>
        <s v="maria jose rocchia"/>
        <s v="MARGARITA MARIA TOLEDO"/>
        <s v="adriana graciela peralta"/>
        <s v="fabiana elizabeth gramajo"/>
        <s v="JUAN VICENTE LONAC"/>
        <s v="MARIA JULIA NOBLEGA"/>
        <s v="FIORELLA VICENTE RIVELLA"/>
        <s v="maria alejandra ruiz"/>
        <s v="GONZALO FONT"/>
        <s v="nora emilia naufe"/>
        <s v="miguel orlando gomez"/>
        <s v="rufino jose paz posse"/>
        <s v="NORA RUTH SPINDLER"/>
        <s v="JACQUELINE ELIZABETH GALO"/>
        <s v="JUAN PABLO GONZALEZ QUINTEROS"/>
        <s v="MARIANA NAUFE"/>
        <s v="hugo japaze"/>
        <s v="ROBERTO ALEJANDRO RUIZ OLIVERA"/>
        <s v="JULIETA GUZZO BLANNO"/>
        <s v="GRACIELA MARIA SALAS PEREA"/>
        <s v="rosa raquel caram"/>
        <s v="ANALIA KARINA SALAZAR"/>
        <s v="evaristo alejandro padilla"/>
        <s v="MARIA EUGENIA PIZZO"/>
        <s v="ILEANA PESA"/>
        <s v="JOSE NICOLAS KHOURI"/>
        <s v="JACQUELINE MARIEL UNZAGA"/>
        <s v="JORGE DANIEL FORNES"/>
        <s v="FERNANDA MARIA ADELA ARRAYA"/>
        <s v="ARIANA DEL VALLE ALVAREZ SOTO"/>
        <s v="VIVIANA CAROLINA AGUIRRE VILLARREAL"/>
        <s v="LUIS ENRIQUE CORREA URUBURU"/>
        <s v="BENJAMIN AVELLANEDA GIANCOTTI"/>
        <s v="GONZALO CASTAÑO"/>
        <s v="CLAUDIA PATRICIA NAVARRO MAXUD"/>
        <s v="GRISEL ANALIA AMHERD"/>
        <s v="MICAELA BORQUEZ"/>
        <s v="RAFAEL GERARDO BRITO"/>
        <s v="PABLO GABRIEL CATALDO"/>
        <s v="ELIZABETH ZULEMA LOPEZ"/>
        <s v="MARIA DE LOS ANGELES NAVARRO"/>
        <s v="MARIA JULIETA HERNANDEZ"/>
        <s v="AZUCENA BEATRIZ YBARRA"/>
        <s v="MARIA GISELA ROCHA"/>
        <s v="ROBERTO MARINO ZAMORANO"/>
        <s v="JORGE MARCELO JUAREZ VELIZ"/>
        <s v="ALEXIA MARIA ORO"/>
        <s v="MARIA AGUSTINA PRADO"/>
        <s v="SEBASTIAN GASPARINI"/>
        <s v="MARIA EMILIA MORTORELU ENRICO"/>
        <s v="NADIA GISEL VALDEZ"/>
        <s v="JORGE NICOLAS CARMELICH"/>
        <s v="MATIAS BERNARDO MIRANDA BRITO"/>
        <s v="JOSE JAVIER DUHALDE"/>
        <s v="RICARDO ALBERTO GUEVARA"/>
        <s v="JUAN CARLOS ESPEJO"/>
        <s v="MARTIN SEBASTIAN MEDINA CORBALAN"/>
        <s v="MARIA BELEN FERNANDEZ BRAVO"/>
        <s v="LURDES FLORENCIA GALVAN"/>
        <s v="ARACELIS PATRICIA GARCIA"/>
        <s v="NICOLAS FASOLIS"/>
        <s v="MARIA CONSTANZA ROMERO"/>
        <s v="GUSTAVO FELIX SETLITZA"/>
        <s v="LUCIA ROVARINI"/>
        <s v="MARGARITA VIRGINIA TOLEDO"/>
        <s v="SANDRA MARIELA PIZARRO"/>
        <s v="JONATHAN HERNAN VELARDEZ"/>
        <s v="SUSANA AMELIA BECKER"/>
        <s v="FEDERICO CARLOS AUGUSTO CARRIZO"/>
        <s v="CAMILO ALBERTO CARRIZO"/>
        <s v="JOSE MARIA GONGORA"/>
        <s v="RICARDO BARALO"/>
        <s v="MARIA BIBIANA OLALLA"/>
        <s v="MARIANA DEL HUERTO SANCHEZ MATIAS"/>
        <s v="DIEGO JAVIER DRUCK"/>
        <s v="ANA MARIA GUTIERREZ"/>
        <s v="MARIANA OMODEO"/>
        <s v="JUAN PABLO MOLAS Y MOLAS"/>
        <s v="ALEJANDRO ANIBAL DUHALDE"/>
        <s v="MARIA LOURDES SOTILLO"/>
        <s v="MARIA ROSA VIAÑA"/>
        <s v="FRANCO EMILIO DIAZ"/>
        <s v="NICOLAS GARZON"/>
        <s v="LUCIANA PAROLO"/>
        <s v="maximo vicedo serrano"/>
        <s v="victor martin costilla"/>
        <s v="maria laura medina"/>
        <s v="ELIANA SOFIA FRIAS CASAL"/>
        <s v="MICAELA GANDUR"/>
        <s v="JORGE GABRIEL CHRESTIA"/>
        <s v="LUCAS EZEQUIEL MARENGO"/>
        <s v="JORGE ANTONIO PEREZ"/>
        <s v="enrique manuel bollero"/>
        <s v="maria elena del valle avila"/>
        <s v="PATRICIA VIRGINIA ALBANIL"/>
        <s v="alejandra ruiz navarro"/>
        <s v="ADRIANA ISABEL CASTRO"/>
        <s v="SILVIA CRISTINA CUTO"/>
        <s v="diego garcia santillan"/>
        <s v="FLAVIA PAEZ DE LA TORRE"/>
        <s v="MARIA JOSE ROCCHIA NOVILLO"/>
        <s v="MARTINA PEREZ PELLISA"/>
        <s v="SILVIA BETRIZ RODRIGUEZ"/>
        <s v="teresa fatima neme"/>
        <s v="fabrizio colombo"/>
        <s v="MARIA CONCEPCION IRIARTE"/>
        <s v="XIMENA FERNANDA CACERES OLIVERA"/>
        <s v="martina leonela banega"/>
        <s v="NICOLAS BERNARDO"/>
        <s v="SERGIO JAVIER COSTA"/>
        <s v="rosa ester alderete"/>
        <s v="LOURDES BRUCHMANN"/>
        <s v="diego jose oscar barrionuevo "/>
        <s v="MARIA AGUSTINA GONZALEZ"/>
        <s v="PIERINA DAIANA BENNASAR"/>
        <s v="jose gregorio arias "/>
        <s v="TOMAS BRUCHMANN"/>
        <s v="beatriz eugenia martinez colombres"/>
        <s v="MARIA EMILIA MARTORELL ENRICO"/>
        <s v="ELIZABET DEL MILAGRO GOMEZ"/>
        <s v="SANTIAGO GASTON ARIAS"/>
        <s v="ARIANNA SIMESSEN DE BIELKE"/>
        <s v="PABLO JAVIER AGU"/>
        <s v="martin alejo gavioli"/>
        <s v="MARIA DE LAS MERCEDES QUIROGA"/>
        <s v="lucas mariano azubel"/>
        <s v="MARIA EUGENIA CHAYA"/>
        <s v="STELLA MARIS JUAREZ"/>
        <s v="nicolas martin bennasar"/>
        <s v="VANESA RUTH SERASOLA"/>
        <s v="PRISCILLA MARISOL HUSSEM"/>
        <s v="FRANCISCO VALERIANO CHIPULINA MARTINEZ"/>
        <s v="GUADALUPE ZARATE VIZGARRA"/>
        <s v="maria de los angeles cambas bassani"/>
        <s v="luiggi quinteros"/>
        <s v="candelaria maria romero"/>
        <s v="esteban rene more"/>
        <s v="ELIDA ADELINA IBAÑEZ"/>
        <s v="MARIA SOLEDAD NADRA"/>
        <s v="constanza maria valderrabano"/>
        <s v="flavia milene mamani"/>
        <s v="luis ignacio cilia"/>
        <s v="MIGUEL FERNANDO CENA"/>
        <s v="GIULIANNA PERANTONI"/>
        <s v="MARIANO ANDRES ORTIZ DANTUR"/>
        <s v="MARIA LOURDES MARTINEZ MELEK"/>
        <s v="CLAUDIA SUSANA DEL VALLE PEREZ"/>
        <s v="FABIANA VALERIA CASARES"/>
        <s v="SILVIA GRACIELA DECIMA"/>
        <s v="MARCELA DEL VALLE ROCHA"/>
        <s v="silvia gomez"/>
        <s v="MILAGRO BUFFO"/>
        <s v="elma sofia capurro"/>
        <s v="MARIA PIA MALTEZ CAMPOPIANO"/>
        <s v="maria de los milagros lopez"/>
        <s v="MARIA LUCIA PAZ ORTIZ"/>
        <s v="maria del milagro prados ottonello"/>
        <s v="JOAQUIN EXEQUIEL ALVAREZ"/>
        <s v="OLGA JOSEFINA APUD"/>
        <s v="MARIA CRISTINA SCHAEFER"/>
        <s v="eliana del valle ferreyra"/>
        <s v="julieta reverso"/>
        <s v="HERNAN DARIO ALVAREZ"/>
        <s v="JOSE SEBASTIAN LUNA"/>
        <s v="SERGIO OSVALDO CARRO"/>
        <s v="javier schammas bosonetto"/>
        <s v="SOFIA DEL VALLE CORRAL"/>
        <s v="MATIAS SEBASTIAN COLACIOPPO"/>
        <s v="ANDREA DONG FANG KAO RUIZ"/>
        <s v="GRACIELA MARIA GIMENEZ LASCANO"/>
        <s v="mariana lopez"/>
        <s v="DARIO GUSTAVO SARUF"/>
        <s v="NOELIA SOLEDAD GOMEZ"/>
        <s v="elizabet jordana lopez"/>
        <s v="MARIA DE LUORDES PARRA ALONSO"/>
        <s v="MARIA FERNANDA ROMERO"/>
        <s v="MARIA EUGENIA ORELLANA"/>
        <s v="PAULA ANDREA D'AGNILLO"/>
        <s v="MARIA ANGELES CORDOBA"/>
        <s v="MARIA ROSA BARROS"/>
        <s v="MARIA FLORENCIA PORTUESE"/>
        <s v="ELENA ROSA DEL VALLE LOGARZO"/>
        <s v="SILVIA LETICIA SAGUIR"/>
        <s v="ESTANISLAO TORRES CAMPI"/>
        <s v="ALBERTO ANTONIO CENA"/>
        <s v="MARIA EUGENIA MARTIN"/>
        <s v="GASTON ENDRES VALES"/>
        <s v="blanca laurentina del carmen arrieta"/>
        <s v="maria florencia alonso"/>
        <s v="CAROLINA FATIMA GONZALEZ"/>
        <s v="maria valentina yermak"/>
        <s v="IVANA FABIOLA BOBILLO MIROLI"/>
        <s v="LUCIANA CAROLINA GURRERO"/>
        <s v="JORGE GUSTAVO JOSE"/>
        <s v="DANIEL ROQUE INGALINA"/>
        <s v="gilda de lourdes gonzalez"/>
        <s v="CARLOS EXEQUIEL DI ASCENZI"/>
        <s v="PABLO MARTIN FERNANDEZ"/>
        <s v="SILVIA LILIANA FERRERO"/>
        <s v="MARIA ELVIRA FORENZA"/>
        <s v="MARIA MACARENA ALVAREZ CASTILLO"/>
        <s v="maria julia ferro"/>
        <s v="agostina garrido risso patron"/>
        <s v="daniela anahi figueroa"/>
        <s v="maria jose robles"/>
        <s v="pablo andres rotger"/>
        <s v="VERONICA POURRIEUX"/>
        <s v="daniela sofia chagay"/>
        <s v="VICTOR ANDRES HEREDIA"/>
        <s v="EBE MARTA DEL VALLE LOPEZ PIOSSEK"/>
        <s v="JUAN PABLO CARAM"/>
        <s v="MARIA PIA RODRIGUEZ ZELAYA"/>
        <s v="carmen del valle bernat"/>
        <s v="JORGE ALBERTO LAZARTE"/>
        <s v="SUSANA BEATRIZ PIZARRO"/>
        <s v="ANIBAL RICARDO PICON"/>
        <s v="natalia jimena silva"/>
        <s v="alfredo jose barthaburu"/>
        <s v="AUGUSTO JAVIER ROTGER"/>
        <s v="hector enrique tamer"/>
        <s v="oscar jimenez"/>
        <s v="MARTA HANNELOREN CHAGRA DIB"/>
        <s v="maria laura ugarte"/>
        <s v="CARLOS PEDRO BORSOTTO"/>
        <s v="MARIA JOSE IRANZO"/>
        <s v="CLAUDIA ALEJANDRA PUJADAS"/>
        <s v="jorge gustavo jimenez"/>
        <s v="maria eugenia daud"/>
        <s v="HECTOR EDUARDO SIMON"/>
        <s v="camila arroyo"/>
        <s v="ALEJANDRA MARIA HEREDIA ALCORTA"/>
        <s v="CESAR LUIS LEDESMA"/>
        <s v="AZUCENA RAQUEL MALDONADO"/>
        <s v="MARIANA AGUSTINA ROBLES"/>
        <s v="juan manuel guevara"/>
        <s v="maria olga leal"/>
        <s v="DELIA ELENA SIMON"/>
        <s v="LUIS RODOLFO POSSI"/>
        <s v="MARIA LAURA CIOLLI"/>
        <s v="ELSA DEL ROSARIO SILVERA"/>
        <s v="CRISTIAN ESTEBAN DIAZ"/>
        <s v="CARLOS GUSTAVO PALIZA"/>
        <s v="natacha paola chacoff"/>
        <s v="janet micaela regalado"/>
        <s v="JOSE AGUSTIN CHIT"/>
        <s v="ANA CAROLINA FARHAT"/>
        <s v="andrea elizabeth salazar"/>
        <s v="julio cesar amani"/>
        <s v="ALAN EMANUEL AREVALO ZAMORA"/>
        <s v="florencia borgonovo"/>
        <s v="MAIA PAULINA IBRI"/>
        <s v="VERONICA NATALIA JALIL"/>
        <s v="guadalupe maria dato"/>
        <s v="GASTON SARACCO"/>
        <s v="LUCIA BOERO GONCALVES"/>
        <s v="MARIA LOURDES FERNANDEZ ALDERETE"/>
        <s v="oscar franco rios lampa"/>
        <s v="RAFEAL CAYETANO CLUA"/>
        <s v="HORACIO MAXIMILIANO SALVATIERRA"/>
        <s v="francisco javier garzon"/>
        <s v="maria eugenia robledo"/>
        <s v="miguel angel picon"/>
        <s v="german gritti montesinos"/>
        <s v="PABLO NAHUEL MARIOTTI"/>
        <s v="CESAR GUSTAVO MALDONADO"/>
        <s v="ruben david castro"/>
        <s v="HORACIO NESTOR CARBONELL"/>
        <s v="santiago jarque"/>
        <s v="rebeca raquel villafañe"/>
        <s v="julio bringas"/>
        <s v="ariel omar saracho"/>
        <s v="johana liset rodriguez"/>
        <s v="ROSARIO PALOMARES MARTINEZ"/>
        <s v="MICAELA DEL VALLE JUAREZ"/>
        <s v="juan pablo cuello"/>
        <s v="CECILIA CASTELLANOS"/>
        <s v="francisco ezequiel juarez parrado"/>
        <s v="martin anibal santillan"/>
        <s v="SILVIA HORTENSIA VARELA CARRION"/>
        <s v="ANA CAROLINA MONMANY"/>
        <s v="maria belen velardez fresia"/>
        <s v="MARIA FIGUEROA ALVAREZ"/>
        <s v="florencia andrea ponce"/>
        <s v="MANUELA FALCON"/>
        <s v="francisco jose sosa"/>
        <s v="ricardo mario ramos"/>
        <s v="MARIA CONSTANZA LUCIARDI"/>
        <s v="GABRIEL IGNACIO LOPEZ ZAMPINI"/>
        <s v="ESTER NOEMI LOBO"/>
        <s v="SOFIA MARIA CUDMANI"/>
        <s v="JOSE ANTONIO VALDEZ NAVAL"/>
        <s v="luciana nicole filmann"/>
        <s v="sofia fernandez"/>
        <s v="maria raquel asis"/>
        <s v="MARIA NOELIA CECILIA"/>
        <s v="LUCIA CAROLINA MAZA"/>
        <s v="FACUNDO PAZ POSSE"/>
        <s v="SANTIAGO MAZA"/>
        <s v="SANTIAGO FOGUET"/>
        <s v="MARTIN SANCHEZ"/>
        <s v="MILENA CORBALAN"/>
        <s v="NORA GANUM"/>
        <s v="MARIA LAURA JAIRFALA CAMPI"/>
        <s v="ELIANA MARIEL MARTINEZ"/>
        <s v="agostina del milagro segovia"/>
        <s v="glenda judith pedraza marchetti"/>
        <s v="carlos dario castellanos"/>
        <s v="silvina noelia sosa"/>
        <s v="pablo sebastian maza lescano"/>
        <s v="MAURO ALBERTO ZELAYA"/>
        <s v="silvana del valle acosta"/>
        <s v="JORGELINA VANESA ROMANOS"/>
        <s v="julia elena mariani"/>
        <s v="MARIA BELEN RODRIGUEZ"/>
        <s v="fatima liliana del valle rios"/>
        <s v="MARIANA BACH"/>
        <s v="FRANCISCO JUAREZ PARRADO"/>
        <s v="rosalia dina jalil belmont"/>
        <s v="JUANA ROSA OVEJERO"/>
        <s v="DEBORA DANIELAA MAZA"/>
        <s v="RUBEN MARIO KAPLAN"/>
        <s v="FATIMA CAROLINA FIORENZA"/>
        <s v="federico jose coronel"/>
        <s v="LEON BERNABE LOHEZIC"/>
        <s v="tomas juarez"/>
        <s v="MARIA EMILIA MACIEL"/>
        <s v="IGNACIO AGUSTIN AGUIRRE"/>
        <s v="daniela ines rivero"/>
        <s v="ANA CRISTINA LERI"/>
        <s v="ezequiel fornes palencia"/>
        <s v="javier vicente roig"/>
        <s v="matias lischinsky"/>
        <s v="maria sofia enriquez balestieri"/>
        <s v="juan pablo arrieta"/>
        <s v="FRANCISCO JOSE PAZ"/>
        <s v="maria jose iparraguirre"/>
        <s v="SILVIA SUSANA BARRIONUEVO"/>
        <s v="ALBERTO ENRIQUE VIERA"/>
        <s v="claudia adriana szumik"/>
        <s v="AGUSTINA BELEN PAZ"/>
        <s v="jose daniel gonzalez"/>
        <s v="OMAR ENRIQUE FARHAT"/>
        <s v="mario david ibañez"/>
        <s v="GISELLA APAS"/>
        <s v="JOSE RUBEN DOMINGUEZ"/>
        <s v="adolfo esteban ollaze"/>
        <s v="ANA DE LOURDES JOSE"/>
        <s v="MARIA JOSE DE FATIMA SALTOR"/>
        <s v="CAMILA TOLEDO"/>
        <s v="PATRICIA RODRIGUEZ DEL BUSTO"/>
        <s v="VALERIA BLANCO"/>
        <s v="FERNANDO PABLO GONZALEZ HANN"/>
        <s v="ENRIQUE ADRIAN MARUAGA OLARTE"/>
        <s v="javier forenza"/>
        <s v="MARIA ELENA CONORT"/>
        <s v="maria lourdes de la vega"/>
        <s v="GABRIELA MARIA VELIZ"/>
        <s v="MARIA ELENA HERNANDEZ"/>
        <s v="paula avellaneda"/>
        <s v="MATIAS JOSE PAZ"/>
        <s v="augusto roldan"/>
        <s v="maria agustina villa"/>
        <s v="maria soraya bernabei"/>
        <s v="NICOLAS MARIANO IRAMAIN"/>
        <s v="LEONARDO DAMIAN JAIME"/>
        <s v="jorge alejandro dip fadel"/>
        <s v="victor bruno miguel"/>
        <s v="MARIA GRISELDA ESPASA"/>
        <s v="BENJAMIN BLAS"/>
        <s v="NATALIA NELLY SOSSENKO"/>
        <s v="maria cristina cudmani"/>
        <s v="FLORENCIA VECE"/>
        <s v="SONIA CARINA PANTOJA"/>
        <s v="ALBA EVELINA CORDOBA"/>
        <s v="ALI EDUARDO (PORTERO)"/>
        <s v="CRISTHIAN SUTER"/>
        <s v="alicia del valle juarez"/>
        <s v="SOFIA GUADALUPE ZURITA"/>
        <s v="paula florencia tusa"/>
        <s v="roque juan carlos encina"/>
        <s v="MARIA LAURA SARAVIA"/>
        <s v="nadia cecilia lescano"/>
        <s v="daniel nicolas nalin"/>
        <s v="RICARDO ANTONIO DE AMICIS"/>
        <s v="PEDRO DEL PERO"/>
        <s v="INES MARIA AGU"/>
        <s v="myriam asfoura"/>
        <s v="MAURICIO HERNAN FERREYRA VAGLIATI"/>
        <s v="NOEMI ELIZABETH ZURITA"/>
        <s v="LINA ESTHER DUFAYARD"/>
        <s v="jose roberto falco"/>
        <s v="silvia susana martinez"/>
        <s v="SOFIA MUÑOZ"/>
        <s v="maria micaela curia"/>
        <s v="AGUSTINA PERALTA"/>
        <s v="ROSA SILVINA GUBER"/>
        <s v="GLADYS ESTELA FUENTES"/>
        <s v="WALTER BUESO"/>
        <s v="lucas ezequiel ledesma norry"/>
        <s v="cesar augusto salas"/>
        <s v="JULIANA ANDRADA SARDI"/>
        <s v="antonio martinez de goñi"/>
        <s v="roxana mariel vilte"/>
        <s v="carlos sebastian saez"/>
        <s v="claudio gustavo amenta"/>
        <s v="stella maria prado"/>
        <s v="ana menendez"/>
        <s v="JUAN ANTONIO MORENO RIVAS"/>
        <s v="fabrizio nicotra"/>
        <s v="analia gomez"/>
        <s v="augusto sebastian casmuz"/>
        <s v="LUIS ALFREDO LEDESMA"/>
        <s v="SUSANA BEATRIZ VILLEGAS"/>
        <s v="maria del rosario rey"/>
        <s v="GUILLERMO LUIS ISAS"/>
        <s v="MIGUEL EDUARO MARCOTULLIO"/>
        <s v="ANTONIO HUMBERTO PONCE DE LEON"/>
        <s v="JORGE RUBEN CIANCAGLINI"/>
        <s v="MARIA CRISTINA HERRERA"/>
        <s v="LILIANA ALICIA DEL VALLE GRAMAJO"/>
        <s v="SERGIO FERNANDO MOYANO BOBBA"/>
        <s v="josefina andujar"/>
        <s v="GLORIA ESTELA ABDELNUR"/>
        <s v="SUSANA NOEMI PONCE"/>
        <s v="celia miroli"/>
        <s v="sofia flores blasco"/>
        <s v="raul augusto elias"/>
        <s v="JOSE MUNIR HASSAN"/>
        <s v="MARIA DEL MILAGRO ROJAS"/>
        <s v="maria jimena aramburu"/>
        <s v="ALBERTO FABIAN STAGNITTA"/>
        <s v="daniel eduardo espeche"/>
        <s v="raul pedro mentz"/>
        <s v="maria jose honorato"/>
        <s v="SERGIO DANIEL LAJUD"/>
        <s v="FERNANDO JAVIER BOLLERO"/>
        <s v="SANDRA ELIZABETH LLABRA SOBRECASAS"/>
        <s v="YOHANA ARACELI BELMONTE"/>
        <s v="SOLEDAD MARIA DATO"/>
        <s v="SABRINA IVONNE MARTINEZ"/>
        <s v="MARIS SOL GERONIMO"/>
        <s v="RAFAEL EDUARDO CAMPERO"/>
        <s v="EDUARDO MARTIN ALZAGA"/>
        <s v="ivanna beker"/>
        <s v="maria josefina mitre"/>
        <s v="maria paula salas"/>
        <s v="GABRIELA SCHUJMAN"/>
        <s v="CEFERINO JOSE SIRGO"/>
        <s v="NILDA ESTER TODESCO DE COCINA"/>
        <s v="NILDA ESTER TODESCO COCINA"/>
        <s v="melanie denisse sal"/>
        <s v="MATIAS SESMA"/>
        <s v="maria de los angeles gonzalez"/>
        <s v="maria agustina gimenez sanchez"/>
        <s v="PATRICIA LILIANA GODOY"/>
        <s v="SEBASTIAN PUENTE"/>
        <s v="isaac ruben antonio ibrahim"/>
        <s v="MARIELA BEATRIZ ROBLES"/>
        <s v="CAROLINA DIAMBRA"/>
        <s v="jorge antonio nicolas palacio"/>
        <s v="MARIA ENCARNACION ALABERSE"/>
        <s v="stefania saba"/>
        <s v="MARIA JOSE CORTES"/>
        <s v="raul nestor guanco"/>
        <s v="juan manuel santillan"/>
        <s v="ABRIL AGOSTINA RUIZ JEDER"/>
        <s v="julio esteban gaezon"/>
        <s v="ricardo norberto santiago"/>
        <s v="claudia viviana stagnitta"/>
        <s v="maria marta caram"/>
        <s v="EUGENIO SANTIAGO VIERA"/>
        <s v="VIRGINIA CASADEY"/>
        <s v="patricia del valle dib"/>
        <s v="david ezequiel gutierrez puertas"/>
        <s v="EVELYN RUTH CORREA"/>
        <s v="alejandra maria sanchez"/>
        <s v="MARIA JOSEFINA DE LA PEÑA"/>
        <s v="MARIA PAOLA TORRES"/>
        <s v="CARLOS MARIA LOPEZ MAÑAN"/>
        <s v="christian gerardo alonso"/>
        <s v="bettina wajnerman"/>
        <s v="maria silvia carbonell"/>
        <s v="maria eugenia bestani"/>
        <s v="RAFAEL JOSE DIAZ AUGIER"/>
        <s v="AGUSTINA MARTINEZ"/>
        <s v="ANDREA PATRICIA FERNANDEZ"/>
        <s v="gisela florencia del valle diaz"/>
        <s v="MARIA SOLEDAD MURO"/>
        <s v="jose maria canelada"/>
        <s v="MARIA VICTORIA AGUILAR"/>
        <s v="RUBEN PABLO KANTAROVSKY"/>
        <s v="PABLO JOSE GUERINEAU"/>
        <s v="agustina maria garbero"/>
        <s v="joaquin iaconis"/>
        <s v="CAROLINA DEL VALLE RAMIREZ"/>
        <s v="MATIAS DAVID CASTRO"/>
        <s v="AGUSTIN MANSILLA "/>
        <s v="natalia lorena robledo"/>
        <s v="JUAN IGNACIO HEREDIA"/>
        <s v="vidal walter luna"/>
        <s v="PABLO LEONEL PAEZ COSTILLA"/>
        <s v="RAFAEL ENRIQUE MERCHED"/>
        <s v="fatima judith martin"/>
        <s v="GRACIELA DEL VALLE RODRIGUEZ"/>
        <s v="VICTOR HUGO CABRAL"/>
        <s v="melina tamara ianni"/>
        <s v="PABLO GUILLERMO FILIPPI"/>
        <s v="JAIME MANUEL ALBERTO GONZALEZ"/>
        <s v="LUIS MARIA COUREL "/>
        <s v="pablo gabriel muzzo"/>
        <s v="EMILIANA REUS"/>
        <s v="MARIA VIVIANA ALFONSO"/>
        <s v="jorge armando mancilla"/>
        <s v="juan cruz avila"/>
        <s v="omar rubino"/>
        <s v="GUILERMO TORRES"/>
        <s v="facundo ignacio hayward"/>
        <s v="graciela lizondo"/>
        <s v="maria del valle vasile"/>
        <s v="valeria malery ramon"/>
        <s v="IGNACIO NEME"/>
        <s v="ALFREDO RICARDO NEME"/>
        <s v="JENNIFER ALICIA FATACCIOLI SORIA"/>
        <s v="monica elizabeth gerez"/>
        <s v="merceditas sosa soler"/>
        <s v="emilse cristina *espamer"/>
        <s v="ROQUE JAVIER AVILA TERAN"/>
        <s v="carla daniela toledo"/>
        <s v="ELEONORA PAULA MOLLAR VIGH"/>
        <s v="SANTIAGO NAHUEL LOMBARDELLI"/>
        <s v="fiorella melisa avila"/>
        <s v="ALEJANDRA PAOLA ROMERO"/>
        <s v="SABINO MATIAS GOMEZ BORDON"/>
        <s v="natakia jorgelina reyes"/>
        <s v="MARIA VERONICA SALAS"/>
        <s v="olga maria eugenia carrizo"/>
        <s v="MARIA SILVINA ABUD"/>
        <s v="AGUSTINA BOERO GONCALVES"/>
        <s v="horacio raul mitre "/>
        <s v="SUSANA MIRIAM GJURKAN"/>
        <s v="RUBEN ALEXANDER MUSA"/>
        <s v="SERGIO DAVALOS PAZ POSSE"/>
        <s v="SILVIA ALEJANDRA PASCUAL"/>
        <s v="DAVID MIGUEL ANGEL DERENOVSKY"/>
        <s v="ANTONIA BERTA PEDRAZA"/>
        <s v="VIRGINIA IRAMAIN MIKKELSEN"/>
        <s v="MARIA FLORENCIA TARANTO"/>
        <s v="VERONICA KRIZ"/>
        <s v="pablo andres mackay"/>
        <s v="luz micaela rodriguez"/>
        <s v="FRANCO MAURICIO MONTOYA"/>
        <s v="ANDREA SILVINA PRADO"/>
        <s v="CAMILA ANALIA ALBARRACIN"/>
        <s v="maria agustina vilaro"/>
        <s v="maria lorena fornaciari"/>
        <s v="MARIA CECILIA PALAVECINO BENEZIANO"/>
        <s v="augusto javier maldonado yubrin"/>
        <s v="eduardo raul romero"/>
        <s v="LAURA MARIA ESTER AMATE PEREZ"/>
        <s v="JESUS MARCELO LIZONDO"/>
        <s v="cesar camel karim abib"/>
        <s v="marcelo jesus martinez lozano"/>
        <s v="PAULINA PICON"/>
        <s v="MICAELA GARCIA"/>
        <s v="ROCIO MELISA SERRANO DIAZ"/>
        <s v="adriana paola aguirre"/>
        <s v="JOSE IGNACIO MENA AILAN"/>
        <s v="HECTOR SEBASTIAN ARRUJ"/>
        <s v="MARIA DEL ROSARIO FONTS"/>
        <s v="rodrigo esteban el eter"/>
        <s v="ADRIANA INES PEREZ"/>
        <s v="maria del milagro campero cossio"/>
        <s v="JOSEFINA RAIDEN"/>
        <s v="joaquin jose paz"/>
        <s v="valentina martinez salinas"/>
        <s v="camilo rafael bucci"/>
        <s v="MARIA IRUPE RATTI"/>
        <s v="alvaro martin salazar"/>
        <s v="andrea silvina prado "/>
        <s v="franco matias ramon"/>
        <s v="ALBERTO SANTIAGO DI COLANTONIO"/>
        <s v="MAXIMILIANO DANIEL HADBE"/>
        <s v="MARIUA EMILIA SAEZ"/>
        <s v="luis ernesto garreton"/>
        <s v="adriana alejandrina vargas"/>
        <s v="mario rodolfo vaca"/>
        <s v="MARIA EMILSE ARAOZ"/>
        <s v="carlos javier gonzalez toselli"/>
        <s v="maria florencia moisa"/>
        <s v="CARLOS ANDRES JORRAT"/>
        <s v="NAZARENA SORIA HADAD"/>
        <s v="JOSE DAVID VARGAS"/>
        <s v="pablo alejandro palazzolo"/>
        <s v="LUIS GABRIEL OLIVA"/>
        <s v="silvia fernandez"/>
        <s v="FABRICIO MOISES MARTINEZ"/>
        <s v="viviana alejandra gramajo"/>
        <s v="sandra marcela soria"/>
        <s v="SILVINA RODRIGUEZ RAIMONDO"/>
        <s v="MARIA LAURA ALE"/>
        <s v="marta cristina fennema"/>
        <s v="YANINA FERNANDA BERTINI"/>
        <s v="sergio de la vega"/>
        <s v="IRMA GRACIELA PONDE DE LEON"/>
        <s v="PATRICIO JAVIER GIMENEZ"/>
        <s v="MARCELA ROCIO PERETTI NAPPA"/>
        <s v="FABIANA CATALINA ZELEMA"/>
        <s v="IARA MARIA SARACHO YANICELLI"/>
        <s v="pamela lucia sierra"/>
        <s v="MARIA FLORENCIA MARCHESE"/>
        <s v="ADRIANA LAMAS"/>
        <s v="JORGE DARIO ZERDA"/>
        <s v="MARIA EMILIA CAJAL"/>
        <s v="SERGIO ESTEBAN ARRUJ"/>
        <s v="JULIA VERONICA PASTRANA"/>
        <s v="GISELE BIBIANA CORDILEONE"/>
        <s v="clara isabel cabrera"/>
        <s v="RUBEN RODRIGO SEGOVIA"/>
        <s v="RAMON DARIO GOMEZ OMIL"/>
        <s v="mayra luciana abraham"/>
        <s v="NORMA CATALINA MORALES"/>
        <s v="pablo napadensky"/>
        <s v="RAMIRO MARTIN LAVILLA"/>
        <s v="rosario torres posse"/>
        <s v="JUAN CARLOS STERENBERG"/>
        <s v="STELLA MARIS MESON"/>
        <s v="MARIA LAURA PICON"/>
        <s v="ANTONIO JOSE HASKOUR BITTAR"/>
        <s v="SERGIO OSCAR ROBIN"/>
        <s v="NOEMI ESTER MOYANO"/>
        <s v="MARIA ALEJANDRA RODRIGUEZ"/>
        <s v="MARIANO YAMIL TAZAR"/>
        <s v="ANA MARIA BRUN"/>
        <s v="CELIA BELEN DIAZ"/>
        <s v="CAMILA ALEJANDRA NUÑEZ"/>
        <s v="ERNESTO ALBERTO SAADE"/>
        <s v="VICTORIA CACERES"/>
        <s v="PAULA ANDREA STEIN CHNEIDER"/>
        <s v="ALEJANDRO JOSE POVIÑA"/>
        <s v="MARIA EUGENIA BRUNO"/>
        <s v="NESTOR ALFREDO CARRANZA"/>
        <s v="SANTIAGO JAVIER ALONSO"/>
        <s v="BRAHIM OUZZANE"/>
        <s v="LAURA GISEL RUIZ GUZMAN"/>
        <s v="damian wachs"/>
        <s v="leandro emanuel arlati"/>
        <s v="ignacio alejandro marino"/>
        <s v="maria cecilia gramajo"/>
        <s v="MARIA GABRIELA ROLANDI"/>
        <s v="silvia emilce perez mulki"/>
        <s v="andres mateo de la vega"/>
        <s v="maria paula ferrari"/>
        <s v="ricardo gustavo vercellone"/>
        <s v="rodolfo sosa"/>
        <s v="claudia mabel silva"/>
        <s v="ariel maximiliano villarreal"/>
        <s v="ana beatriz dale"/>
        <s v="laura siree carrizo crisorio"/>
        <s v="encio blasco"/>
        <s v="julieta giraud "/>
        <s v="luis maria rotella"/>
        <s v="oscar abel vittar marteau"/>
        <s v="maria ines alzogaray"/>
        <s v="adriana syriani"/>
        <s v="martin augusto sanchez"/>
        <s v="marcelo esteban jimenez santillan"/>
        <s v="yulieta estefania florentin"/>
        <s v="carlos matias mentz"/>
        <s v="julia ines lew"/>
        <s v="fernando socoliski"/>
        <s v="esteban jesus musso"/>
        <s v="hugo jose falci"/>
        <s v="nicolas viola"/>
        <s v="domingo salazar"/>
        <s v="maria silvia aybar"/>
        <s v="VERONICA GABRIELA FADEL"/>
        <s v="juliette hanna nochahrli"/>
        <s v="lautaro juarez saracho"/>
        <s v="fernando pablo gonzalez hahn"/>
        <s v="MARIA PIA JOSE POVIÑA"/>
        <s v="martin capuano"/>
        <s v="benjamin raul aguirre"/>
        <s v="barbara ines savino garcia"/>
        <s v="SILVIA LILIAN BALDO"/>
        <s v="GLADIS TERESA FERNANDEZ"/>
        <s v="sabrina itati bustos"/>
        <s v="norberto nicolas romanoff"/>
        <s v="LUIS MARCELO CUELLO"/>
        <s v="GABRIEL SAIFE"/>
        <s v="JUAN PABLO GOMEZ"/>
        <s v="maria fernanda salinas"/>
        <s v="JULIETA NOELIA FAOTO"/>
        <s v="eliana maria posleman"/>
        <s v="RITA DAMIANA ROTTA"/>
        <s v="maria soledad basbus"/>
        <s v="CASAR SEBASTIAN FIGUEROA TORRES"/>
        <s v="jorge raul carranza"/>
        <s v="GONZALO JOSE FIGUEROA TORRES"/>
        <s v="JULIETA SILVIA ALVAREZ EICHELE"/>
        <s v="MARCOS ADRIAN BENEGAS"/>
        <s v="SANTIAGO CAZZOLA"/>
        <s v="bautista antonio murga"/>
        <s v="VICTOR CORDILEONE"/>
        <s v="CARLOS MARIA PADROS"/>
        <s v="JAVIER ALEJANDRO TREJO IMBAUD"/>
        <s v="MARIA MARTA STARMANNS"/>
        <s v="oscar gabriel zapata"/>
        <s v="SARA EUGENIA CASASOLA"/>
        <s v="LUIS ALBERTO LOBO PEÑA"/>
        <s v="MARIANO GABRIEL FIGUEROA TORRES"/>
        <s v="MAURO ADERITO BANDEO"/>
        <s v="SERGIO ALBERTO JUAREZ"/>
        <s v="NADINNE ABBOUD"/>
        <s v="carlos esteban gramajo"/>
        <s v="SONIA MARIA RIOS AVELLANEDA"/>
        <s v="LUIS PABLO GALLARDO"/>
        <s v="evangelina del valle carrizo"/>
        <s v="claudia del rosario amado"/>
        <s v="HUGO GUSTAVO HERRERA"/>
        <s v="maria julia paz"/>
        <s v="ernestina susana teisaire"/>
        <s v="HUGO FELIPE ROJAS"/>
        <s v="LUIS MARIA ESPECHE"/>
        <s v="MARIA FLORENCIA CARDOZO"/>
        <s v="PABLO MARCELO DIP"/>
        <s v="federico javier bustos foglia"/>
        <s v="PERLA FRIDMAN"/>
        <s v="LUCIANO EMANUEL CHAIN"/>
        <s v="JOSE MARIA OVIEDO SANCHEZ"/>
        <s v="MAURICIO RUEBN HERNANDO"/>
        <s v="teresita del valle heredia"/>
        <s v="MATIAS LOPEZ ESTEBAN"/>
        <s v="ALEJANDRA NOELIA TACLA"/>
        <s v="AGUSTINA BARROS"/>
        <s v="maria del rosario olmos vigo"/>
        <s v="MIGUEL AHUMADA"/>
        <s v="DAMASIA TERAN"/>
        <s v="claudia marcela courtade"/>
        <s v="diego hugo diaz"/>
        <s v="MARIA FLORENCIA ANDUJAR"/>
        <s v="MARIA SILVIA LOPEZ RUBIO"/>
        <s v="LILIANA DEL VALLE RODRIGUEZ"/>
        <s v="VIRGINIA CELIA POSSE"/>
        <s v="matias marcelo mileguir"/>
        <s v="ENRIQUE LUCIANO HAARSCHER"/>
        <s v="gabriela estela garcia contreras"/>
        <s v="ROSA EVELINA CARDOZO"/>
        <m/>
      </sharedItems>
    </cacheField>
    <cacheField name="Dni">
      <sharedItems containsBlank="1" containsMixedTypes="1" containsNumber="1" containsInteger="1">
        <n v="4.2468326E7"/>
        <n v="4.00885E7"/>
        <n v="2.7400609E7"/>
        <n v="3.4375852E7"/>
        <n v="3.8348226E7"/>
        <n v="4.2523387E7"/>
        <n v="3.914219E7"/>
        <n v="1.0017335E7"/>
        <n v="3.7797759E7"/>
        <n v="1.1239744E7"/>
        <n v="1.347532E7"/>
        <n v="1.3607418E7"/>
        <n v="4.4580929E7"/>
        <n v="1.737776E7"/>
        <n v="4.2525454E7"/>
        <n v="3.7457357E7"/>
        <n v="2.9865699E7"/>
        <n v="3.7957969E7"/>
        <n v="3.0759172E7"/>
        <n v="1.327965E7"/>
        <n v="4.1817341E7"/>
        <n v="2.2877703E7"/>
        <n v="2.0433224E7"/>
        <n v="4.1184687E7"/>
        <n v="4.4186873E7"/>
        <n v="3.6853886E7"/>
        <n v="3.6420699E7"/>
        <n v="9.6164611E7"/>
        <n v="3.3165611E7"/>
        <n v="3.4807781E7"/>
        <n v="2.0284943E7"/>
        <n v="4.1649848E7"/>
        <n v="4.3648131E7"/>
        <n v="4.0953281E7"/>
        <n v="4.4814042E7"/>
        <n v="4.3431505E7"/>
        <n v="4.1983841E7"/>
        <n v="3.397175E7"/>
        <n v="2.425275E7"/>
        <n v="4.1650004E7"/>
        <n v="4.2698524E7"/>
        <n v="4.3001956E7"/>
        <n v="4.3652012E7"/>
        <n v="4.3648617E7"/>
        <n v="4.2501671E7"/>
        <n v="1.8523359E7"/>
        <n v="3.8350203E7"/>
        <n v="4.2350889E7"/>
        <n v="4.1015407E7"/>
        <n v="3.8744669E7"/>
        <n v="4.3651926E7"/>
        <n v="4.2445259E7"/>
        <n v="3.683913E7"/>
        <n v="3.6947754E7"/>
        <n v="2.0925125E7"/>
        <n v="3.0268671E7"/>
        <n v="2.3662807E7"/>
        <n v="1.1238696E7"/>
        <n v="3.7657414E7"/>
        <n v="3.8491501E7"/>
        <n v="3.3374986E7"/>
        <n v="2.7961325E7"/>
        <n v="2.3517066E7"/>
        <n v="1.4481304E7"/>
        <n v="4.0275967E7"/>
        <n v="3.9145592E7"/>
        <n v="3.6838754E7"/>
        <n v="3.1275866E7"/>
        <n v="3.4880587E7"/>
        <n v="3.8741719E7"/>
        <n v="4.1535951E7"/>
        <n v="3.4067977E7"/>
        <n v="2.2414076E7"/>
        <n v="2.3805258E7"/>
        <n v="2.6057426E7"/>
        <n v="2.8791421E7"/>
        <n v="3.4880522E7"/>
        <n v="4.1059741E7"/>
        <n v="3.2412797E7"/>
        <n v="1.4410801E7"/>
        <n v="4.0699515E7"/>
        <n v="4.300164E7"/>
        <n v="3.1644698E7"/>
        <n v="3.2277507E7"/>
        <n v="3.4105944E7"/>
        <n v="4.115805E7"/>
        <n v="2.2995653E7"/>
        <n v="3.9478534E7"/>
        <n v="4.0356496E7"/>
        <n v="2.9430282E7"/>
        <n v="1.0017156E7"/>
        <n v="2.0692417E7"/>
        <n v="6636918.0"/>
        <n v="3916583.0"/>
        <n v="5142007.0"/>
        <n v="5142082.0"/>
        <n v="4.5184382E7"/>
        <n v="2.3079907E7"/>
        <n v="3.9205077E7"/>
        <n v="2.0692257E7"/>
        <n v="3.5809036E7"/>
        <n v="3.8744872E7"/>
        <n v="4.4028802E7"/>
        <n v="3.0759788E7"/>
        <n v="6479904.0"/>
        <n v="3.7528214E7"/>
        <n v="4.0274592E7"/>
        <n v="3.3051506E7"/>
        <n v="3.6224247E7"/>
        <n v="2.3518407E7"/>
        <n v="3.5029552E7"/>
        <n v="2.7575063E7"/>
        <n v="2.9323107E7"/>
        <n v="1.4083299E7"/>
        <n v="1.6526017E7"/>
        <n v="2.2822961E7"/>
        <n v="3.4159034E7"/>
        <n v="4.3026119E7"/>
        <n v="4.0148277E7"/>
        <n v="2.7301051E7"/>
        <n v="3.5523708E7"/>
        <n v="3.821653E7"/>
        <n v="3.9972889E7"/>
        <n v="3.7096672E7"/>
        <n v="2.9599294E7"/>
        <n v="3.5518145E7"/>
        <n v="3.6584299E7"/>
        <n v="3.6983889E7"/>
        <n v="1.2622702E7"/>
        <n v="1.260722E7"/>
        <n v="2.0285442E7"/>
        <n v="2.241434E7"/>
        <n v="1.6458853E7"/>
        <n v="3.2144055E7"/>
        <n v="2.5958479E7"/>
        <n v="4.0533986E7"/>
        <n v="2.2664332E7"/>
        <n v="4.322717E7"/>
        <n v="1.8506833E7"/>
        <n v="3.2460461E7"/>
        <n v="3.8249445E7"/>
        <n v="4.527434E7"/>
        <n v="4.2008664E7"/>
        <n v="2.9433654E7"/>
        <n v="3.9142232E7"/>
        <n v="1.693476E7"/>
        <n v="2.1682924E7"/>
        <n v="3.5921658E7"/>
        <n v="3.1030538E7"/>
        <n v="3.3817484E7"/>
        <n v="3.9138909E7"/>
        <n v="3.5807355E7"/>
        <m/>
        <n v="2.9786187E7"/>
        <n v="4.4638315E7"/>
        <n v="3.4133306E7"/>
        <n v="3.3971334E7"/>
        <n v="4.200724E7"/>
        <n v="3.4766277E7"/>
        <n v="3.4127411E7"/>
        <n v="3.5523721E7"/>
        <n v="2.2557279E7"/>
        <n v="2.0285736E7"/>
        <n v="2.0178459E7"/>
        <n v="4.3706779E7"/>
        <n v="1.2924846E7"/>
        <n v="1.6529017E7"/>
        <n v="1.0015608E7"/>
        <n v="2.9744557E7"/>
        <n v="4.0237382E7"/>
        <n v="3.4208541E7"/>
        <n v="2.9532714E7"/>
        <n v="1.7268871E7"/>
        <n v="2.5209452E7"/>
        <n v="1.8159097E7"/>
        <n v="2.7732194E7"/>
        <n v="3.6224033E7"/>
        <n v="2.3021105E7"/>
        <n v="3.4953244E7"/>
        <n v="4.3191762E7"/>
        <n v="1.6238695E7"/>
        <n v="3.6838383E7"/>
        <n v="3.7658669E7"/>
        <n v="2.3055321E7"/>
        <n v="4.0215652E7"/>
        <n v="2.8966573E7"/>
        <n v="2.4409966E7"/>
        <n v="1.697729E7"/>
        <n v="2.758116E7"/>
        <n v="3.2132798E7"/>
        <n v="2.0219668E7"/>
        <n v="2.4059084E7"/>
        <n v="8085847.0"/>
        <n v="1.7182593E7"/>
        <n v="4.0355581E7"/>
        <n v="2.2397032E7"/>
        <n v="3.5548868E7"/>
        <n v="1.0708061E7"/>
        <n v="1.2149548E7"/>
        <n v="1.8185053E7"/>
        <n v="1.3278277E7"/>
        <n v="1.7861097E7"/>
        <n v="2.7594189E7"/>
        <n v="2.9666845E7"/>
        <n v="7086550.0"/>
        <n v="2.2877491E7"/>
        <n v="4.5667846E7"/>
        <n v="1.3848282E7"/>
        <n v="2.6782176E7"/>
        <n v="2.0433157E7"/>
        <n v="1.2148895E7"/>
        <n v="4.0697876E7"/>
        <n v="3.2144059E7"/>
        <n v="4.3771031E7"/>
        <n v="1.78597E7"/>
        <n v="1.3895548E7"/>
        <n v="3.1893573E7"/>
        <n v="4.5514837E7"/>
        <n v="2.9997624E7"/>
        <n v="1.0791321E7"/>
        <n v="4.760621E7"/>
        <n v="3.4764281E7"/>
        <n v="2.0219841E7"/>
        <n v="1.6637085E7"/>
        <n v="3.8185016E7"/>
        <n v="2.701755E7"/>
        <n v="3.7191514E7"/>
        <n v="2.6486034E7"/>
        <n v="2.3554519E7"/>
        <n v="4.8486551E7"/>
        <n v="1.7077001E7"/>
        <n v="2.7962271E7"/>
        <n v="2.434051E7"/>
        <n v="3.0597761E7"/>
        <n v="2.0433465E7"/>
        <n v="4.0953034E7"/>
        <n v="2.9766947E7"/>
        <n v="3.1038055E7"/>
        <n v="4.0086058E7"/>
        <n v="3.2412233E7"/>
        <n v="3.2109986E7"/>
        <n v="3.0758906E7"/>
        <n v="1.3338785E7"/>
        <n v="4986523.0"/>
        <n v="3.7957293E7"/>
        <n v="3.1644462E7"/>
        <n v="3.9356745E7"/>
        <n v="1.2193993E7"/>
        <n v="3.0357831E7"/>
        <n v="2.8182412E7"/>
        <n v="2.2583251E7"/>
        <n v="3.3978234E7"/>
        <n v="1.1239216E7"/>
        <n v="2.4982226E7"/>
        <n v="3.6281367E7"/>
        <n v="4277307.0"/>
        <n v="2.0284114E7"/>
        <n v="3.5239652E7"/>
        <n v="2.4803624E7"/>
        <n v="2.7961427E7"/>
        <n v="3.2750068E7"/>
        <n v="3.6049892E7"/>
        <n v="2.4340545E7"/>
        <n v="2.1328858E7"/>
        <n v="3.1644339E7"/>
        <n v="2.8849608E7"/>
        <n v="3.3755451E7"/>
        <n v="4.370619E7"/>
        <n v="6634001.0"/>
        <n v="3.4096416E7"/>
        <n v="4.1649293E7"/>
        <n v="3.9138559E7"/>
        <n v="3.3755695E7"/>
        <n v="3.3372792E7"/>
        <n v="6535825.0"/>
        <n v="3.3755144E7"/>
        <n v="3.9977132E7"/>
        <n v="1.3847175E7"/>
        <n v="3.8743889E7"/>
        <n v="1.6469415E7"/>
        <n v="2.0285423E7"/>
        <n v="5148363.0"/>
        <n v="1.6132551E7"/>
        <n v="3.8487681E7"/>
        <n v="2.20759162E8"/>
        <n v="1.2606942E7"/>
        <n v="3.6866337E7"/>
        <n v="2.1328507E7"/>
        <n v="4.0699685E7"/>
        <n v="1.745835E7"/>
        <n v="1.1708323E7"/>
        <n v="3.6420864E7"/>
        <n v="3.3971077E7"/>
        <n v="3.3374294E7"/>
        <n v="4.3850278E7"/>
        <n v="3.7656711E7"/>
        <n v="3.2927144E7"/>
        <n v="2.3828321E7"/>
        <n v="3.6231262E7"/>
        <n v="4.3963614E7"/>
        <n v="3.604286E7"/>
        <n v="3.9571691E7"/>
        <n v="3.170603E7"/>
        <n v="1.6278984E7"/>
        <n v="4.0530085E7"/>
        <n v="5779288.0"/>
        <n v="1.7440831E7"/>
        <n v="3.7927848E7"/>
        <n v="4.544328E7"/>
        <n v="2.2127625E7"/>
        <n v="3.3416781E7"/>
        <n v="3.476421E7"/>
        <n v="3.1001726E7"/>
        <n v="2.0284816E7"/>
        <n v="2.2877086E7"/>
        <n v="3.5921491E7"/>
        <n v="3.2158239E7"/>
        <n v="4.5516779E7"/>
        <n v="3.1487671E7"/>
        <n v="4.4978092E7"/>
        <n v="2.2877643E7"/>
        <n v="4.3648586E7"/>
        <n v="4.5511707E7"/>
        <n v="2.5740841E7"/>
        <n v="3.5191835E7"/>
        <n v="2.6722548E7"/>
        <n v="1.4225586E7"/>
        <n v="3.9480571E7"/>
        <n v="2.5740481E7"/>
        <n v="2.4059001E7"/>
        <n v="2.9997572E7"/>
        <n v="4.3001543E7"/>
        <n v="4.2407131E7"/>
        <n v="3.9140888E7"/>
        <n v="1.8186068E7"/>
        <n v="2.5212907E7"/>
        <n v="1.2733492E7"/>
        <n v="1.7600371E7"/>
        <n v="1.422532E7"/>
        <n v="4.3026347E7"/>
        <n v="5775910.0"/>
        <n v="2.9877812E7"/>
        <n v="3.8023859E7"/>
        <n v="3.5921703E7"/>
        <n v="2.5510068E7"/>
        <n v="4.0727676E7"/>
        <n v="5260698.0"/>
        <n v="2.0219898E7"/>
        <n v="3.3609122E7"/>
        <n v="3.7725384E7"/>
        <n v="2.5881767E7"/>
        <n v="2.6137559E7"/>
        <n v="1.6933141E7"/>
        <n v="4.027452E7"/>
        <n v="1.3338766E7"/>
        <n v="3.3815883E7"/>
        <n v="3.7457036E7"/>
        <n v="2.5543745E7"/>
        <n v="2.8680584E7"/>
        <n v="2.4059389E7"/>
        <n v="3.3375793E7"/>
        <n v="3.1875189E7"/>
        <n v="2.8680418E7"/>
        <n v="1.6617295E7"/>
        <n v="2.4059761E7"/>
        <n v="3.7191253E7"/>
        <n v="2.1329654E7"/>
        <n v="1.8440532E7"/>
        <n v="4.5726584E7"/>
        <n v="2.1948243E7"/>
        <n v="2.0219727E7"/>
        <n v="3.3139255E7"/>
        <n v="1.1707875E7"/>
        <n v="2.798075E7"/>
        <n v="2.4227917E7"/>
        <n v="1.1826841E7"/>
        <n v="3.7097139E7"/>
        <n v="2.0433848E7"/>
        <n v="4.0217298E7"/>
        <n v="2.7016337E7"/>
        <n v="4.5512226E7"/>
        <n v="2.3584743E7"/>
        <n v="2.097712E7"/>
        <n v="3.2409209E7"/>
        <n v="3.7497985E7"/>
        <n v="2.7962465E7"/>
        <n v="1.6811486E7"/>
        <n v="2.2336753E7"/>
        <n v="3.7725276E7"/>
        <n v="2.1328619E7"/>
        <n v="4.3707553E7"/>
        <n v="4.127521E7"/>
        <n v="2.7210206E7"/>
        <n v="3.4132896E7"/>
        <n v="2.3021198E7"/>
        <n v="4.3967185E7"/>
        <n v="2.0366737E7"/>
        <n v="5293262.0"/>
        <n v="4.2936016E7"/>
        <n v="3.418597E7"/>
        <n v="1.2414866E7"/>
        <n v="1.8623485E7"/>
        <n v="1.6314375E7"/>
        <n v="1.1476996E7"/>
        <n v="3.8225893E7"/>
        <n v="2.4981243E7"/>
        <n v="3.7311645E7"/>
        <n v="1.8624787E7"/>
        <n v="8089521.0"/>
        <n v="1.2220632E7"/>
        <n v="3.1946933E7"/>
        <n v="8009498.0"/>
        <n v="3.91383E7"/>
        <n v="1.7526171E7"/>
        <n v="1.0012036E7"/>
        <n v="3.3703662E7"/>
        <n v="1.1085492E7"/>
        <n v="3.9358824E7"/>
        <n v="2.4802496E7"/>
        <n v="3.0442449E7"/>
        <n v="1.1238249E7"/>
        <n v="3.9729342E7"/>
        <n v="2.6506207E7"/>
        <n v="1.259827E7"/>
        <n v="2.9433747E7"/>
        <n v="1.4226101E7"/>
        <n v="2.250166E7"/>
        <n v="1.0791657E7"/>
        <n v="3.2460219E7"/>
        <n v="2.9190306E7"/>
        <n v="2.4981215E7"/>
        <n v="3.9698563E7"/>
        <n v="2.9532257E7"/>
        <n v="1.4984794E7"/>
        <n v="2.6446888E7"/>
        <n v="2.212767E7"/>
        <n v="4.5335005E7"/>
        <n v="2.2784354E7"/>
        <n v="4.5416927E7"/>
        <n v="3.1644114E7"/>
        <n v="3.316397E7"/>
        <n v="2.337659E7"/>
        <n v="4.3037972E7"/>
        <n v="3.7658781E7"/>
        <n v="3.6838549E7"/>
        <n v="5521246.0"/>
        <n v="3.6866949E7"/>
        <n v="1.8034554E7"/>
        <n v="2.2070345E7"/>
        <n v="2.644709E7"/>
        <n v="3.7725853E7"/>
        <n v="3.9481279E7"/>
        <n v="2.2073509E7"/>
        <n v="1.3847543E7"/>
        <n v="1.422671E7"/>
        <n v="3.5921818E7"/>
        <n v="2.6534906E7"/>
        <n v="4.1446172E7"/>
        <n v="3.8755162E7"/>
        <n v="3.4604914E7"/>
        <n v="3.9977103E7"/>
        <n v="4.1375545E7"/>
        <n v="2.5212399E7"/>
        <n v="4.8956764E7"/>
        <n v="3.7191919E7"/>
        <n v="2.64086E7"/>
        <n v="1.3627896E7"/>
        <n v="3.8023965E7"/>
        <n v="5293219.0"/>
        <n v="3.694293E7"/>
        <n v="3.5142246E7"/>
        <n v="1.1928608E7"/>
        <n v="1.3847371E7"/>
        <n v="3.211562E7"/>
        <n v="3.384437E7"/>
        <n v="1.4984616E7"/>
        <n v="4.2936011E7"/>
        <n v="2.0159346E7"/>
        <n v="3.9357573E7"/>
        <n v="4.0783214E7"/>
        <n v="5997599.0"/>
        <n v="2.7651107E7"/>
        <n v="4.1818191E7"/>
        <n v="2.4409066E7"/>
        <n v="4.008883E7"/>
        <n v="2.0692575E7"/>
        <n v="3.3756004E7"/>
        <n v="4.5331438E7"/>
        <n v="3783329.0"/>
        <n v="2.7751148E7"/>
        <n v="3.5480438E7"/>
        <n v="3.8491013E7"/>
        <n v="4.0533638E7"/>
        <n v="2.3019574E7"/>
        <n v="3.176578E7"/>
        <n v="2.9731806E7"/>
        <n v="2.8222807E7"/>
        <n v="2.7091869E7"/>
        <n v="2.6012846E7"/>
        <n v="3.8349932E7"/>
        <n v="4.0765004E7"/>
        <n v="1.3868221E7"/>
        <n v="2.1744002E7"/>
        <n v="2.6856342E7"/>
        <n v="1.2733077E7"/>
        <n v="3.3479162E7"/>
        <n v="8.0084211E7"/>
        <n v="2.3166883E7"/>
        <n v="2.6783421E7"/>
        <n v="3.9973698E7"/>
        <n v="4.169444E7"/>
        <n v="1.7860456E7"/>
        <n v="3.4159964E7"/>
        <n v="3.5810859E7"/>
        <n v="2.2877409E7"/>
        <n v="3.213284E7"/>
        <n v="1.7860586E7"/>
        <n v="4.4747549E7"/>
        <n v="3.7725342E7"/>
        <n v="3.5523211E7"/>
        <n v="2.028564E7"/>
        <n v="2.6242951E7"/>
        <n v="1.1707299E7"/>
        <n v="2.5922217E7"/>
        <n v="1.6560448E7"/>
        <n v="4.1649797E7"/>
        <n v="1.4353046E7"/>
        <n v="2.1327795E7"/>
        <n v="3.7917041E7"/>
        <n v="3.2349639E7"/>
        <n v="8083567.0"/>
        <n v="2.5923253E7"/>
        <n v="2.9060264E7"/>
        <n v="4.2547088E7"/>
        <n v="1.2733664E7"/>
        <n v="2.305673E7"/>
        <n v="2.6445714E7"/>
        <n v="2.765208E7"/>
        <n v="2.7016674E7"/>
        <n v="4886224.0"/>
        <n v="2.888354E7"/>
        <n v="3.3703506E7"/>
        <n v="1.2149229E7"/>
        <n v="4.8711564E7"/>
        <n v="3.5920141E7"/>
        <n v="4.1377169E7"/>
        <n v="3.9143738E7"/>
        <n v="3.3884209E7"/>
        <n v="2.7016191E7"/>
        <n v="3.9973122E7"/>
        <n v="3.412763E7"/>
        <n v="3.3050126E7"/>
        <n v="3.2775768E7"/>
        <n v="3.2412219E7"/>
        <n v="2.9175602E7"/>
        <n v="1.2598357E7"/>
        <n v="3.7500719E7"/>
        <n v="2.9133149E7"/>
        <n v="2.0334932E7"/>
        <n v="3.5029694E7"/>
        <n v="2.6799818E7"/>
        <n v="3.978155E7"/>
        <n v="4.0216219E7"/>
        <n v="3.1426103E7"/>
        <n v="1.8020813E7"/>
        <n v="3.2459203E7"/>
        <n v="3.3884279E7"/>
        <n v="1.7494392E7"/>
        <n v="3.1323613E7"/>
        <n v="3.8247892E7"/>
        <n v="2.9532687E7"/>
        <n v="3.8745447E7"/>
        <n v="2.2450129E7"/>
        <n v="1.6314829E7"/>
        <n v="8095376.0"/>
        <n v="1.7924148E7"/>
        <n v="4.2500317E7"/>
        <n v="3.6998288E7"/>
        <n v="3.973257E7"/>
        <n v="2.073237E7"/>
        <n v="2.2414034E7"/>
        <n v="3.3703262E7"/>
        <n v="4.4478488E7"/>
        <n v="1.3279123E7"/>
        <n v="3.4708919E7"/>
        <n v="1.4984811E7"/>
        <s v="36183f287"/>
        <n v="2.8681722E7"/>
        <n v="2.6660561E7"/>
        <n v="1.4480888E7"/>
        <n v="2.5212197E7"/>
        <n v="3.6040265E7"/>
        <n v="4.4919174E7"/>
        <n v="2.5862043E7"/>
        <n v="2.765136E7"/>
        <n v="1.4351666E7"/>
        <n v="1.4494673E7"/>
        <n v="1.1239238E7"/>
        <n v="1.1091393E7"/>
        <n v="8590200.0"/>
        <n v="1.8184909E7"/>
        <n v="2.2264543E7"/>
        <n v="1.65408E7"/>
        <n v="2.2664571E7"/>
        <n v="2.4059533E7"/>
        <n v="5427600.0"/>
        <n v="1.1546173E7"/>
        <n v="2.5212484E7"/>
        <n v="3.2460083E7"/>
        <n v="3.2224757E7"/>
        <n v="3.6866651E7"/>
        <n v="3.7725374E7"/>
        <n v="2.1998191E7"/>
        <n v="1.8523814E7"/>
        <n v="1.1708615E7"/>
        <n v="3.3815077E7"/>
        <n v="2.17443E7"/>
        <n v="1.761493E7"/>
        <n v="2.3930219E7"/>
        <n v="2.2450969E7"/>
        <n v="3.9731219E7"/>
        <n v="3.1254083E7"/>
        <n v="4.0953029E7"/>
        <n v="4.320297E7"/>
        <n v="3.6585681E7"/>
        <n v="2.678383E7"/>
        <n v="2.9878613E7"/>
        <n v="1.2734032E7"/>
        <n v="3.6328678E7"/>
        <n v="2.8883409E7"/>
        <n v="1.726943E7"/>
        <n v="5877684.0"/>
        <n v="4.0355587E7"/>
        <n v="3.4326778E7"/>
        <n v="2.2877665E7"/>
        <n v="3.7507931E7"/>
        <n v="2.8314082E7"/>
        <n v="3.4285208E7"/>
        <n v="1.1985688E7"/>
        <n v="2.2264449E7"/>
        <n v="3.3540721E7"/>
        <n v="2.8137525E7"/>
        <n v="1.0012878E7"/>
        <n v="3.3969239E7"/>
        <n v="3.1588515E7"/>
        <n v="8105966.0"/>
        <n v="4.2797683E7"/>
        <n v="2.2264499E7"/>
        <n v="4.6054335E7"/>
        <n v="1.4410877E7"/>
        <n v="7601400.0"/>
        <n v="1.7696053E7"/>
        <n v="2.0284967E7"/>
        <n v="2.8221025E7"/>
        <n v="3.8063297E7"/>
        <n v="1.8619024E7"/>
        <n v="3.337497E7"/>
        <n v="2.4169927E7"/>
        <n v="3.7188867E7"/>
        <n v="1.0298364E7"/>
        <n v="2.393012E7"/>
        <n v="2.2263137E7"/>
        <n v="2.4553061E7"/>
        <n v="2.6400114E7"/>
        <n v="1.6540392E7"/>
        <n v="1.4135207E7"/>
        <n v="3.0504273E7"/>
        <n v="4.2172532E7"/>
        <n v="3.8023461E7"/>
        <n v="3.1030764E7"/>
        <n v="2.9878119E7"/>
        <n v="2.7365309E7"/>
        <n v="3.4958192E7"/>
        <n v="1.0013134E7"/>
        <n v="2.4340598E7"/>
        <n v="3.6420649E7"/>
        <n v="3.5856657E7"/>
        <n v="2.7751287E7"/>
        <n v="3.5185315E7"/>
        <n v="3.4285239E7"/>
        <n v="2.592384E7"/>
        <n v="4.4919227E7"/>
        <n v="2.1894057E7"/>
        <n v="3.9359041E7"/>
        <n v="2.0422221E7"/>
        <n v="3.2371708E7"/>
        <n v="2.0219915E7"/>
        <n v="1.4073163E7"/>
        <n v="4.1833146E7"/>
        <n v="2.2263572E7"/>
        <n v="1.8230692E7"/>
        <n v="2.9060153E7"/>
        <n v="2.2877077E7"/>
        <n v="3.414107E7"/>
        <n v="2.9998244E7"/>
        <n v="4.2371415E7"/>
        <n v="2.0760961E7"/>
        <n v="1.8908094E7"/>
        <n v="3.7500343E7"/>
        <n v="1.0429165E7"/>
        <n v="1.4966188E7"/>
        <n v="3.314769E7"/>
        <n v="4.0923948E7"/>
        <n v="8135920.0"/>
        <n v="1.8777018E7"/>
        <n v="2.1330375E7"/>
        <n v="4.2499754E7"/>
        <n v="2.9034033E7"/>
        <n v="3.6998356E7"/>
        <n v="3.2116042E7"/>
        <n v="2.7961772E7"/>
        <n v="3.8745509E7"/>
        <n v="3.9138914E7"/>
        <n v="3.1620839E7"/>
        <n v="4.5231381E7"/>
        <n v="2.8883271E7"/>
        <n v="2.4803833E7"/>
        <n v="1.7892711E7"/>
        <n v="4.2929442E7"/>
        <n v="4.4581635E7"/>
        <n v="1.4225736E7"/>
        <n v="1.3790478E7"/>
        <n v="1.6457607E7"/>
        <n v="2.2028951E7"/>
        <n v="4.0357925E7"/>
        <n v="4163362.0"/>
        <n v="3.24131713E8"/>
        <n v="3.9573249E7"/>
        <n v="1.4225524E7"/>
        <n v="3.1254423E7"/>
        <n v="4.1061801E7"/>
        <n v="2.8222731E7"/>
        <n v="2.5212989E7"/>
        <n v="3.799759E7"/>
        <n v="4.1232755E7"/>
        <n v="2.4803818E7"/>
        <n v="2.2804801E7"/>
        <n v="4.0087934E7"/>
        <n v="1.3627742E7"/>
        <n v="2.0219423E7"/>
        <n v="8085908.0"/>
        <n v="2.2073843E7"/>
        <n v="3.7191208E7"/>
        <n v="3.3374317E7"/>
        <n v="4.0437419E7"/>
        <n v="3.3374726E7"/>
        <n v="2.2414879E7"/>
        <n v="3.6838642E7"/>
        <n v="2.8883761E7"/>
        <n v="4.2547174E7"/>
        <n v="2.9878025E7"/>
        <n v="1.4073414E7"/>
        <n v="4.1833354E7"/>
        <n v="4.3431961E7"/>
        <n v="4.3431841E7"/>
        <n v="4.2270212E7"/>
        <n v="2.7650818E7"/>
        <n v="2.4509809E7"/>
        <n v="2.8531514E7"/>
        <n v="3.498113E7"/>
        <n v="2.7016163E7"/>
        <n v="3.7457372E7"/>
        <n v="3.8184294E7"/>
        <n v="8036865.0"/>
        <n v="3.3628449E7"/>
        <n v="2.1028706E7"/>
        <n v="3.7656254E7"/>
        <n v="2.6805954E7"/>
        <n v="2.440932E7"/>
        <n v="3.3139841E7"/>
        <n v="4.3289877E7"/>
        <n v="3.3628004E8"/>
        <n v="2.1328335E7"/>
        <n v="3.3815057E7"/>
        <n v="2.5543843E7"/>
        <n v="2.2429501E7"/>
        <n v="2.6408519E7"/>
        <n v="2.1745624E7"/>
        <n v="2.3015576E7"/>
        <n v="2.9877933E7"/>
        <n v="4955609.0"/>
        <n v="3.3756947E7"/>
        <n v="2.1744844E7"/>
        <n v="5779284.0"/>
        <n v="3.0268121E7"/>
        <n v="3.8472257E7"/>
        <n v="2.0977212E7"/>
        <n v="4.4186823E7"/>
        <n v="3.8184582E7"/>
        <n v="2.4059858E7"/>
        <n v="2.0206122E7"/>
        <n v="2.836753E7"/>
        <n v="4.1817295E7"/>
        <n v="2.999734E7"/>
        <n v="2.4056938E7"/>
        <n v="2.6412607E7"/>
        <n v="1.0910683E7"/>
        <n v="2.7210319E7"/>
        <n v="8285809.0"/>
        <n v="3.4132961E7"/>
        <n v="1.3338778E7"/>
        <n v="3.2459705E7"/>
        <n v="1.8203032E7"/>
        <n v="4.1126172E7"/>
        <n v="1.2148556E7"/>
        <n v="1.7860437E7"/>
        <n v="3.7096628E7"/>
        <n v="1.6074256E7"/>
        <n v="1.7134295E7"/>
        <n v="2.5740312E7"/>
        <n v="3.9145327E7"/>
        <n v="4.1959596E7"/>
        <n v="1.407388E7"/>
        <n v="3.3815507E7"/>
        <n v="4.1300067E7"/>
        <n v="1.4226653E7"/>
        <n v="4.3706846E7"/>
        <n v="1.6821221E7"/>
        <n v="3.4132303E7"/>
        <n v="2.1397233E7"/>
        <n v="2.0159339E7"/>
        <n v="1.7859475E7"/>
        <n v="1.9094444E7"/>
        <n v="3.6420914E7"/>
        <n v="2.9666634E7"/>
        <n v="3.7656236E7"/>
        <n v="3.8185482E7"/>
        <n v="2.1745908E7"/>
        <n v="2.5735447E7"/>
        <n v="2.0232007E7"/>
        <n v="4.2007951E7"/>
        <n v="3.9357338E7"/>
        <n v="2.2336915E7"/>
        <n v="1.6540262E7"/>
        <n v="2.1622505E7"/>
        <n v="4.1182952E7"/>
        <n v="2.7651661E7"/>
        <n v="3.6224806E7"/>
        <n v="1.3045572E7"/>
        <n v="3.5517401E7"/>
        <n v="3.6420595E7"/>
        <n v="1.4410447E7"/>
        <n v="1.4660518E7"/>
        <n v="9.2213441E7"/>
        <n v="3.4880563E7"/>
        <n v="2.132756E7"/>
        <n v="4.2221237E7"/>
        <n v="3.5199957E7"/>
        <n v="9991406.0"/>
        <n v="3.1254098E7"/>
        <n v="2.8223582E7"/>
        <n v="1.0221871E7"/>
        <n v="3.3540099E7"/>
        <n v="1.7494558E7"/>
        <n v="1.4351678E7"/>
        <n v="3.1857755E7"/>
        <n v="1.8667678E7"/>
        <n v="4.3565194E7"/>
        <n v="3.3163423E7"/>
        <n v="3.2513725E7"/>
        <n v="4.2939905E7"/>
        <n v="3.9480673E7"/>
        <n v="2.7751553E7"/>
        <n v="1.2606837E7"/>
        <n v="3.4287674E7"/>
        <n v="2.69708E7"/>
        <n v="2.2283931E7"/>
        <n v="3.935914E7"/>
        <n v="1.668572E7"/>
        <n v="2.4981488E7"/>
        <n v="3.0442057E7"/>
        <n v="2.3171388E7"/>
        <n v="2.7345521E7"/>
        <n v="3.2476005E7"/>
        <n v="2.5498003E7"/>
        <n v="2.5211622E7"/>
        <n v="2.7210043E7"/>
        <n v="4.0326505E7"/>
        <n v="2.2336694E7"/>
        <n v="4.5184298E7"/>
        <n v="4.3564956E7"/>
        <n v="7838590.0"/>
        <n v="4.4032058E7"/>
        <n v="2.7365407E7"/>
        <n v="2.3238865E7"/>
        <n v="2.3931148E7"/>
        <n v="2.0732693E7"/>
        <n v="2.6446843E7"/>
        <n v="3.2412175E7"/>
        <n v="2.7336069E7"/>
        <n v="2.6300431E7"/>
        <n v="3.5806111E7"/>
        <n v="2.2264755E7"/>
        <n v="9.3369729E7"/>
        <n v="3.2134193E7"/>
        <n v="3.0497594E7"/>
        <n v="1.8526551E7"/>
        <n v="2.9293338E7"/>
        <n v="2.4059724E7"/>
        <n v="1.1707039E7"/>
        <n v="1.7377904E7"/>
        <n v="2.4287848E7"/>
        <n v="3.151755E7"/>
        <n v="2.0219891E7"/>
        <n v="3.3755621E7"/>
        <n v="1.2325918E7"/>
        <n v="3.8184345E7"/>
        <n v="2.7575451E7"/>
        <n v="2.7575421E7"/>
        <n v="2.7751216E7"/>
        <n v="1.3338601E7"/>
        <n v="3.7456435E7"/>
        <n v="3.211607E7"/>
        <n v="4.2935646E7"/>
        <n v="4.0088115E7"/>
        <n v="2.9061158E7"/>
        <n v="4.1915695E7"/>
        <n v="2.1327675E7"/>
        <n v="2.9745079E7"/>
        <n v="3.7456627E7"/>
        <n v="2.0692192E7"/>
        <n v="1.4272857E7"/>
        <n v="6437076.0"/>
        <n v="2.7400865E7"/>
        <n v="1.1788669E7"/>
        <n v="2.1329194E7"/>
        <n v="6039576.0"/>
      </sharedItems>
    </cacheField>
    <cacheField name="Fecha de entrega" numFmtId="164">
      <sharedItems containsDate="1" containsString="0" containsBlank="1">
        <d v="2022-10-18T00:00:00Z"/>
        <d v="2022-10-19T00:00:00Z"/>
        <d v="2022-10-20T00:00:00Z"/>
        <d v="2022-10-21T00:00:00Z"/>
        <d v="2022-10-24T00:00:00Z"/>
        <d v="2022-10-26T00:00:00Z"/>
        <d v="2022-10-28T00:00:00Z"/>
        <d v="2022-10-31T00:00:00Z"/>
        <d v="2022-11-02T00:00:00Z"/>
        <d v="2022-11-03T00:00:00Z"/>
        <d v="2022-11-07T00:00:00Z"/>
        <d v="2022-11-08T00:00:00Z"/>
        <d v="2022-11-10T00:00:00Z"/>
        <d v="2022-11-11T00:00:00Z"/>
        <d v="2022-11-14T00:00:00Z"/>
        <d v="2022-11-15T00:00:00Z"/>
        <d v="2022-11-17T00:00:00Z"/>
        <d v="2022-11-18T00:00:00Z"/>
        <d v="2022-11-22T00:00:00Z"/>
        <d v="2022-11-23T00:00:00Z"/>
        <d v="2022-11-24T00:00:00Z"/>
        <d v="2022-11-25T00:00:00Z"/>
        <d v="2022-11-28T00:00:00Z"/>
        <d v="2022-11-29T00:00:00Z"/>
        <d v="2022-12-01T00:00:00Z"/>
        <d v="2022-12-02T00:00:00Z"/>
        <d v="2022-12-05T00:00:00Z"/>
        <d v="2022-12-07T00:00:00Z"/>
        <d v="2022-12-12T00:00:00Z"/>
        <d v="2022-12-13T00:00:00Z"/>
        <d v="2022-12-14T00:00:00Z"/>
        <d v="2022-12-15T00:00:00Z"/>
        <d v="2022-12-16T00:00:00Z"/>
        <d v="2022-12-19T00:00:00Z"/>
        <d v="2022-12-21T00:00:00Z"/>
        <d v="2022-12-22T00:00:00Z"/>
        <d v="2022-12-23T00:00:00Z"/>
        <d v="2022-12-26T00:00:00Z"/>
        <d v="2022-12-27T00:00:00Z"/>
        <d v="2022-12-29T00:00:00Z"/>
        <d v="2022-12-30T00:00:00Z"/>
        <d v="2023-01-02T00:00:00Z"/>
        <d v="2023-01-03T00:00:00Z"/>
        <d v="2023-01-04T00:00:00Z"/>
        <d v="2023-01-06T00:00:00Z"/>
        <d v="2023-01-16T00:00:00Z"/>
        <d v="2023-01-19T00:00:00Z"/>
        <d v="2023-01-20T00:00:00Z"/>
        <d v="2023-01-23T00:00:00Z"/>
        <d v="2023-01-24T00:00:00Z"/>
        <d v="2023-01-25T00:00:00Z"/>
        <d v="2023-01-26T00:00:00Z"/>
        <d v="2023-01-30T00:00:00Z"/>
        <d v="2023-02-01T00:00:00Z"/>
        <d v="2023-02-02T00:00:00Z"/>
        <d v="2023-02-03T00:00:00Z"/>
        <d v="2023-02-06T00:00:00Z"/>
        <d v="2023-02-07T00:00:00Z"/>
        <d v="2023-02-08T00:00:00Z"/>
        <d v="2023-02-10T00:00:00Z"/>
        <d v="2023-02-13T00:00:00Z"/>
        <d v="2023-02-14T00:00:00Z"/>
        <d v="2023-02-17T00:00:00Z"/>
        <d v="2023-02-22T00:00:00Z"/>
        <d v="2023-02-23T00:00:00Z"/>
        <d v="2023-02-24T00:00:00Z"/>
        <d v="2023-02-27T00:00:00Z"/>
        <d v="2023-02-28T00:00:00Z"/>
        <d v="2023-03-01T00:00:00Z"/>
        <d v="2023-03-02T00:00:00Z"/>
        <d v="2023-03-03T00:00:00Z"/>
        <d v="2023-03-06T00:00:00Z"/>
        <d v="2023-03-07T00:00:00Z"/>
        <d v="2023-03-08T00:00:00Z"/>
        <d v="2023-03-09T00:00:00Z"/>
        <d v="2023-03-10T00:00:00Z"/>
        <d v="2023-03-13T00:00:00Z"/>
        <d v="2023-03-14T00:00:00Z"/>
        <d v="2023-03-16T00:00:00Z"/>
        <d v="2023-03-21T00:00:00Z"/>
        <d v="2023-03-22T00:00:00Z"/>
        <d v="2023-03-23T00:00:00Z"/>
        <d v="2023-03-27T00:00:00Z"/>
        <d v="2023-03-28T00:00:00Z"/>
        <d v="2023-03-29T00:00:00Z"/>
        <d v="2023-03-30T00:00:00Z"/>
        <d v="2023-03-31T00:00:00Z"/>
        <d v="2023-04-03T00:00:00Z"/>
        <d v="2023-04-04T00:00:00Z"/>
        <d v="2023-04-05T00:00:00Z"/>
        <d v="2023-04-06T00:00:00Z"/>
        <d v="2023-04-10T00:00:00Z"/>
        <d v="2023-04-11T00:00:00Z"/>
        <d v="2023-04-12T00:00:00Z"/>
        <d v="2023-04-13T00:00:00Z"/>
        <d v="2023-04-14T00:00:00Z"/>
        <d v="2023-04-17T00:00:00Z"/>
        <d v="2023-04-18T00:00:00Z"/>
        <d v="2023-04-19T00:00:00Z"/>
        <d v="2023-04-20T00:00:00Z"/>
        <d v="2023-04-21T00:00:00Z"/>
        <d v="2023-04-24T00:00:00Z"/>
        <d v="2023-04-25T00:00:00Z"/>
        <d v="2023-04-26T00:00:00Z"/>
        <d v="2023-04-27T00:00:00Z"/>
        <d v="2023-04-28T00:00:00Z"/>
        <d v="2023-05-02T00:00:00Z"/>
        <d v="2023-05-03T00:00:00Z"/>
        <d v="2023-05-04T00:00:00Z"/>
        <d v="2023-05-05T00:00:00Z"/>
        <d v="2023-05-08T00:00:00Z"/>
        <d v="2023-05-09T00:00:00Z"/>
        <d v="2023-05-10T00:00:00Z"/>
        <d v="2023-05-11T00:00:00Z"/>
        <d v="2023-05-12T00:00:00Z"/>
        <d v="2023-05-15T00:00:00Z"/>
        <d v="2023-05-16T00:00:00Z"/>
        <d v="2023-05-17T00:00:00Z"/>
        <d v="2023-05-18T00:00:00Z"/>
        <d v="2023-05-19T00:00:00Z"/>
        <d v="2023-05-22T00:00:00Z"/>
        <d v="2023-05-23T00:00:00Z"/>
        <d v="2023-05-24T00:00:00Z"/>
        <d v="2023-05-29T00:00:00Z"/>
        <d v="2023-05-30T00:00:00Z"/>
        <d v="2023-05-31T00:00:00Z"/>
        <d v="2023-06-01T00:00:00Z"/>
        <d v="2023-06-02T00:00:00Z"/>
        <d v="2023-06-05T00:00:00Z"/>
        <d v="2023-06-06T00:00:00Z"/>
        <d v="2023-06-07T00:00:00Z"/>
        <d v="2023-06-08T00:00:00Z"/>
        <d v="2023-06-09T00:00:00Z"/>
        <d v="2023-06-12T00:00:00Z"/>
        <d v="2023-06-13T00:00:00Z"/>
        <d v="2023-06-14T00:00:00Z"/>
        <d v="2023-06-15T00:00:00Z"/>
        <d v="2023-06-16T00:00:00Z"/>
        <d v="2023-06-21T00:00:00Z"/>
        <d v="2023-06-22T00:00:00Z"/>
        <d v="2023-06-23T00:00:00Z"/>
        <d v="2023-06-26T00:00:00Z"/>
        <d v="2023-06-27T00:00:00Z"/>
        <d v="2023-06-28T00:00:00Z"/>
        <d v="2023-06-29T00:00:00Z"/>
        <d v="2023-06-30T00:00:00Z"/>
        <d v="2023-07-03T00:00:00Z"/>
        <d v="2023-07-04T00:00:00Z"/>
        <d v="2023-07-05T00:00:00Z"/>
        <d v="2023-07-06T00:00:00Z"/>
        <d v="2023-07-07T00:00:00Z"/>
        <d v="2023-07-10T00:00:00Z"/>
        <d v="2023-07-11T00:00:00Z"/>
        <d v="2023-07-12T00:00:00Z"/>
        <d v="2023-07-13T00:00:00Z"/>
        <d v="2023-07-14T00:00:00Z"/>
        <d v="2023-07-17T00:00:00Z"/>
        <d v="2023-07-18T00:00:00Z"/>
        <d v="2023-07-19T00:00:00Z"/>
        <d v="2023-07-20T00:00:00Z"/>
        <d v="2023-07-21T00:00:00Z"/>
        <d v="2023-07-24T00:00:00Z"/>
        <d v="2023-07-25T00:00:00Z"/>
        <d v="2023-07-26T00:00:00Z"/>
        <d v="2023-07-27T00:00:00Z"/>
        <d v="2023-07-28T00:00:00Z"/>
        <d v="2023-07-31T00:00:00Z"/>
        <d v="2023-08-01T00:00:00Z"/>
        <d v="2023-08-02T00:00:00Z"/>
        <d v="2023-08-03T00:00:00Z"/>
        <d v="2023-08-04T00:00:00Z"/>
        <d v="2023-08-07T00:00:00Z"/>
        <d v="2023-08-08T00:00:00Z"/>
        <d v="2023-08-09T00:00:00Z"/>
        <d v="2023-08-10T00:00:00Z"/>
        <d v="2023-08-11T00:00:00Z"/>
        <d v="2023-08-14T00:00:00Z"/>
        <d v="2023-08-15T00:00:00Z"/>
        <d v="2023-08-16T00:00:00Z"/>
        <d v="2023-08-17T00:00:00Z"/>
        <d v="2023-08-18T00:00:00Z"/>
        <d v="2023-08-22T00:00:00Z"/>
        <d v="2023-08-23T00:00:00Z"/>
        <d v="2023-08-24T00:00:00Z"/>
        <d v="2023-08-25T00:00:00Z"/>
        <d v="2023-08-28T00:00:00Z"/>
        <d v="2023-08-29T00:00:00Z"/>
        <d v="2023-08-30T00:00:00Z"/>
        <m/>
      </sharedItems>
    </cacheField>
    <cacheField name="Quien retira" numFmtId="0">
      <sharedItems containsBlank="1">
        <s v="titular"/>
        <s v="apoderado"/>
        <m/>
      </sharedItems>
    </cacheField>
    <cacheField name="Cantidad de pasaportes" numFmtId="0">
      <sharedItems containsString="0" containsBlank="1" containsNumber="1" containsInteger="1">
        <n v="3.0"/>
        <n v="1.0"/>
        <n v="4.0"/>
        <n v="2.0"/>
        <n v="5.0"/>
        <n v="7.0"/>
        <n v="6.0"/>
        <n v="11.0"/>
        <n v="21.0"/>
        <n v="8.0"/>
        <m/>
      </sharedItems>
    </cacheField>
    <cacheField name="Ciudad" numFmtId="0">
      <sharedItems containsBlank="1">
        <s v="concepcion"/>
        <s v="aguilares"/>
        <s v="monteros"/>
        <s v="alberdi"/>
        <s v="rio chico"/>
        <s v="medinas"/>
        <s v="capital"/>
        <m/>
      </sharedItems>
    </cacheField>
    <cacheField name="Correo" numFmtId="0">
      <sharedItems containsBlank="1">
        <s v="dhl"/>
        <s v="fedex"/>
        <s v="flash"/>
        <m/>
      </sharedItems>
    </cacheField>
    <cacheField name="Agente que entrega" numFmtId="0">
      <sharedItems containsBlank="1">
        <s v="fernando"/>
        <s v="romina"/>
        <s v="mariana"/>
        <s v="gabriela"/>
        <s v="desire"/>
        <s v="adrian"/>
        <m/>
      </sharedItems>
    </cacheField>
    <cacheField name="Origen pasaporte" numFmtId="0">
      <sharedItems containsBlank="1">
        <s v="EEUU"/>
        <s v="ESPAÑA"/>
        <s v="ITALIA"/>
        <s v="FRANCIA"/>
        <s v="ALEMANIA"/>
        <s v="CANADA"/>
        <s v="TAILANDIA"/>
        <m/>
      </sharedItems>
    </cacheField>
    <cacheField name="Tipo de pasaporte" numFmtId="0">
      <sharedItems containsBlank="1">
        <s v="FAMILIAR"/>
        <s v="INDIVIDUAL"/>
        <m/>
      </sharedItems>
    </cacheField>
    <cacheField name="Mes de entrega" numFmtId="0">
      <sharedItems containsString="0" containsBlank="1" containsNumber="1" containsInteger="1">
        <n v="10.0"/>
        <n v="11.0"/>
        <n v="12.0"/>
        <n v="1.0"/>
        <n v="2.0"/>
        <n v="3.0"/>
        <n v="4.0"/>
        <n v="5.0"/>
        <n v="6.0"/>
        <n v="7.0"/>
        <n v="8.0"/>
        <m/>
      </sharedItems>
    </cacheField>
    <cacheField name="Año de entrega" numFmtId="0">
      <sharedItems containsString="0" containsBlank="1" containsNumber="1" containsInteger="1">
        <n v="2022.0"/>
        <n v="2023.0"/>
        <m/>
      </sharedItems>
    </cacheField>
    <cacheField name="Continente" numFmtId="0">
      <sharedItems containsBlank="1">
        <s v="AMERICANO"/>
        <s v="EUROPEO"/>
        <s v="ASIATICO"/>
        <m/>
      </sharedItems>
    </cacheField>
    <cacheField name="Semestre de entrega" numFmtId="0">
      <sharedItems containsBlank="1">
        <s v="S2"/>
        <s v="S1"/>
        <m/>
      </sharedItems>
    </cacheField>
    <cacheField name="Cuatrimestre" numFmtId="0">
      <sharedItems containsString="0" containsBlank="1" containsNumber="1" containsInteger="1">
        <n v="3.0"/>
        <n v="1.0"/>
        <n v="2.0"/>
        <m/>
      </sharedItems>
    </cacheField>
    <cacheField name="Tipo de cuatrimestre" numFmtId="0">
      <sharedItems>
        <s v="Q3"/>
        <s v="Q1"/>
        <s v="Q2"/>
      </sharedItems>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 " cacheId="0" dataCaption="" compact="0" compactData="0">
  <location ref="A1:D5" firstHeaderRow="0" firstDataRow="1" firstDataCol="1"/>
  <pivotFields>
    <pivotField name="Fecha de llegad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t="default"/>
      </items>
    </pivotField>
    <pivotField name="Numero de guia" compact="0" numFmtId="3"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t="default"/>
      </items>
    </pivotField>
    <pivotField name="Nombre" compact="0" numFmtId="49"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t="default"/>
      </items>
    </pivotField>
    <pivotField name="Dni"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t="default"/>
      </items>
    </pivotField>
    <pivotField name="Fecha de entreg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t="default"/>
      </items>
    </pivotField>
    <pivotField name="Quien retira" compact="0" outline="0" multipleItemSelectionAllowed="1" showAll="0">
      <items>
        <item x="0"/>
        <item x="1"/>
        <item x="2"/>
        <item t="default"/>
      </items>
    </pivotField>
    <pivotField name="Cantidad de pasaportes" dataField="1" compact="0" outline="0" multipleItemSelectionAllowed="1" showAll="0">
      <items>
        <item x="0"/>
        <item x="1"/>
        <item x="2"/>
        <item x="3"/>
        <item x="4"/>
        <item x="5"/>
        <item x="6"/>
        <item x="7"/>
        <item x="8"/>
        <item x="9"/>
        <item x="10"/>
        <item t="default"/>
      </items>
    </pivotField>
    <pivotField name="Ciudad" compact="0" outline="0" multipleItemSelectionAllowed="1" showAll="0">
      <items>
        <item x="0"/>
        <item x="1"/>
        <item x="2"/>
        <item x="3"/>
        <item x="4"/>
        <item x="5"/>
        <item x="6"/>
        <item x="7"/>
        <item t="default"/>
      </items>
    </pivotField>
    <pivotField name="Correo" compact="0" outline="0" multipleItemSelectionAllowed="1" showAll="0">
      <items>
        <item x="0"/>
        <item x="1"/>
        <item x="2"/>
        <item x="3"/>
        <item t="default"/>
      </items>
    </pivotField>
    <pivotField name="Agente que entrega" compact="0" outline="0" multipleItemSelectionAllowed="1" showAll="0">
      <items>
        <item x="0"/>
        <item x="1"/>
        <item x="2"/>
        <item x="3"/>
        <item x="4"/>
        <item x="5"/>
        <item x="6"/>
        <item t="default"/>
      </items>
    </pivotField>
    <pivotField name="Origen pasaporte" compact="0" outline="0" multipleItemSelectionAllowed="1" showAll="0">
      <items>
        <item x="0"/>
        <item x="1"/>
        <item x="2"/>
        <item x="3"/>
        <item x="4"/>
        <item x="5"/>
        <item x="6"/>
        <item x="7"/>
        <item t="default"/>
      </items>
    </pivotField>
    <pivotField name="Tipo de pasaporte" axis="axisCol" compact="0" outline="0" multipleItemSelectionAllowed="1" showAll="0" sortType="ascending">
      <items>
        <item x="2"/>
        <item x="0"/>
        <item x="1"/>
        <item t="default"/>
      </items>
    </pivotField>
    <pivotField name="Mes de entrega" compact="0" outline="0" multipleItemSelectionAllowed="1" showAll="0">
      <items>
        <item x="0"/>
        <item x="1"/>
        <item x="2"/>
        <item x="3"/>
        <item x="4"/>
        <item x="5"/>
        <item x="6"/>
        <item x="7"/>
        <item x="8"/>
        <item x="9"/>
        <item x="10"/>
        <item x="11"/>
        <item t="default"/>
      </items>
    </pivotField>
    <pivotField name="Año de entrega" axis="axisRow" compact="0" outline="0" multipleItemSelectionAllowed="1" showAll="0" sortType="ascending">
      <items>
        <item h="1" x="2"/>
        <item x="0"/>
        <item x="1"/>
        <item t="default"/>
      </items>
    </pivotField>
    <pivotField name="Continente" compact="0" outline="0" multipleItemSelectionAllowed="1" showAll="0">
      <items>
        <item x="0"/>
        <item x="1"/>
        <item x="2"/>
        <item x="3"/>
        <item t="default"/>
      </items>
    </pivotField>
    <pivotField name="Semestre de entrega" compact="0" outline="0" multipleItemSelectionAllowed="1" showAll="0">
      <items>
        <item x="0"/>
        <item x="1"/>
        <item x="2"/>
        <item t="default"/>
      </items>
    </pivotField>
    <pivotField name="Cuatrimestre" compact="0" outline="0" multipleItemSelectionAllowed="1" showAll="0">
      <items>
        <item x="0"/>
        <item x="1"/>
        <item x="2"/>
        <item x="3"/>
        <item t="default"/>
      </items>
    </pivotField>
    <pivotField name="Tipo de cuatrimestre" compact="0" outline="0" multipleItemSelectionAllowed="1" showAll="0">
      <items>
        <item x="0"/>
        <item x="1"/>
        <item x="2"/>
        <item t="default"/>
      </items>
    </pivotField>
  </pivotFields>
  <rowFields>
    <field x="13"/>
  </rowFields>
  <colFields>
    <field x="11"/>
  </colFields>
  <dataFields>
    <dataField name="Respuesta 6" fld="6" baseField="0"/>
  </dataFields>
</pivotTableDefinition>
</file>

<file path=xl/pivotTables/pivotTable2.xml><?xml version="1.0" encoding="utf-8"?>
<pivotTableDefinition xmlns="http://schemas.openxmlformats.org/spreadsheetml/2006/main" name="Tabla dinámica  2" cacheId="0" dataCaption="" compact="0" compactData="0">
  <location ref="A8:E17" firstHeaderRow="0" firstDataRow="1" firstDataCol="1" rowPageCount="1" colPageCount="1"/>
  <pivotFields>
    <pivotField name="Fecha de llegad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t="default"/>
      </items>
    </pivotField>
    <pivotField name="Numero de guia" compact="0" numFmtId="3"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t="default"/>
      </items>
    </pivotField>
    <pivotField name="Nombre" compact="0" numFmtId="49"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t="default"/>
      </items>
    </pivotField>
    <pivotField name="Dni"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t="default"/>
      </items>
    </pivotField>
    <pivotField name="Fecha de entreg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t="default"/>
      </items>
    </pivotField>
    <pivotField name="Quien retira" compact="0" outline="0" multipleItemSelectionAllowed="1" showAll="0">
      <items>
        <item x="0"/>
        <item x="1"/>
        <item x="2"/>
        <item t="default"/>
      </items>
    </pivotField>
    <pivotField name="Cantidad de pasaportes" dataField="1" compact="0" outline="0" multipleItemSelectionAllowed="1" showAll="0">
      <items>
        <item x="0"/>
        <item x="1"/>
        <item x="2"/>
        <item x="3"/>
        <item x="4"/>
        <item x="5"/>
        <item x="6"/>
        <item x="7"/>
        <item x="8"/>
        <item x="9"/>
        <item x="10"/>
        <item t="default"/>
      </items>
    </pivotField>
    <pivotField name="Ciudad" compact="0" outline="0" multipleItemSelectionAllowed="1" showAll="0">
      <items>
        <item x="0"/>
        <item x="1"/>
        <item x="2"/>
        <item x="3"/>
        <item x="4"/>
        <item x="5"/>
        <item x="6"/>
        <item x="7"/>
        <item t="default"/>
      </items>
    </pivotField>
    <pivotField name="Correo" axis="axisCol" compact="0" outline="0" multipleItemSelectionAllowed="1" showAll="0" sortType="ascending">
      <items>
        <item x="3"/>
        <item x="0"/>
        <item x="1"/>
        <item x="2"/>
        <item t="default"/>
      </items>
    </pivotField>
    <pivotField name="Agente que entrega" compact="0" outline="0" multipleItemSelectionAllowed="1" showAll="0">
      <items>
        <item x="0"/>
        <item x="1"/>
        <item x="2"/>
        <item x="3"/>
        <item x="4"/>
        <item x="5"/>
        <item x="6"/>
        <item t="default"/>
      </items>
    </pivotField>
    <pivotField name="Origen pasaporte" axis="axisRow" compact="0" outline="0" multipleItemSelectionAllowed="1" showAll="0" sortType="ascending">
      <items>
        <item x="7"/>
        <item x="4"/>
        <item x="5"/>
        <item x="0"/>
        <item x="1"/>
        <item x="3"/>
        <item x="2"/>
        <item x="6"/>
        <item t="default"/>
      </items>
    </pivotField>
    <pivotField name="Tipo de pasaporte" compact="0" outline="0" multipleItemSelectionAllowed="1" showAll="0">
      <items>
        <item x="0"/>
        <item x="1"/>
        <item x="2"/>
        <item t="default"/>
      </items>
    </pivotField>
    <pivotField name="Mes de entrega" compact="0" outline="0" multipleItemSelectionAllowed="1" showAll="0">
      <items>
        <item x="0"/>
        <item x="1"/>
        <item x="2"/>
        <item x="3"/>
        <item x="4"/>
        <item x="5"/>
        <item x="6"/>
        <item x="7"/>
        <item x="8"/>
        <item x="9"/>
        <item x="10"/>
        <item x="11"/>
        <item t="default"/>
      </items>
    </pivotField>
    <pivotField name="Año de entrega" compact="0" outline="0" multipleItemSelectionAllowed="1" showAll="0">
      <items>
        <item x="0"/>
        <item x="1"/>
        <item x="2"/>
        <item t="default"/>
      </items>
    </pivotField>
    <pivotField name="Continente" compact="0" outline="0" multipleItemSelectionAllowed="1" showAll="0">
      <items>
        <item x="0"/>
        <item x="1"/>
        <item x="2"/>
        <item x="3"/>
        <item t="default"/>
      </items>
    </pivotField>
    <pivotField name="Semestre de entrega" axis="axisPage" compact="0" outline="0" multipleItemSelectionAllowed="1" showAll="0">
      <items>
        <item x="0"/>
        <item x="1"/>
        <item h="1" x="2"/>
        <item t="default"/>
      </items>
    </pivotField>
    <pivotField name="Cuatrimestre" compact="0" outline="0" multipleItemSelectionAllowed="1" showAll="0">
      <items>
        <item x="0"/>
        <item x="1"/>
        <item x="2"/>
        <item x="3"/>
        <item t="default"/>
      </items>
    </pivotField>
    <pivotField name="Tipo de cuatrimestre" compact="0" outline="0" multipleItemSelectionAllowed="1" showAll="0">
      <items>
        <item x="0"/>
        <item x="1"/>
        <item x="2"/>
        <item t="default"/>
      </items>
    </pivotField>
  </pivotFields>
  <rowFields>
    <field x="10"/>
  </rowFields>
  <colFields>
    <field x="8"/>
  </colFields>
  <pageFields>
    <pageField fld="15"/>
  </pageFields>
  <dataFields>
    <dataField name="Respuesta 7" fld="6" baseField="0"/>
  </dataFields>
</pivotTableDefinition>
</file>

<file path=xl/pivotTables/pivotTable3.xml><?xml version="1.0" encoding="utf-8"?>
<pivotTableDefinition xmlns="http://schemas.openxmlformats.org/spreadsheetml/2006/main" name="Tabla dinámica  3" cacheId="0" dataCaption="" compact="0" compactData="0">
  <location ref="A20:D29" firstHeaderRow="0" firstDataRow="1" firstDataCol="1" rowPageCount="1" colPageCount="1"/>
  <pivotFields>
    <pivotField name="Fecha de llegad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t="default"/>
      </items>
    </pivotField>
    <pivotField name="Numero de guia" compact="0" numFmtId="3"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t="default"/>
      </items>
    </pivotField>
    <pivotField name="Nombre" compact="0" numFmtId="49"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t="default"/>
      </items>
    </pivotField>
    <pivotField name="Dni"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t="default"/>
      </items>
    </pivotField>
    <pivotField name="Fecha de entreg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t="default"/>
      </items>
    </pivotField>
    <pivotField name="Quien retira" compact="0" outline="0" multipleItemSelectionAllowed="1" showAll="0">
      <items>
        <item x="0"/>
        <item x="1"/>
        <item x="2"/>
        <item t="default"/>
      </items>
    </pivotField>
    <pivotField name="Cantidad de pasaportes" axis="axisPage" dataField="1" compact="0" outline="0" multipleItemSelectionAllowed="1" showAll="0">
      <items>
        <item x="0"/>
        <item x="1"/>
        <item x="2"/>
        <item x="3"/>
        <item x="4"/>
        <item x="5"/>
        <item x="6"/>
        <item x="7"/>
        <item x="8"/>
        <item x="9"/>
        <item h="1" x="10"/>
        <item t="default"/>
      </items>
    </pivotField>
    <pivotField name="Ciudad" compact="0" outline="0" multipleItemSelectionAllowed="1" showAll="0">
      <items>
        <item x="0"/>
        <item x="1"/>
        <item x="2"/>
        <item x="3"/>
        <item x="4"/>
        <item x="5"/>
        <item x="6"/>
        <item x="7"/>
        <item t="default"/>
      </items>
    </pivotField>
    <pivotField name="Correo" compact="0" outline="0" multipleItemSelectionAllowed="1" showAll="0">
      <items>
        <item x="0"/>
        <item x="1"/>
        <item x="2"/>
        <item x="3"/>
        <item t="default"/>
      </items>
    </pivotField>
    <pivotField name="Agente que entrega" compact="0" outline="0" multipleItemSelectionAllowed="1" showAll="0">
      <items>
        <item x="0"/>
        <item x="1"/>
        <item x="2"/>
        <item x="3"/>
        <item x="4"/>
        <item x="5"/>
        <item x="6"/>
        <item t="default"/>
      </items>
    </pivotField>
    <pivotField name="Origen pasaporte" axis="axisRow" compact="0" outline="0" multipleItemSelectionAllowed="1" showAll="0" sortType="ascending">
      <items>
        <item x="7"/>
        <item x="4"/>
        <item x="5"/>
        <item x="0"/>
        <item x="1"/>
        <item x="3"/>
        <item x="2"/>
        <item x="6"/>
        <item t="default"/>
      </items>
    </pivotField>
    <pivotField name="Tipo de pasaporte" compact="0" outline="0" multipleItemSelectionAllowed="1" showAll="0">
      <items>
        <item x="0"/>
        <item x="1"/>
        <item x="2"/>
        <item t="default"/>
      </items>
    </pivotField>
    <pivotField name="Mes de entrega" compact="0" outline="0" multipleItemSelectionAllowed="1" showAll="0">
      <items>
        <item x="0"/>
        <item x="1"/>
        <item x="2"/>
        <item x="3"/>
        <item x="4"/>
        <item x="5"/>
        <item x="6"/>
        <item x="7"/>
        <item x="8"/>
        <item x="9"/>
        <item x="10"/>
        <item x="11"/>
        <item t="default"/>
      </items>
    </pivotField>
    <pivotField name="Año de entrega" axis="axisCol" compact="0" outline="0" multipleItemSelectionAllowed="1" showAll="0" sortType="ascending">
      <items>
        <item x="2"/>
        <item x="0"/>
        <item x="1"/>
        <item t="default"/>
      </items>
    </pivotField>
    <pivotField name="Continente" compact="0" outline="0" multipleItemSelectionAllowed="1" showAll="0">
      <items>
        <item x="0"/>
        <item x="1"/>
        <item x="2"/>
        <item x="3"/>
        <item t="default"/>
      </items>
    </pivotField>
    <pivotField name="Semestre de entrega" compact="0" outline="0" multipleItemSelectionAllowed="1" showAll="0">
      <items>
        <item x="0"/>
        <item x="1"/>
        <item x="2"/>
        <item t="default"/>
      </items>
    </pivotField>
    <pivotField name="Cuatrimestre" compact="0" outline="0" multipleItemSelectionAllowed="1" showAll="0">
      <items>
        <item x="0"/>
        <item x="1"/>
        <item x="2"/>
        <item x="3"/>
        <item t="default"/>
      </items>
    </pivotField>
    <pivotField name="Tipo de cuatrimestre" compact="0" outline="0" multipleItemSelectionAllowed="1" showAll="0">
      <items>
        <item x="0"/>
        <item x="1"/>
        <item x="2"/>
        <item t="default"/>
      </items>
    </pivotField>
  </pivotFields>
  <rowFields>
    <field x="10"/>
  </rowFields>
  <colFields>
    <field x="13"/>
  </colFields>
  <pageFields>
    <pageField fld="6"/>
  </pageFields>
  <dataFields>
    <dataField name="Respuesta 8" fld="6" baseField="0"/>
  </dataFields>
</pivotTableDefinition>
</file>

<file path=xl/pivotTables/pivotTable4.xml><?xml version="1.0" encoding="utf-8"?>
<pivotTableDefinition xmlns="http://schemas.openxmlformats.org/spreadsheetml/2006/main" name="Tabla dinámica  4" cacheId="0" dataCaption="" compact="0" compactData="0">
  <location ref="A32:D37" firstHeaderRow="0" firstDataRow="1" firstDataCol="1" rowPageCount="1" colPageCount="1"/>
  <pivotFields>
    <pivotField name="Fecha de llegad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t="default"/>
      </items>
    </pivotField>
    <pivotField name="Numero de guia" compact="0" numFmtId="3"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t="default"/>
      </items>
    </pivotField>
    <pivotField name="Nombre" compact="0" numFmtId="49"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t="default"/>
      </items>
    </pivotField>
    <pivotField name="Dni" compact="0"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t="default"/>
      </items>
    </pivotField>
    <pivotField name="Fecha de entrega" compact="0" numFmtId="164" outline="0" multipleItemSelectionAllowed="1" showAll="0">
      <items>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t="default"/>
      </items>
    </pivotField>
    <pivotField name="Quien retira" compact="0" outline="0" multipleItemSelectionAllowed="1" showAll="0">
      <items>
        <item x="0"/>
        <item x="1"/>
        <item x="2"/>
        <item t="default"/>
      </items>
    </pivotField>
    <pivotField name="Cantidad de pasaportes" dataField="1" compact="0" outline="0" multipleItemSelectionAllowed="1" showAll="0">
      <items>
        <item x="0"/>
        <item x="1"/>
        <item x="2"/>
        <item x="3"/>
        <item x="4"/>
        <item x="5"/>
        <item x="6"/>
        <item x="7"/>
        <item x="8"/>
        <item x="9"/>
        <item x="10"/>
        <item t="default"/>
      </items>
    </pivotField>
    <pivotField name="Ciudad" compact="0" outline="0" multipleItemSelectionAllowed="1" showAll="0">
      <items>
        <item x="0"/>
        <item x="1"/>
        <item x="2"/>
        <item x="3"/>
        <item x="4"/>
        <item x="5"/>
        <item x="6"/>
        <item x="7"/>
        <item t="default"/>
      </items>
    </pivotField>
    <pivotField name="Correo" compact="0" outline="0" multipleItemSelectionAllowed="1" showAll="0">
      <items>
        <item x="0"/>
        <item x="1"/>
        <item x="2"/>
        <item x="3"/>
        <item t="default"/>
      </items>
    </pivotField>
    <pivotField name="Agente que entrega" compact="0" outline="0" multipleItemSelectionAllowed="1" showAll="0">
      <items>
        <item x="0"/>
        <item x="1"/>
        <item x="2"/>
        <item x="3"/>
        <item x="4"/>
        <item x="5"/>
        <item x="6"/>
        <item t="default"/>
      </items>
    </pivotField>
    <pivotField name="Origen pasaporte" compact="0" outline="0" multipleItemSelectionAllowed="1" showAll="0">
      <items>
        <item x="0"/>
        <item x="1"/>
        <item x="2"/>
        <item x="3"/>
        <item x="4"/>
        <item x="5"/>
        <item x="6"/>
        <item x="7"/>
        <item t="default"/>
      </items>
    </pivotField>
    <pivotField name="Tipo de pasaporte" axis="axisCol" compact="0" outline="0" multipleItemSelectionAllowed="1" showAll="0" sortType="ascending">
      <items>
        <item x="2"/>
        <item x="0"/>
        <item x="1"/>
        <item t="default"/>
      </items>
    </pivotField>
    <pivotField name="Mes de entrega" compact="0" outline="0" multipleItemSelectionAllowed="1" showAll="0">
      <items>
        <item x="0"/>
        <item x="1"/>
        <item x="2"/>
        <item x="3"/>
        <item x="4"/>
        <item x="5"/>
        <item x="6"/>
        <item x="7"/>
        <item x="8"/>
        <item x="9"/>
        <item x="10"/>
        <item x="11"/>
        <item t="default"/>
      </items>
    </pivotField>
    <pivotField name="Año de entrega" compact="0" outline="0" multipleItemSelectionAllowed="1" showAll="0">
      <items>
        <item x="0"/>
        <item x="1"/>
        <item x="2"/>
        <item t="default"/>
      </items>
    </pivotField>
    <pivotField name="Continente" axis="axisRow" compact="0" outline="0" multipleItemSelectionAllowed="1" showAll="0" sortType="ascending">
      <items>
        <item x="3"/>
        <item x="0"/>
        <item x="2"/>
        <item x="1"/>
        <item t="default"/>
      </items>
    </pivotField>
    <pivotField name="Semestre de entrega" axis="axisPage" compact="0" outline="0" multipleItemSelectionAllowed="1" showAll="0">
      <items>
        <item x="0"/>
        <item x="1"/>
        <item h="1" x="2"/>
        <item t="default"/>
      </items>
    </pivotField>
    <pivotField name="Cuatrimestre" compact="0" outline="0" multipleItemSelectionAllowed="1" showAll="0">
      <items>
        <item x="0"/>
        <item x="1"/>
        <item x="2"/>
        <item x="3"/>
        <item t="default"/>
      </items>
    </pivotField>
    <pivotField name="Tipo de cuatrimestre" compact="0" outline="0" multipleItemSelectionAllowed="1" showAll="0">
      <items>
        <item x="0"/>
        <item x="1"/>
        <item x="2"/>
        <item t="default"/>
      </items>
    </pivotField>
  </pivotFields>
  <rowFields>
    <field x="14"/>
  </rowFields>
  <colFields>
    <field x="11"/>
  </colFields>
  <pageFields>
    <pageField fld="15"/>
  </pageFields>
  <dataFields>
    <dataField name="Respuesta 9" fld="6" baseField="0"/>
  </dataFields>
</pivotTableDefinition>
</file>

<file path=xl/slicerCaches/slicerCache1.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1_Col_12" sourceName="Tipo de pasaporte">
  <x14:extLst>
    <ext uri="{2F2917AC-EB37-4324-AD4E-5DD8C200BD13}">
      <x15:tableSlicerCache tableId="1" column="12"/>
    </ext>
  </x14:extLst>
</x14:slicerCacheDefinition>
</file>

<file path=xl/slicerCaches/slicerCache2.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2_Col_1" sourceName="Column1">
  <x14:extLst>
    <ext uri="{2F2917AC-EB37-4324-AD4E-5DD8C200BD13}">
      <x15:tableSlicerCache tableId="2" column="1"/>
    </ext>
  </x14:extLst>
</x14:slicerCacheDefinition>
</file>

<file path=xl/slicerCaches/slicerCache3.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3_Col_1" sourceName="Column1">
  <x14:extLst>
    <ext uri="{2F2917AC-EB37-4324-AD4E-5DD8C200BD13}">
      <x15:tableSlicerCache tableId="3" column="1"/>
    </ext>
  </x14:extLst>
</x14:slicerCacheDefinition>
</file>

<file path=xl/slicerCaches/slicerCache4.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5_Col_1" sourceName="Origen pasaporte">
  <x14:extLst>
    <ext uri="{2F2917AC-EB37-4324-AD4E-5DD8C200BD13}">
      <x15:tableSlicerCache tableId="5" column="1"/>
    </ext>
  </x14:extLst>
</x14:slicerCacheDefinition>
</file>

<file path=xl/slicerCaches/slicerCache5.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6_Col_1" sourceName="Column1">
  <x14:extLst>
    <ext uri="{2F2917AC-EB37-4324-AD4E-5DD8C200BD13}">
      <x15:tableSlicerCache tableId="6" column="1"/>
    </ext>
  </x14:extLst>
</x14:slicerCacheDefinition>
</file>

<file path=xl/slicerCaches/slicerCache6.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7_Col_1" sourceName="Column1">
  <x14:extLst>
    <ext uri="{2F2917AC-EB37-4324-AD4E-5DD8C200BD13}">
      <x15:tableSlicerCache tableId="7" column="1"/>
    </ext>
  </x14:extLst>
</x14:slicerCacheDefinition>
</file>

<file path=xl/slicerCaches/slicerCache7.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8_Col_1" sourceName="Continente">
  <x14:extLst>
    <ext uri="{2F2917AC-EB37-4324-AD4E-5DD8C200BD13}">
      <x15:tableSlicerCache tableId="8" column="1"/>
    </ext>
  </x14:extLst>
</x14:slicerCacheDefinition>
</file>

<file path=xl/slicers/slicer1.xml><?xml version="1.0" encoding="utf-8"?>
<x14:slicers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x14:slicer name="Tipo de pasaporte_1" cache="SlicerCache_Table_1_Col_12" caption="Tipo de pasaporte" rowHeight="247650"/>
  <x14:slicer name="Continente_2" cache="SlicerCache_Table_8_Col_1" caption="Continente" rowHeight="247650"/>
  <x14:slicer name="Column1_3" cache="SlicerCache_Table_3_Col_1" caption="Column1" rowHeight="247650"/>
  <x14:slicer name="Column1_4" cache="SlicerCache_Table_6_Col_1" caption="Column1" rowHeight="247650"/>
</x14:slicers>
</file>

<file path=xl/slicers/slicer2.xml><?xml version="1.0" encoding="utf-8"?>
<x14:slicers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x14:slicer name="Column1_5" cache="SlicerCache_Table_2_Col_1" caption="Column1" rowHeight="247650"/>
  <x14:slicer name="Origen pasaporte_6" cache="SlicerCache_Table_5_Col_1" caption="Origen pasaporte" rowHeight="247650"/>
  <x14:slicer name="Column1_7" cache="SlicerCache_Table_7_Col_1" caption="Column1" rowHeight="247650"/>
  <x14:slicer name="Continente_8" cache="SlicerCache_Table_8_Col_1" caption="Continente" rowHeight="247650"/>
</x14:slicers>
</file>

<file path=xl/tables/table1.xml><?xml version="1.0" encoding="utf-8"?>
<table xmlns="http://schemas.openxmlformats.org/spreadsheetml/2006/main" ref="A1:R1100" displayName="Table_1" name="Table_1" id="1">
  <autoFilter ref="$A$1:$R$1100"/>
  <tableColumns count="18">
    <tableColumn name="Fecha de llegada" id="1"/>
    <tableColumn name="Numero de guia" id="2"/>
    <tableColumn name="Nombre" id="3"/>
    <tableColumn name="Dni" id="4"/>
    <tableColumn name="Fecha de entrega" id="5"/>
    <tableColumn name="Quien retira" id="6"/>
    <tableColumn name="Cantidad de pasaportes" id="7"/>
    <tableColumn name="Ciudad" id="8"/>
    <tableColumn name="Correo" id="9"/>
    <tableColumn name="Agente que entrega" id="10"/>
    <tableColumn name="Origen pasaporte" id="11"/>
    <tableColumn name="Tipo de pasaporte" id="12"/>
    <tableColumn name="Mes de entrega" id="13"/>
    <tableColumn name="Año de entrega" id="14"/>
    <tableColumn name="Continente" id="15"/>
    <tableColumn name="Semestre de entrega" id="16"/>
    <tableColumn name="Cuatrimestre" id="17"/>
    <tableColumn name="Tipo de cuatrimestre" id="18"/>
  </tableColumns>
  <tableStyleInfo name="Base Trabajada-style" showColumnStripes="0" showFirstColumn="1" showLastColumn="1" showRowStripes="1"/>
</table>
</file>

<file path=xl/tables/table2.xml><?xml version="1.0" encoding="utf-8"?>
<table xmlns="http://schemas.openxmlformats.org/spreadsheetml/2006/main" headerRowCount="0" ref="A1:C4" displayName="Table_2" name="Table_2" id="2">
  <autoFilter ref="$A$1:$C$4"/>
  <tableColumns count="3">
    <tableColumn name="Column1" id="1"/>
    <tableColumn name="Column2" id="2"/>
    <tableColumn name="Column3" id="3"/>
  </tableColumns>
  <tableStyleInfo showColumnStripes="0" showFirstColumn="0" showLastColumn="0" showRowStripes="0"/>
  <extLst>
    <ext uri="GoogleSheetsCustomDataVersion1">
      <go:sheetsCustomData xmlns:go="http://customooxmlschemas.google.com/" headerRowCount="1"/>
    </ext>
  </extLst>
</table>
</file>

<file path=xl/tables/table3.xml><?xml version="1.0" encoding="utf-8"?>
<table xmlns="http://schemas.openxmlformats.org/spreadsheetml/2006/main" headerRowCount="0" ref="A8:E17" displayName="Table_3" name="Table_3" id="3">
  <autoFilter ref="$A$8:$E$17"/>
  <tableColumns count="5">
    <tableColumn name="Column1" id="1"/>
    <tableColumn name="Column2" id="2"/>
    <tableColumn name="Column3" id="3"/>
    <tableColumn name="Column4" id="4"/>
    <tableColumn name="Column5" id="5"/>
  </tableColumns>
  <tableStyleInfo showColumnStripes="0" showFirstColumn="0" showLastColumn="0" showRowStripes="0"/>
  <extLst>
    <ext uri="GoogleSheetsCustomDataVersion1">
      <go:sheetsCustomData xmlns:go="http://customooxmlschemas.google.com/" headerRowCount="1"/>
    </ext>
  </extLst>
</table>
</file>

<file path=xl/tables/table4.xml><?xml version="1.0" encoding="utf-8"?>
<table xmlns="http://schemas.openxmlformats.org/spreadsheetml/2006/main" headerRowCount="0" ref="G8:K14" displayName="Table_4" name="Table_4" id="4">
  <tableColumns count="5">
    <tableColumn name="Column1" id="1"/>
    <tableColumn name="Column2" id="2"/>
    <tableColumn name="Column3" id="3"/>
    <tableColumn name="Column4" id="4"/>
    <tableColumn name="Column5" id="5"/>
  </tableColumns>
  <tableStyleInfo name="Tabla dinámica -style 3" showColumnStripes="0" showFirstColumn="1" showLastColumn="1" showRowStripes="1"/>
  <extLst>
    <ext uri="GoogleSheetsCustomDataVersion1">
      <go:sheetsCustomData xmlns:go="http://customooxmlschemas.google.com/" headerRowCount="1"/>
    </ext>
  </extLst>
</table>
</file>

<file path=xl/tables/table5.xml><?xml version="1.0" encoding="utf-8"?>
<table xmlns="http://schemas.openxmlformats.org/spreadsheetml/2006/main" ref="A9:D16" displayName="Table_5" name="Table_5" id="5">
  <autoFilter ref="$A$9:$D$16"/>
  <tableColumns count="4">
    <tableColumn name="Origen pasaporte" id="1"/>
    <tableColumn name="dhl" id="2"/>
    <tableColumn name="fedex" id="3"/>
    <tableColumn name="flash" id="4"/>
  </tableColumns>
  <tableStyleInfo showColumnStripes="0" showFirstColumn="0" showLastColumn="0" showRowStripes="0"/>
</table>
</file>

<file path=xl/tables/table6.xml><?xml version="1.0" encoding="utf-8"?>
<table xmlns="http://schemas.openxmlformats.org/spreadsheetml/2006/main" headerRowCount="0" ref="A21:D24" displayName="Table_6" name="Table_6" id="6">
  <autoFilter ref="$A$21:$D$24"/>
  <tableColumns count="4">
    <tableColumn name="Column1" id="1"/>
    <tableColumn name="Column2" id="2"/>
    <tableColumn name="Column3" id="3"/>
    <tableColumn name="Column4" id="4"/>
  </tableColumns>
  <tableStyleInfo showColumnStripes="0" showFirstColumn="0" showLastColumn="0" showRowStripes="0"/>
  <extLst>
    <ext uri="GoogleSheetsCustomDataVersion1">
      <go:sheetsCustomData xmlns:go="http://customooxmlschemas.google.com/" headerRowCount="1"/>
    </ext>
  </extLst>
</table>
</file>

<file path=xl/tables/table7.xml><?xml version="1.0" encoding="utf-8"?>
<table xmlns="http://schemas.openxmlformats.org/spreadsheetml/2006/main" headerRowCount="0" ref="A21:C28" displayName="Table_7" name="Table_7" id="7">
  <autoFilter ref="$A$21:$C$28"/>
  <tableColumns count="3">
    <tableColumn name="Column1" id="1"/>
    <tableColumn name="Column2" id="2"/>
    <tableColumn name="Column3" id="3"/>
  </tableColumns>
  <tableStyleInfo showColumnStripes="0" showFirstColumn="0" showLastColumn="0" showRowStripes="0"/>
  <extLst>
    <ext uri="GoogleSheetsCustomDataVersion1">
      <go:sheetsCustomData xmlns:go="http://customooxmlschemas.google.com/" headerRowCount="1"/>
    </ext>
  </extLst>
</table>
</file>

<file path=xl/tables/table8.xml><?xml version="1.0" encoding="utf-8"?>
<table xmlns="http://schemas.openxmlformats.org/spreadsheetml/2006/main" ref="A33:C36" displayName="Table_8" name="Table_8" id="8">
  <autoFilter ref="$A$33:$C$36"/>
  <tableColumns count="3">
    <tableColumn name="Continente" id="1"/>
    <tableColumn name="FAMILIAR" id="2"/>
    <tableColumn name="INDIVIDUAL" id="3"/>
  </tableColumns>
  <tableStyleInfo showColumnStripes="0" showFirstColumn="0" showLastColumn="0" showRowStripes="0"/>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ED7D31"/>
      </a:accent1>
      <a:accent2>
        <a:srgbClr val="ED7D31"/>
      </a:accent2>
      <a:accent3>
        <a:srgbClr val="FFE6DD"/>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0" Type="http://schemas.microsoft.com/office/2007/relationships/slicer" Target="../slicers/slicer1.xml"/><Relationship Id="rId13" Type="http://schemas.openxmlformats.org/officeDocument/2006/relationships/table" Target="../tables/table2.xml"/><Relationship Id="rId1" Type="http://schemas.openxmlformats.org/officeDocument/2006/relationships/pivotTable" Target="../pivotTables/pivotTable1.xml"/><Relationship Id="rId2" Type="http://schemas.openxmlformats.org/officeDocument/2006/relationships/pivotTable" Target="../pivotTables/pivotTable2.xml"/><Relationship Id="rId3" Type="http://schemas.openxmlformats.org/officeDocument/2006/relationships/pivotTable" Target="../pivotTables/pivotTable3.xml"/><Relationship Id="rId4" Type="http://schemas.openxmlformats.org/officeDocument/2006/relationships/pivotTable" Target="../pivotTables/pivotTable4.xml"/><Relationship Id="rId15" Type="http://schemas.openxmlformats.org/officeDocument/2006/relationships/table" Target="../tables/table4.xml"/><Relationship Id="rId14" Type="http://schemas.openxmlformats.org/officeDocument/2006/relationships/table" Target="../tables/table3.xml"/><Relationship Id="rId17" Type="http://schemas.openxmlformats.org/officeDocument/2006/relationships/table" Target="../tables/table6.xml"/><Relationship Id="rId16" Type="http://schemas.openxmlformats.org/officeDocument/2006/relationships/table" Target="../tables/table5.xml"/><Relationship Id="rId5" Type="http://schemas.openxmlformats.org/officeDocument/2006/relationships/drawing" Target="../drawings/drawing7.xml"/><Relationship Id="rId19" Type="http://schemas.openxmlformats.org/officeDocument/2006/relationships/table" Target="../tables/table8.xml"/><Relationship Id="rId18"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2"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9.38"/>
    <col customWidth="1" min="2" max="2" width="21.88"/>
    <col customWidth="1" min="3" max="3" width="17.0"/>
    <col customWidth="1" min="4" max="26" width="9.38"/>
  </cols>
  <sheetData>
    <row r="2">
      <c r="B2" s="1" t="s">
        <v>0</v>
      </c>
      <c r="C2" s="2"/>
      <c r="D2" s="2"/>
      <c r="E2" s="2"/>
      <c r="F2" s="2"/>
      <c r="G2" s="2"/>
      <c r="H2" s="2"/>
      <c r="I2" s="2"/>
      <c r="J2" s="2"/>
      <c r="K2" s="2"/>
      <c r="L2" s="2"/>
      <c r="M2" s="2"/>
      <c r="N2" s="3"/>
    </row>
    <row r="5">
      <c r="B5" s="4" t="s">
        <v>1</v>
      </c>
    </row>
    <row r="7">
      <c r="B7" s="4" t="s">
        <v>2</v>
      </c>
      <c r="C7" s="4" t="s">
        <v>3</v>
      </c>
    </row>
    <row r="8">
      <c r="B8" s="4" t="s">
        <v>4</v>
      </c>
      <c r="C8" s="4" t="s">
        <v>5</v>
      </c>
    </row>
    <row r="9">
      <c r="B9" s="4" t="s">
        <v>6</v>
      </c>
      <c r="C9" s="4" t="s">
        <v>7</v>
      </c>
    </row>
    <row r="10">
      <c r="B10" s="4" t="s">
        <v>8</v>
      </c>
      <c r="C10" s="4" t="s">
        <v>9</v>
      </c>
    </row>
    <row r="11">
      <c r="B11" s="4" t="s">
        <v>10</v>
      </c>
      <c r="C11" s="4" t="s">
        <v>11</v>
      </c>
    </row>
    <row r="12">
      <c r="B12" s="4" t="s">
        <v>12</v>
      </c>
      <c r="C12" s="4" t="s">
        <v>13</v>
      </c>
    </row>
    <row r="13">
      <c r="B13" s="4" t="s">
        <v>14</v>
      </c>
      <c r="C13" s="4" t="s">
        <v>15</v>
      </c>
    </row>
    <row r="14">
      <c r="B14" s="4" t="s">
        <v>16</v>
      </c>
      <c r="C14" s="4" t="s">
        <v>17</v>
      </c>
    </row>
    <row r="15">
      <c r="B15" s="4" t="s">
        <v>18</v>
      </c>
      <c r="C15" s="4" t="s">
        <v>19</v>
      </c>
    </row>
    <row r="16">
      <c r="B16" s="4" t="s">
        <v>20</v>
      </c>
      <c r="C16" s="4" t="s">
        <v>21</v>
      </c>
    </row>
    <row r="17">
      <c r="B17" s="4" t="s">
        <v>22</v>
      </c>
      <c r="C17" s="4" t="s">
        <v>23</v>
      </c>
    </row>
    <row r="18">
      <c r="B18" s="4" t="s">
        <v>24</v>
      </c>
      <c r="C18" s="4" t="s">
        <v>25</v>
      </c>
    </row>
    <row r="19">
      <c r="B19" s="4" t="s">
        <v>26</v>
      </c>
      <c r="C19" s="4" t="s">
        <v>27</v>
      </c>
    </row>
    <row r="20">
      <c r="B20" s="4" t="s">
        <v>28</v>
      </c>
      <c r="C20" s="4" t="s">
        <v>29</v>
      </c>
    </row>
    <row r="21" ht="15.75" customHeight="1">
      <c r="B21" s="4" t="s">
        <v>30</v>
      </c>
      <c r="C21" s="4" t="s">
        <v>31</v>
      </c>
    </row>
    <row r="22" ht="15.75" customHeight="1">
      <c r="B22" s="4" t="s">
        <v>32</v>
      </c>
      <c r="C22" s="4" t="s">
        <v>33</v>
      </c>
    </row>
    <row r="23" ht="15.75" customHeight="1">
      <c r="B23" s="4" t="s">
        <v>34</v>
      </c>
      <c r="C23" s="4" t="s">
        <v>35</v>
      </c>
    </row>
    <row r="24" ht="15.75" customHeight="1">
      <c r="B24" s="4" t="s">
        <v>36</v>
      </c>
      <c r="C24" s="4" t="s">
        <v>37</v>
      </c>
    </row>
    <row r="25" ht="15.75" customHeight="1">
      <c r="B25" s="4" t="s">
        <v>38</v>
      </c>
      <c r="C25" s="4" t="s">
        <v>39</v>
      </c>
    </row>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2:N2"/>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26" width="9.38"/>
  </cols>
  <sheetData>
    <row r="1">
      <c r="B1" s="5" t="s">
        <v>40</v>
      </c>
      <c r="C1" s="2"/>
      <c r="D1" s="2"/>
      <c r="E1" s="2"/>
      <c r="F1" s="2"/>
      <c r="G1" s="2"/>
      <c r="H1" s="2"/>
      <c r="I1" s="2"/>
      <c r="J1" s="2"/>
      <c r="K1" s="2"/>
      <c r="L1" s="2"/>
      <c r="M1" s="2"/>
      <c r="N1" s="3"/>
    </row>
    <row r="4">
      <c r="B4" s="4" t="s">
        <v>41</v>
      </c>
    </row>
    <row r="6">
      <c r="B6" s="4" t="s">
        <v>42</v>
      </c>
    </row>
    <row r="8">
      <c r="B8" s="4" t="s">
        <v>43</v>
      </c>
    </row>
    <row r="9">
      <c r="B9" s="4" t="s">
        <v>44</v>
      </c>
    </row>
    <row r="10">
      <c r="B10" s="4" t="s">
        <v>45</v>
      </c>
    </row>
    <row r="11">
      <c r="B11" s="4" t="s">
        <v>46</v>
      </c>
    </row>
    <row r="12">
      <c r="B12" s="4" t="s">
        <v>47</v>
      </c>
    </row>
    <row r="13">
      <c r="B13" s="4" t="s">
        <v>48</v>
      </c>
    </row>
    <row r="14">
      <c r="B14" s="4" t="s">
        <v>49</v>
      </c>
    </row>
    <row r="15">
      <c r="B15" s="4" t="s">
        <v>50</v>
      </c>
    </row>
    <row r="16">
      <c r="B16" s="4" t="s">
        <v>51</v>
      </c>
    </row>
    <row r="17">
      <c r="B17" s="4" t="s">
        <v>52</v>
      </c>
    </row>
    <row r="18">
      <c r="B18" s="4" t="s">
        <v>53</v>
      </c>
    </row>
    <row r="19">
      <c r="B19" s="4" t="s">
        <v>54</v>
      </c>
    </row>
    <row r="20">
      <c r="B20" s="4" t="s">
        <v>55</v>
      </c>
    </row>
    <row r="21" ht="15.75" customHeight="1">
      <c r="B21" s="4" t="s">
        <v>56</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1:N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5.0"/>
    <col customWidth="1" min="3" max="3" width="32.38"/>
    <col customWidth="1" min="4" max="4" width="10.0"/>
    <col customWidth="1" min="5" max="5" width="15.25"/>
    <col customWidth="1" min="6" max="6" width="12.88"/>
    <col customWidth="1" min="7" max="7" width="19.63"/>
    <col customWidth="1" min="8" max="9" width="10.0"/>
    <col customWidth="1" min="10" max="10" width="17.13"/>
    <col customWidth="1" min="11" max="11" width="15.63"/>
    <col customWidth="1" min="12" max="26" width="9.38"/>
  </cols>
  <sheetData>
    <row r="1">
      <c r="A1" s="6" t="s">
        <v>57</v>
      </c>
      <c r="B1" s="7" t="s">
        <v>58</v>
      </c>
      <c r="C1" s="8" t="s">
        <v>59</v>
      </c>
      <c r="D1" s="7" t="s">
        <v>60</v>
      </c>
      <c r="E1" s="6" t="s">
        <v>61</v>
      </c>
      <c r="F1" s="9" t="s">
        <v>62</v>
      </c>
      <c r="G1" s="9" t="s">
        <v>63</v>
      </c>
      <c r="H1" s="9" t="s">
        <v>64</v>
      </c>
      <c r="I1" s="9" t="s">
        <v>65</v>
      </c>
      <c r="J1" s="9" t="s">
        <v>66</v>
      </c>
      <c r="K1" s="9" t="s">
        <v>67</v>
      </c>
    </row>
    <row r="2">
      <c r="A2" s="10">
        <v>44851.0</v>
      </c>
      <c r="B2" s="11">
        <v>3.643884075E9</v>
      </c>
      <c r="C2" s="12" t="s">
        <v>68</v>
      </c>
      <c r="D2" s="11">
        <v>4.2468326E7</v>
      </c>
      <c r="E2" s="10">
        <v>44852.0</v>
      </c>
      <c r="F2" s="9" t="s">
        <v>69</v>
      </c>
      <c r="G2" s="13">
        <v>3.0</v>
      </c>
      <c r="H2" s="9" t="s">
        <v>70</v>
      </c>
      <c r="I2" s="9" t="s">
        <v>71</v>
      </c>
      <c r="J2" s="9" t="s">
        <v>72</v>
      </c>
      <c r="K2" s="9" t="s">
        <v>73</v>
      </c>
    </row>
    <row r="3">
      <c r="A3" s="10">
        <v>44853.0</v>
      </c>
      <c r="B3" s="11">
        <v>4.57120643E9</v>
      </c>
      <c r="C3" s="12" t="s">
        <v>74</v>
      </c>
      <c r="D3" s="11">
        <v>4.00885E7</v>
      </c>
      <c r="E3" s="10">
        <v>44853.0</v>
      </c>
      <c r="F3" s="9" t="s">
        <v>69</v>
      </c>
      <c r="G3" s="13">
        <v>1.0</v>
      </c>
      <c r="H3" s="9" t="s">
        <v>70</v>
      </c>
      <c r="I3" s="9" t="s">
        <v>71</v>
      </c>
      <c r="J3" s="9" t="s">
        <v>72</v>
      </c>
      <c r="K3" s="9" t="s">
        <v>73</v>
      </c>
    </row>
    <row r="4">
      <c r="A4" s="10">
        <v>44853.0</v>
      </c>
      <c r="B4" s="11">
        <v>5.563157596E9</v>
      </c>
      <c r="C4" s="12" t="s">
        <v>75</v>
      </c>
      <c r="D4" s="11">
        <v>2.7400609E7</v>
      </c>
      <c r="E4" s="10">
        <v>44854.0</v>
      </c>
      <c r="F4" s="9" t="s">
        <v>76</v>
      </c>
      <c r="G4" s="13">
        <v>4.0</v>
      </c>
      <c r="H4" s="9" t="s">
        <v>70</v>
      </c>
      <c r="I4" s="9" t="s">
        <v>77</v>
      </c>
      <c r="J4" s="9" t="s">
        <v>72</v>
      </c>
      <c r="K4" s="9" t="s">
        <v>73</v>
      </c>
    </row>
    <row r="5">
      <c r="A5" s="10">
        <v>44853.0</v>
      </c>
      <c r="B5" s="11">
        <v>1.467588883E9</v>
      </c>
      <c r="C5" s="12" t="s">
        <v>78</v>
      </c>
      <c r="D5" s="11">
        <v>3.4375852E7</v>
      </c>
      <c r="E5" s="10">
        <v>44855.0</v>
      </c>
      <c r="F5" s="9" t="s">
        <v>76</v>
      </c>
      <c r="G5" s="13">
        <v>2.0</v>
      </c>
      <c r="H5" s="9" t="s">
        <v>70</v>
      </c>
      <c r="I5" s="9" t="s">
        <v>77</v>
      </c>
      <c r="J5" s="9" t="s">
        <v>79</v>
      </c>
      <c r="K5" s="9" t="s">
        <v>73</v>
      </c>
    </row>
    <row r="6">
      <c r="A6" s="10">
        <v>44852.0</v>
      </c>
      <c r="B6" s="11">
        <v>9.030738216E9</v>
      </c>
      <c r="C6" s="12" t="s">
        <v>80</v>
      </c>
      <c r="D6" s="11">
        <v>3.8348226E7</v>
      </c>
      <c r="E6" s="10">
        <v>44858.0</v>
      </c>
      <c r="F6" s="9" t="s">
        <v>69</v>
      </c>
      <c r="G6" s="13">
        <v>1.0</v>
      </c>
      <c r="H6" s="9" t="s">
        <v>81</v>
      </c>
      <c r="I6" s="9" t="s">
        <v>77</v>
      </c>
      <c r="J6" s="9" t="s">
        <v>79</v>
      </c>
      <c r="K6" s="9" t="s">
        <v>73</v>
      </c>
    </row>
    <row r="7">
      <c r="A7" s="10">
        <v>44852.0</v>
      </c>
      <c r="B7" s="11">
        <v>7.839167276E9</v>
      </c>
      <c r="C7" s="12" t="s">
        <v>82</v>
      </c>
      <c r="D7" s="11">
        <v>4.2523387E7</v>
      </c>
      <c r="E7" s="10">
        <v>44858.0</v>
      </c>
      <c r="F7" s="9" t="s">
        <v>69</v>
      </c>
      <c r="G7" s="13">
        <v>3.0</v>
      </c>
      <c r="H7" s="9" t="s">
        <v>81</v>
      </c>
      <c r="I7" s="9" t="s">
        <v>77</v>
      </c>
      <c r="J7" s="9" t="s">
        <v>83</v>
      </c>
      <c r="K7" s="9" t="s">
        <v>84</v>
      </c>
    </row>
    <row r="8">
      <c r="A8" s="10">
        <v>44855.0</v>
      </c>
      <c r="B8" s="11">
        <v>8.249432962E9</v>
      </c>
      <c r="C8" s="12" t="s">
        <v>85</v>
      </c>
      <c r="D8" s="11">
        <v>3.914219E7</v>
      </c>
      <c r="E8" s="10">
        <v>44858.0</v>
      </c>
      <c r="F8" s="9" t="s">
        <v>69</v>
      </c>
      <c r="G8" s="13">
        <v>2.0</v>
      </c>
      <c r="H8" s="9" t="s">
        <v>81</v>
      </c>
      <c r="I8" s="9" t="s">
        <v>77</v>
      </c>
      <c r="J8" s="9" t="s">
        <v>83</v>
      </c>
      <c r="K8" s="9" t="s">
        <v>84</v>
      </c>
    </row>
    <row r="9">
      <c r="A9" s="10">
        <v>44859.0</v>
      </c>
      <c r="B9" s="11">
        <v>4.583243626E9</v>
      </c>
      <c r="C9" s="12" t="s">
        <v>86</v>
      </c>
      <c r="D9" s="11">
        <v>1.0017335E7</v>
      </c>
      <c r="E9" s="10">
        <v>44860.0</v>
      </c>
      <c r="F9" s="9" t="s">
        <v>69</v>
      </c>
      <c r="G9" s="13">
        <v>2.0</v>
      </c>
      <c r="H9" s="9" t="s">
        <v>87</v>
      </c>
      <c r="I9" s="9" t="s">
        <v>88</v>
      </c>
      <c r="J9" s="9" t="s">
        <v>83</v>
      </c>
      <c r="K9" s="9" t="s">
        <v>84</v>
      </c>
    </row>
    <row r="10">
      <c r="A10" s="10">
        <v>44859.0</v>
      </c>
      <c r="B10" s="11">
        <v>5.611820922E9</v>
      </c>
      <c r="C10" s="12" t="s">
        <v>89</v>
      </c>
      <c r="D10" s="11">
        <v>3.7797759E7</v>
      </c>
      <c r="E10" s="10">
        <v>44862.0</v>
      </c>
      <c r="F10" s="9" t="s">
        <v>69</v>
      </c>
      <c r="G10" s="13">
        <v>2.0</v>
      </c>
      <c r="H10" s="9" t="s">
        <v>87</v>
      </c>
      <c r="I10" s="9" t="s">
        <v>88</v>
      </c>
      <c r="J10" s="9" t="s">
        <v>83</v>
      </c>
      <c r="K10" s="9" t="s">
        <v>90</v>
      </c>
    </row>
    <row r="11">
      <c r="A11" s="10">
        <v>44861.0</v>
      </c>
      <c r="B11" s="11">
        <v>6.98713694E9</v>
      </c>
      <c r="C11" s="12" t="s">
        <v>91</v>
      </c>
      <c r="D11" s="11">
        <v>1.1239744E7</v>
      </c>
      <c r="E11" s="10">
        <v>44862.0</v>
      </c>
      <c r="F11" s="9" t="s">
        <v>69</v>
      </c>
      <c r="G11" s="13">
        <v>2.0</v>
      </c>
      <c r="H11" s="9" t="s">
        <v>92</v>
      </c>
      <c r="I11" s="9" t="s">
        <v>88</v>
      </c>
      <c r="J11" s="9" t="s">
        <v>93</v>
      </c>
      <c r="K11" s="9" t="s">
        <v>90</v>
      </c>
    </row>
    <row r="12">
      <c r="A12" s="10">
        <v>44861.0</v>
      </c>
      <c r="B12" s="11">
        <v>3.995222884E9</v>
      </c>
      <c r="C12" s="12" t="s">
        <v>94</v>
      </c>
      <c r="D12" s="11">
        <v>1.347532E7</v>
      </c>
      <c r="E12" s="10">
        <v>44862.0</v>
      </c>
      <c r="F12" s="9" t="s">
        <v>76</v>
      </c>
      <c r="G12" s="13">
        <v>2.0</v>
      </c>
      <c r="H12" s="9" t="s">
        <v>92</v>
      </c>
      <c r="I12" s="9" t="s">
        <v>77</v>
      </c>
      <c r="J12" s="9" t="s">
        <v>93</v>
      </c>
      <c r="K12" s="9" t="s">
        <v>90</v>
      </c>
    </row>
    <row r="13">
      <c r="A13" s="10">
        <v>44862.0</v>
      </c>
      <c r="B13" s="11">
        <v>9.673398696E9</v>
      </c>
      <c r="C13" s="12" t="s">
        <v>95</v>
      </c>
      <c r="D13" s="11">
        <v>1.3607418E7</v>
      </c>
      <c r="E13" s="10">
        <v>44862.0</v>
      </c>
      <c r="F13" s="9" t="s">
        <v>76</v>
      </c>
      <c r="G13" s="13">
        <v>1.0</v>
      </c>
      <c r="H13" s="9" t="s">
        <v>92</v>
      </c>
      <c r="I13" s="9" t="s">
        <v>77</v>
      </c>
      <c r="J13" s="9" t="s">
        <v>93</v>
      </c>
      <c r="K13" s="9" t="s">
        <v>90</v>
      </c>
    </row>
    <row r="14">
      <c r="A14" s="10">
        <v>44862.0</v>
      </c>
      <c r="B14" s="11">
        <v>2.824734931E9</v>
      </c>
      <c r="C14" s="12" t="s">
        <v>96</v>
      </c>
      <c r="D14" s="11">
        <v>4.4580929E7</v>
      </c>
      <c r="E14" s="10">
        <v>44865.0</v>
      </c>
      <c r="F14" s="9" t="s">
        <v>76</v>
      </c>
      <c r="G14" s="13">
        <v>5.0</v>
      </c>
      <c r="H14" s="9" t="s">
        <v>92</v>
      </c>
      <c r="I14" s="9" t="s">
        <v>77</v>
      </c>
      <c r="J14" s="9" t="s">
        <v>93</v>
      </c>
      <c r="K14" s="9" t="s">
        <v>90</v>
      </c>
    </row>
    <row r="15">
      <c r="A15" s="10">
        <v>44865.0</v>
      </c>
      <c r="B15" s="11">
        <v>9.895775956E9</v>
      </c>
      <c r="C15" s="12" t="s">
        <v>97</v>
      </c>
      <c r="D15" s="11">
        <v>1.737776E7</v>
      </c>
      <c r="E15" s="10">
        <v>44865.0</v>
      </c>
      <c r="F15" s="9" t="s">
        <v>69</v>
      </c>
      <c r="G15" s="13">
        <v>5.0</v>
      </c>
      <c r="H15" s="9" t="s">
        <v>92</v>
      </c>
      <c r="I15" s="9" t="s">
        <v>77</v>
      </c>
      <c r="J15" s="9" t="s">
        <v>98</v>
      </c>
      <c r="K15" s="9" t="s">
        <v>99</v>
      </c>
    </row>
    <row r="16">
      <c r="A16" s="10">
        <v>44862.0</v>
      </c>
      <c r="B16" s="11">
        <v>3.586447233E9</v>
      </c>
      <c r="C16" s="12" t="s">
        <v>100</v>
      </c>
      <c r="D16" s="11">
        <v>4.2525454E7</v>
      </c>
      <c r="E16" s="10">
        <v>44867.0</v>
      </c>
      <c r="F16" s="9" t="s">
        <v>69</v>
      </c>
      <c r="G16" s="13">
        <v>1.0</v>
      </c>
      <c r="H16" s="9" t="s">
        <v>92</v>
      </c>
      <c r="I16" s="9" t="s">
        <v>77</v>
      </c>
      <c r="J16" s="9" t="s">
        <v>98</v>
      </c>
      <c r="K16" s="9" t="s">
        <v>99</v>
      </c>
    </row>
    <row r="17">
      <c r="A17" s="10">
        <v>44865.0</v>
      </c>
      <c r="B17" s="11">
        <v>2.583345015E9</v>
      </c>
      <c r="C17" s="12" t="s">
        <v>101</v>
      </c>
      <c r="D17" s="11">
        <v>3.7457357E7</v>
      </c>
      <c r="E17" s="10">
        <v>44867.0</v>
      </c>
      <c r="F17" s="9" t="s">
        <v>69</v>
      </c>
      <c r="G17" s="13">
        <v>4.0</v>
      </c>
      <c r="H17" s="9" t="s">
        <v>92</v>
      </c>
      <c r="I17" s="9" t="s">
        <v>77</v>
      </c>
      <c r="J17" s="9" t="s">
        <v>98</v>
      </c>
      <c r="K17" s="9" t="s">
        <v>99</v>
      </c>
    </row>
    <row r="18">
      <c r="A18" s="10">
        <v>44859.0</v>
      </c>
      <c r="B18" s="11">
        <v>3.735635514E9</v>
      </c>
      <c r="C18" s="12" t="s">
        <v>102</v>
      </c>
      <c r="D18" s="11">
        <v>2.9865699E7</v>
      </c>
      <c r="E18" s="10">
        <v>44868.0</v>
      </c>
      <c r="F18" s="9" t="s">
        <v>69</v>
      </c>
      <c r="G18" s="13">
        <v>3.0</v>
      </c>
      <c r="H18" s="9" t="s">
        <v>92</v>
      </c>
      <c r="I18" s="9" t="s">
        <v>77</v>
      </c>
      <c r="J18" s="9" t="s">
        <v>98</v>
      </c>
      <c r="K18" s="9" t="s">
        <v>103</v>
      </c>
    </row>
    <row r="19">
      <c r="A19" s="10">
        <v>44862.0</v>
      </c>
      <c r="B19" s="11">
        <v>2.824753584E9</v>
      </c>
      <c r="C19" s="12" t="s">
        <v>102</v>
      </c>
      <c r="D19" s="11">
        <v>2.9865699E7</v>
      </c>
      <c r="E19" s="10">
        <v>44868.0</v>
      </c>
      <c r="F19" s="9" t="s">
        <v>69</v>
      </c>
      <c r="G19" s="13">
        <v>1.0</v>
      </c>
      <c r="H19" s="9" t="s">
        <v>92</v>
      </c>
      <c r="I19" s="9" t="s">
        <v>77</v>
      </c>
      <c r="J19" s="9" t="s">
        <v>98</v>
      </c>
      <c r="K19" s="9" t="s">
        <v>103</v>
      </c>
    </row>
    <row r="20">
      <c r="A20" s="10">
        <v>44872.0</v>
      </c>
      <c r="B20" s="11">
        <v>6.328497383E9</v>
      </c>
      <c r="C20" s="12" t="s">
        <v>104</v>
      </c>
      <c r="D20" s="11">
        <v>3.7957969E7</v>
      </c>
      <c r="E20" s="10">
        <v>44872.0</v>
      </c>
      <c r="F20" s="9" t="s">
        <v>69</v>
      </c>
      <c r="G20" s="13">
        <v>2.0</v>
      </c>
      <c r="H20" s="9" t="s">
        <v>92</v>
      </c>
      <c r="I20" s="9" t="s">
        <v>77</v>
      </c>
      <c r="J20" s="9" t="s">
        <v>98</v>
      </c>
      <c r="K20" s="9" t="s">
        <v>103</v>
      </c>
    </row>
    <row r="21" ht="15.75" customHeight="1">
      <c r="A21" s="10">
        <v>44865.0</v>
      </c>
      <c r="B21" s="11">
        <v>2.583533864E9</v>
      </c>
      <c r="C21" s="12" t="s">
        <v>105</v>
      </c>
      <c r="D21" s="11">
        <v>3.0759172E7</v>
      </c>
      <c r="E21" s="10">
        <v>44873.0</v>
      </c>
      <c r="F21" s="9" t="s">
        <v>69</v>
      </c>
      <c r="G21" s="13">
        <v>2.0</v>
      </c>
      <c r="H21" s="9" t="s">
        <v>106</v>
      </c>
      <c r="I21" s="9" t="s">
        <v>77</v>
      </c>
      <c r="J21" s="9" t="s">
        <v>98</v>
      </c>
      <c r="K21" s="9" t="s">
        <v>107</v>
      </c>
    </row>
    <row r="22" ht="15.75" customHeight="1">
      <c r="A22" s="10">
        <v>44869.0</v>
      </c>
      <c r="B22" s="11">
        <v>9.35098143E9</v>
      </c>
      <c r="C22" s="12" t="s">
        <v>108</v>
      </c>
      <c r="D22" s="11">
        <v>1.327965E7</v>
      </c>
      <c r="E22" s="10">
        <v>44873.0</v>
      </c>
      <c r="F22" s="9" t="s">
        <v>69</v>
      </c>
      <c r="G22" s="13">
        <v>2.0</v>
      </c>
      <c r="H22" s="9" t="s">
        <v>106</v>
      </c>
      <c r="I22" s="9" t="s">
        <v>71</v>
      </c>
      <c r="J22" s="9" t="s">
        <v>72</v>
      </c>
      <c r="K22" s="9" t="s">
        <v>107</v>
      </c>
    </row>
    <row r="23" ht="15.75" customHeight="1">
      <c r="A23" s="10">
        <v>44872.0</v>
      </c>
      <c r="B23" s="11">
        <v>8.52191172E9</v>
      </c>
      <c r="C23" s="12" t="s">
        <v>109</v>
      </c>
      <c r="D23" s="11">
        <v>4.1817341E7</v>
      </c>
      <c r="E23" s="10">
        <v>44875.0</v>
      </c>
      <c r="F23" s="9" t="s">
        <v>76</v>
      </c>
      <c r="G23" s="13">
        <v>1.0</v>
      </c>
      <c r="H23" s="9" t="s">
        <v>106</v>
      </c>
      <c r="I23" s="9" t="s">
        <v>71</v>
      </c>
      <c r="J23" s="9" t="s">
        <v>72</v>
      </c>
      <c r="K23" s="9" t="s">
        <v>73</v>
      </c>
    </row>
    <row r="24" ht="15.75" customHeight="1">
      <c r="A24" s="10">
        <v>44873.0</v>
      </c>
      <c r="B24" s="11">
        <v>3.383448714E9</v>
      </c>
      <c r="C24" s="12" t="s">
        <v>110</v>
      </c>
      <c r="D24" s="11">
        <v>2.2877703E7</v>
      </c>
      <c r="E24" s="10">
        <v>44875.0</v>
      </c>
      <c r="F24" s="9" t="s">
        <v>76</v>
      </c>
      <c r="G24" s="13">
        <v>5.0</v>
      </c>
      <c r="H24" s="9" t="s">
        <v>106</v>
      </c>
      <c r="I24" s="9" t="s">
        <v>71</v>
      </c>
      <c r="J24" s="9" t="s">
        <v>72</v>
      </c>
      <c r="K24" s="9" t="s">
        <v>73</v>
      </c>
    </row>
    <row r="25" ht="15.75" customHeight="1">
      <c r="A25" s="10">
        <v>44874.0</v>
      </c>
      <c r="B25" s="11">
        <v>7.715769412E9</v>
      </c>
      <c r="C25" s="12" t="s">
        <v>111</v>
      </c>
      <c r="D25" s="11">
        <v>2.0433224E7</v>
      </c>
      <c r="E25" s="10">
        <v>44875.0</v>
      </c>
      <c r="F25" s="9" t="s">
        <v>69</v>
      </c>
      <c r="G25" s="13">
        <v>7.0</v>
      </c>
      <c r="H25" s="9" t="s">
        <v>112</v>
      </c>
      <c r="I25" s="9" t="s">
        <v>71</v>
      </c>
      <c r="J25" s="9" t="s">
        <v>72</v>
      </c>
      <c r="K25" s="9" t="s">
        <v>73</v>
      </c>
    </row>
    <row r="26" ht="15.75" customHeight="1">
      <c r="A26" s="10">
        <v>44874.0</v>
      </c>
      <c r="B26" s="11">
        <v>1.513424872E9</v>
      </c>
      <c r="C26" s="12" t="s">
        <v>113</v>
      </c>
      <c r="D26" s="11">
        <v>4.1184687E7</v>
      </c>
      <c r="E26" s="10">
        <v>44875.0</v>
      </c>
      <c r="F26" s="9" t="s">
        <v>69</v>
      </c>
      <c r="G26" s="13">
        <v>1.0</v>
      </c>
      <c r="H26" s="9" t="s">
        <v>112</v>
      </c>
      <c r="I26" s="9" t="s">
        <v>71</v>
      </c>
      <c r="J26" s="9" t="s">
        <v>72</v>
      </c>
      <c r="K26" s="9" t="s">
        <v>73</v>
      </c>
    </row>
    <row r="27" ht="15.75" customHeight="1">
      <c r="A27" s="10">
        <v>44872.0</v>
      </c>
      <c r="B27" s="11">
        <v>7.976295364E9</v>
      </c>
      <c r="C27" s="12" t="s">
        <v>114</v>
      </c>
      <c r="D27" s="11">
        <v>4.4186873E7</v>
      </c>
      <c r="E27" s="10">
        <v>44876.0</v>
      </c>
      <c r="F27" s="9" t="s">
        <v>76</v>
      </c>
      <c r="G27" s="13">
        <v>1.0</v>
      </c>
      <c r="H27" s="9" t="s">
        <v>112</v>
      </c>
      <c r="I27" s="9" t="s">
        <v>71</v>
      </c>
      <c r="J27" s="9" t="s">
        <v>79</v>
      </c>
      <c r="K27" s="9" t="s">
        <v>73</v>
      </c>
    </row>
    <row r="28" ht="15.75" customHeight="1">
      <c r="A28" s="10">
        <v>44874.0</v>
      </c>
      <c r="B28" s="11">
        <v>6.293532814E9</v>
      </c>
      <c r="C28" s="12" t="s">
        <v>115</v>
      </c>
      <c r="D28" s="11">
        <v>3.6853886E7</v>
      </c>
      <c r="E28" s="10">
        <v>44876.0</v>
      </c>
      <c r="F28" s="9" t="s">
        <v>76</v>
      </c>
      <c r="G28" s="13">
        <v>1.0</v>
      </c>
      <c r="H28" s="9" t="s">
        <v>116</v>
      </c>
      <c r="I28" s="9" t="s">
        <v>71</v>
      </c>
      <c r="J28" s="9" t="s">
        <v>79</v>
      </c>
      <c r="K28" s="9" t="s">
        <v>73</v>
      </c>
    </row>
    <row r="29" ht="15.75" customHeight="1">
      <c r="A29" s="10">
        <v>44876.0</v>
      </c>
      <c r="B29" s="11">
        <v>7.765889423E9</v>
      </c>
      <c r="C29" s="12" t="s">
        <v>117</v>
      </c>
      <c r="D29" s="11">
        <v>3.6420699E7</v>
      </c>
      <c r="E29" s="10">
        <v>44876.0</v>
      </c>
      <c r="F29" s="9" t="s">
        <v>76</v>
      </c>
      <c r="G29" s="13">
        <v>5.0</v>
      </c>
      <c r="H29" s="9" t="s">
        <v>116</v>
      </c>
      <c r="I29" s="9" t="s">
        <v>71</v>
      </c>
      <c r="J29" s="9" t="s">
        <v>79</v>
      </c>
      <c r="K29" s="9" t="s">
        <v>73</v>
      </c>
    </row>
    <row r="30" ht="15.75" customHeight="1">
      <c r="A30" s="10">
        <v>44876.0</v>
      </c>
      <c r="B30" s="11">
        <v>6.223801625E9</v>
      </c>
      <c r="C30" s="12" t="s">
        <v>118</v>
      </c>
      <c r="D30" s="11">
        <v>9.6164611E7</v>
      </c>
      <c r="E30" s="10">
        <v>44876.0</v>
      </c>
      <c r="F30" s="9" t="s">
        <v>69</v>
      </c>
      <c r="G30" s="13">
        <v>1.0</v>
      </c>
      <c r="H30" s="9" t="s">
        <v>116</v>
      </c>
      <c r="I30" s="9" t="s">
        <v>71</v>
      </c>
      <c r="J30" s="9" t="s">
        <v>79</v>
      </c>
      <c r="K30" s="9" t="s">
        <v>73</v>
      </c>
    </row>
    <row r="31" ht="15.75" customHeight="1">
      <c r="A31" s="10">
        <v>44876.0</v>
      </c>
      <c r="B31" s="11">
        <v>5.621307123E9</v>
      </c>
      <c r="C31" s="12" t="s">
        <v>119</v>
      </c>
      <c r="D31" s="11">
        <v>3.3165611E7</v>
      </c>
      <c r="E31" s="10">
        <v>44879.0</v>
      </c>
      <c r="F31" s="9" t="s">
        <v>69</v>
      </c>
      <c r="G31" s="13">
        <v>1.0</v>
      </c>
      <c r="H31" s="9" t="s">
        <v>116</v>
      </c>
      <c r="I31" s="9" t="s">
        <v>71</v>
      </c>
      <c r="J31" s="9" t="s">
        <v>79</v>
      </c>
      <c r="K31" s="9" t="s">
        <v>73</v>
      </c>
    </row>
    <row r="32" ht="15.75" customHeight="1">
      <c r="A32" s="10">
        <v>44879.0</v>
      </c>
      <c r="B32" s="11">
        <v>2.732514676E9</v>
      </c>
      <c r="C32" s="12" t="s">
        <v>120</v>
      </c>
      <c r="D32" s="11">
        <v>3.4807781E7</v>
      </c>
      <c r="E32" s="10">
        <v>44879.0</v>
      </c>
      <c r="F32" s="9" t="s">
        <v>69</v>
      </c>
      <c r="G32" s="13">
        <v>3.0</v>
      </c>
      <c r="H32" s="9" t="s">
        <v>116</v>
      </c>
      <c r="I32" s="9" t="s">
        <v>71</v>
      </c>
      <c r="J32" s="9" t="s">
        <v>79</v>
      </c>
      <c r="K32" s="9" t="s">
        <v>107</v>
      </c>
    </row>
    <row r="33" ht="15.75" customHeight="1">
      <c r="A33" s="10">
        <v>44869.0</v>
      </c>
      <c r="B33" s="11">
        <v>4.971198035E9</v>
      </c>
      <c r="C33" s="12" t="s">
        <v>121</v>
      </c>
      <c r="D33" s="11">
        <v>2.0284943E7</v>
      </c>
      <c r="E33" s="10">
        <v>44880.0</v>
      </c>
      <c r="F33" s="9" t="s">
        <v>69</v>
      </c>
      <c r="G33" s="13">
        <v>1.0</v>
      </c>
      <c r="H33" s="9" t="s">
        <v>116</v>
      </c>
      <c r="I33" s="9" t="s">
        <v>71</v>
      </c>
      <c r="J33" s="9" t="s">
        <v>79</v>
      </c>
      <c r="K33" s="9" t="s">
        <v>107</v>
      </c>
    </row>
    <row r="34" ht="15.75" customHeight="1">
      <c r="A34" s="10">
        <v>44872.0</v>
      </c>
      <c r="B34" s="11">
        <v>8.297366582E9</v>
      </c>
      <c r="C34" s="12" t="s">
        <v>121</v>
      </c>
      <c r="D34" s="11">
        <v>2.0284943E7</v>
      </c>
      <c r="E34" s="10">
        <v>44880.0</v>
      </c>
      <c r="F34" s="9" t="s">
        <v>69</v>
      </c>
      <c r="G34" s="13">
        <v>1.0</v>
      </c>
      <c r="H34" s="9" t="s">
        <v>116</v>
      </c>
      <c r="I34" s="9" t="s">
        <v>71</v>
      </c>
      <c r="J34" s="9" t="s">
        <v>79</v>
      </c>
      <c r="K34" s="9" t="s">
        <v>107</v>
      </c>
    </row>
    <row r="35" ht="15.75" customHeight="1">
      <c r="A35" s="10">
        <v>44872.0</v>
      </c>
      <c r="B35" s="11">
        <v>7.424480486E9</v>
      </c>
      <c r="C35" s="12" t="s">
        <v>121</v>
      </c>
      <c r="D35" s="11">
        <v>2.0284943E7</v>
      </c>
      <c r="E35" s="10">
        <v>44880.0</v>
      </c>
      <c r="F35" s="9" t="s">
        <v>76</v>
      </c>
      <c r="G35" s="13">
        <v>1.0</v>
      </c>
      <c r="H35" s="9" t="s">
        <v>116</v>
      </c>
      <c r="I35" s="9" t="s">
        <v>71</v>
      </c>
      <c r="J35" s="9" t="s">
        <v>79</v>
      </c>
      <c r="K35" s="9" t="s">
        <v>99</v>
      </c>
    </row>
    <row r="36" ht="15.75" customHeight="1">
      <c r="A36" s="10">
        <v>44873.0</v>
      </c>
      <c r="B36" s="11">
        <v>7.416223625E9</v>
      </c>
      <c r="C36" s="12" t="s">
        <v>122</v>
      </c>
      <c r="D36" s="11">
        <v>4.1649848E7</v>
      </c>
      <c r="E36" s="10">
        <v>44880.0</v>
      </c>
      <c r="F36" s="9" t="s">
        <v>76</v>
      </c>
      <c r="G36" s="13">
        <v>2.0</v>
      </c>
      <c r="H36" s="9" t="s">
        <v>116</v>
      </c>
      <c r="I36" s="9" t="s">
        <v>71</v>
      </c>
      <c r="J36" s="9" t="s">
        <v>79</v>
      </c>
      <c r="K36" s="9" t="s">
        <v>99</v>
      </c>
    </row>
    <row r="37" ht="15.75" customHeight="1">
      <c r="A37" s="10">
        <v>44879.0</v>
      </c>
      <c r="B37" s="11">
        <v>2.773726491E9</v>
      </c>
      <c r="C37" s="12" t="s">
        <v>123</v>
      </c>
      <c r="D37" s="11">
        <v>4.3648131E7</v>
      </c>
      <c r="E37" s="10">
        <v>44880.0</v>
      </c>
      <c r="F37" s="9" t="s">
        <v>76</v>
      </c>
      <c r="G37" s="13">
        <v>3.0</v>
      </c>
      <c r="H37" s="9" t="s">
        <v>116</v>
      </c>
      <c r="I37" s="9" t="s">
        <v>71</v>
      </c>
      <c r="J37" s="9" t="s">
        <v>79</v>
      </c>
      <c r="K37" s="9" t="s">
        <v>99</v>
      </c>
    </row>
    <row r="38" ht="15.75" customHeight="1">
      <c r="A38" s="10">
        <v>44865.0</v>
      </c>
      <c r="B38" s="11">
        <v>3.378537842E9</v>
      </c>
      <c r="C38" s="12" t="s">
        <v>124</v>
      </c>
      <c r="D38" s="11">
        <v>4.0953281E7</v>
      </c>
      <c r="E38" s="10">
        <v>44882.0</v>
      </c>
      <c r="F38" s="9" t="s">
        <v>76</v>
      </c>
      <c r="G38" s="13">
        <v>1.0</v>
      </c>
      <c r="H38" s="9" t="s">
        <v>116</v>
      </c>
      <c r="I38" s="9" t="s">
        <v>71</v>
      </c>
      <c r="J38" s="9" t="s">
        <v>98</v>
      </c>
      <c r="K38" s="9" t="s">
        <v>90</v>
      </c>
    </row>
    <row r="39" ht="15.75" customHeight="1">
      <c r="A39" s="10">
        <v>44879.0</v>
      </c>
      <c r="B39" s="11">
        <v>2.943298772E9</v>
      </c>
      <c r="C39" s="12" t="s">
        <v>125</v>
      </c>
      <c r="D39" s="11">
        <v>4.4814042E7</v>
      </c>
      <c r="E39" s="10">
        <v>44882.0</v>
      </c>
      <c r="F39" s="9" t="s">
        <v>69</v>
      </c>
      <c r="G39" s="13">
        <v>4.0</v>
      </c>
      <c r="H39" s="9" t="s">
        <v>116</v>
      </c>
      <c r="I39" s="9" t="s">
        <v>88</v>
      </c>
      <c r="J39" s="9" t="s">
        <v>98</v>
      </c>
      <c r="K39" s="9" t="s">
        <v>90</v>
      </c>
    </row>
    <row r="40" ht="15.75" customHeight="1">
      <c r="A40" s="10">
        <v>44879.0</v>
      </c>
      <c r="B40" s="11">
        <v>7.718622995E9</v>
      </c>
      <c r="C40" s="12" t="s">
        <v>126</v>
      </c>
      <c r="D40" s="11">
        <v>4.3431505E7</v>
      </c>
      <c r="E40" s="10">
        <v>44882.0</v>
      </c>
      <c r="F40" s="9" t="s">
        <v>69</v>
      </c>
      <c r="G40" s="13">
        <v>3.0</v>
      </c>
      <c r="H40" s="9" t="s">
        <v>116</v>
      </c>
      <c r="I40" s="9" t="s">
        <v>88</v>
      </c>
      <c r="J40" s="9" t="s">
        <v>98</v>
      </c>
      <c r="K40" s="9" t="s">
        <v>90</v>
      </c>
    </row>
    <row r="41" ht="15.75" customHeight="1">
      <c r="A41" s="10">
        <v>44874.0</v>
      </c>
      <c r="B41" s="11">
        <v>1.513374096E9</v>
      </c>
      <c r="C41" s="12" t="s">
        <v>127</v>
      </c>
      <c r="D41" s="11">
        <v>4.1983841E7</v>
      </c>
      <c r="E41" s="10">
        <v>44883.0</v>
      </c>
      <c r="F41" s="9" t="s">
        <v>69</v>
      </c>
      <c r="G41" s="13">
        <v>2.0</v>
      </c>
      <c r="H41" s="9" t="s">
        <v>116</v>
      </c>
      <c r="I41" s="9" t="s">
        <v>88</v>
      </c>
      <c r="J41" s="9" t="s">
        <v>98</v>
      </c>
      <c r="K41" s="9" t="s">
        <v>90</v>
      </c>
    </row>
    <row r="42" ht="15.75" customHeight="1">
      <c r="A42" s="10">
        <v>44866.0</v>
      </c>
      <c r="B42" s="11">
        <v>8.930817582E9</v>
      </c>
      <c r="C42" s="12" t="s">
        <v>128</v>
      </c>
      <c r="D42" s="11">
        <v>3.397175E7</v>
      </c>
      <c r="E42" s="10">
        <v>44887.0</v>
      </c>
      <c r="F42" s="9" t="s">
        <v>69</v>
      </c>
      <c r="G42" s="13">
        <v>2.0</v>
      </c>
      <c r="H42" s="9" t="s">
        <v>116</v>
      </c>
      <c r="I42" s="9" t="s">
        <v>88</v>
      </c>
      <c r="J42" s="9" t="s">
        <v>98</v>
      </c>
      <c r="K42" s="9" t="s">
        <v>90</v>
      </c>
    </row>
    <row r="43" ht="15.75" customHeight="1">
      <c r="A43" s="10">
        <v>44883.0</v>
      </c>
      <c r="B43" s="11">
        <v>2.16849171E9</v>
      </c>
      <c r="C43" s="12" t="s">
        <v>129</v>
      </c>
      <c r="D43" s="11">
        <v>2.425275E7</v>
      </c>
      <c r="E43" s="10">
        <v>44887.0</v>
      </c>
      <c r="F43" s="9" t="s">
        <v>69</v>
      </c>
      <c r="G43" s="13">
        <v>2.0</v>
      </c>
      <c r="H43" s="9" t="s">
        <v>92</v>
      </c>
      <c r="I43" s="9" t="s">
        <v>71</v>
      </c>
      <c r="J43" s="9" t="s">
        <v>98</v>
      </c>
      <c r="K43" s="9" t="s">
        <v>84</v>
      </c>
    </row>
    <row r="44" ht="15.75" customHeight="1">
      <c r="A44" s="10">
        <v>44883.0</v>
      </c>
      <c r="B44" s="11">
        <v>8.96352163E9</v>
      </c>
      <c r="C44" s="12" t="s">
        <v>130</v>
      </c>
      <c r="D44" s="11">
        <v>4.1650004E7</v>
      </c>
      <c r="E44" s="10">
        <v>44887.0</v>
      </c>
      <c r="F44" s="9" t="s">
        <v>69</v>
      </c>
      <c r="G44" s="13">
        <v>2.0</v>
      </c>
      <c r="H44" s="9" t="s">
        <v>92</v>
      </c>
      <c r="I44" s="9" t="s">
        <v>71</v>
      </c>
      <c r="J44" s="9" t="s">
        <v>98</v>
      </c>
      <c r="K44" s="9" t="s">
        <v>84</v>
      </c>
    </row>
    <row r="45" ht="15.75" customHeight="1">
      <c r="A45" s="10">
        <v>44883.0</v>
      </c>
      <c r="B45" s="11">
        <v>7.579272433E9</v>
      </c>
      <c r="C45" s="12" t="s">
        <v>131</v>
      </c>
      <c r="D45" s="11">
        <v>4.2698524E7</v>
      </c>
      <c r="E45" s="10">
        <v>44887.0</v>
      </c>
      <c r="F45" s="9" t="s">
        <v>69</v>
      </c>
      <c r="G45" s="13">
        <v>3.0</v>
      </c>
      <c r="H45" s="9" t="s">
        <v>92</v>
      </c>
      <c r="I45" s="9" t="s">
        <v>71</v>
      </c>
      <c r="J45" s="9" t="s">
        <v>79</v>
      </c>
      <c r="K45" s="9" t="s">
        <v>84</v>
      </c>
    </row>
    <row r="46" ht="15.75" customHeight="1">
      <c r="A46" s="10">
        <v>44883.0</v>
      </c>
      <c r="B46" s="11">
        <v>3.275114695E9</v>
      </c>
      <c r="C46" s="12" t="s">
        <v>132</v>
      </c>
      <c r="D46" s="11">
        <v>4.3001956E7</v>
      </c>
      <c r="E46" s="10">
        <v>44887.0</v>
      </c>
      <c r="F46" s="9" t="s">
        <v>69</v>
      </c>
      <c r="G46" s="13">
        <v>4.0</v>
      </c>
      <c r="H46" s="9" t="s">
        <v>92</v>
      </c>
      <c r="I46" s="9" t="s">
        <v>71</v>
      </c>
      <c r="J46" s="9" t="s">
        <v>79</v>
      </c>
      <c r="K46" s="9" t="s">
        <v>73</v>
      </c>
    </row>
    <row r="47" ht="15.75" customHeight="1">
      <c r="A47" s="10">
        <v>44879.0</v>
      </c>
      <c r="B47" s="11">
        <v>5.538817465E9</v>
      </c>
      <c r="C47" s="12" t="s">
        <v>133</v>
      </c>
      <c r="D47" s="11">
        <v>4.3652012E7</v>
      </c>
      <c r="E47" s="10">
        <v>44888.0</v>
      </c>
      <c r="F47" s="9" t="s">
        <v>69</v>
      </c>
      <c r="G47" s="13">
        <v>2.0</v>
      </c>
      <c r="H47" s="9" t="s">
        <v>81</v>
      </c>
      <c r="I47" s="9" t="s">
        <v>71</v>
      </c>
      <c r="J47" s="9" t="s">
        <v>79</v>
      </c>
      <c r="K47" s="9" t="s">
        <v>73</v>
      </c>
    </row>
    <row r="48" ht="15.75" customHeight="1">
      <c r="A48" s="10">
        <v>44887.0</v>
      </c>
      <c r="B48" s="11">
        <v>5.015195511E9</v>
      </c>
      <c r="C48" s="12" t="s">
        <v>134</v>
      </c>
      <c r="D48" s="11">
        <v>4.3648617E7</v>
      </c>
      <c r="E48" s="10">
        <v>44888.0</v>
      </c>
      <c r="F48" s="9" t="s">
        <v>69</v>
      </c>
      <c r="G48" s="13">
        <v>3.0</v>
      </c>
      <c r="H48" s="9" t="s">
        <v>81</v>
      </c>
      <c r="I48" s="9" t="s">
        <v>71</v>
      </c>
      <c r="J48" s="9" t="s">
        <v>79</v>
      </c>
      <c r="K48" s="9" t="s">
        <v>73</v>
      </c>
    </row>
    <row r="49" ht="15.75" customHeight="1">
      <c r="A49" s="10">
        <v>44888.0</v>
      </c>
      <c r="B49" s="11">
        <v>4.033407254E9</v>
      </c>
      <c r="C49" s="12" t="s">
        <v>135</v>
      </c>
      <c r="D49" s="11">
        <v>4.2501671E7</v>
      </c>
      <c r="E49" s="10">
        <v>44888.0</v>
      </c>
      <c r="F49" s="9" t="s">
        <v>69</v>
      </c>
      <c r="G49" s="13">
        <v>3.0</v>
      </c>
      <c r="H49" s="9" t="s">
        <v>116</v>
      </c>
      <c r="I49" s="9" t="s">
        <v>71</v>
      </c>
      <c r="J49" s="9" t="s">
        <v>79</v>
      </c>
      <c r="K49" s="9" t="s">
        <v>73</v>
      </c>
    </row>
    <row r="50" ht="15.75" customHeight="1">
      <c r="A50" s="10">
        <v>44874.0</v>
      </c>
      <c r="B50" s="11">
        <v>7.715746824E9</v>
      </c>
      <c r="C50" s="12" t="s">
        <v>136</v>
      </c>
      <c r="D50" s="11">
        <v>1.8523359E7</v>
      </c>
      <c r="E50" s="10">
        <v>44889.0</v>
      </c>
      <c r="F50" s="9" t="s">
        <v>69</v>
      </c>
      <c r="G50" s="13">
        <v>2.0</v>
      </c>
      <c r="H50" s="9" t="s">
        <v>116</v>
      </c>
      <c r="I50" s="9" t="s">
        <v>71</v>
      </c>
      <c r="J50" s="9" t="s">
        <v>79</v>
      </c>
      <c r="K50" s="9" t="s">
        <v>73</v>
      </c>
    </row>
    <row r="51" ht="15.75" customHeight="1">
      <c r="A51" s="10">
        <v>44888.0</v>
      </c>
      <c r="B51" s="11">
        <v>1.56975406E9</v>
      </c>
      <c r="C51" s="12" t="s">
        <v>137</v>
      </c>
      <c r="D51" s="11">
        <v>3.8350203E7</v>
      </c>
      <c r="E51" s="10">
        <v>44889.0</v>
      </c>
      <c r="F51" s="9" t="s">
        <v>69</v>
      </c>
      <c r="G51" s="13">
        <v>2.0</v>
      </c>
      <c r="H51" s="9" t="s">
        <v>116</v>
      </c>
      <c r="I51" s="9" t="s">
        <v>88</v>
      </c>
      <c r="J51" s="9" t="s">
        <v>72</v>
      </c>
      <c r="K51" s="9" t="s">
        <v>73</v>
      </c>
    </row>
    <row r="52" ht="15.75" customHeight="1">
      <c r="A52" s="10">
        <v>44887.0</v>
      </c>
      <c r="B52" s="11">
        <v>7.181106214E9</v>
      </c>
      <c r="C52" s="12" t="s">
        <v>138</v>
      </c>
      <c r="D52" s="11">
        <v>4.2350889E7</v>
      </c>
      <c r="E52" s="10">
        <v>44890.0</v>
      </c>
      <c r="F52" s="9" t="s">
        <v>76</v>
      </c>
      <c r="G52" s="13">
        <v>5.0</v>
      </c>
      <c r="H52" s="9" t="s">
        <v>116</v>
      </c>
      <c r="I52" s="9" t="s">
        <v>88</v>
      </c>
      <c r="J52" s="9" t="s">
        <v>72</v>
      </c>
      <c r="K52" s="9" t="s">
        <v>73</v>
      </c>
    </row>
    <row r="53" ht="15.75" customHeight="1">
      <c r="A53" s="10">
        <v>44889.0</v>
      </c>
      <c r="B53" s="11">
        <v>7.718303611E9</v>
      </c>
      <c r="C53" s="12" t="s">
        <v>139</v>
      </c>
      <c r="D53" s="11">
        <v>4.1015407E7</v>
      </c>
      <c r="E53" s="10">
        <v>44890.0</v>
      </c>
      <c r="F53" s="9" t="s">
        <v>76</v>
      </c>
      <c r="G53" s="13">
        <v>2.0</v>
      </c>
      <c r="H53" s="9" t="s">
        <v>116</v>
      </c>
      <c r="I53" s="9" t="s">
        <v>88</v>
      </c>
      <c r="J53" s="9" t="s">
        <v>72</v>
      </c>
      <c r="K53" s="9" t="s">
        <v>73</v>
      </c>
    </row>
    <row r="54" ht="15.75" customHeight="1">
      <c r="A54" s="10">
        <v>44889.0</v>
      </c>
      <c r="B54" s="11">
        <v>2.568288262E9</v>
      </c>
      <c r="C54" s="12" t="s">
        <v>140</v>
      </c>
      <c r="D54" s="11">
        <v>3.8744669E7</v>
      </c>
      <c r="E54" s="10">
        <v>44890.0</v>
      </c>
      <c r="F54" s="9" t="s">
        <v>76</v>
      </c>
      <c r="G54" s="13">
        <v>2.0</v>
      </c>
      <c r="H54" s="9" t="s">
        <v>106</v>
      </c>
      <c r="I54" s="9" t="s">
        <v>88</v>
      </c>
      <c r="J54" s="9" t="s">
        <v>72</v>
      </c>
      <c r="K54" s="9" t="s">
        <v>73</v>
      </c>
    </row>
    <row r="55" ht="15.75" customHeight="1">
      <c r="A55" s="10">
        <v>44893.0</v>
      </c>
      <c r="B55" s="11">
        <v>2.996927113E9</v>
      </c>
      <c r="C55" s="12" t="s">
        <v>141</v>
      </c>
      <c r="D55" s="11">
        <v>4.3651926E7</v>
      </c>
      <c r="E55" s="10">
        <v>44893.0</v>
      </c>
      <c r="F55" s="9" t="s">
        <v>76</v>
      </c>
      <c r="G55" s="13">
        <v>1.0</v>
      </c>
      <c r="H55" s="9" t="s">
        <v>106</v>
      </c>
      <c r="I55" s="9" t="s">
        <v>88</v>
      </c>
      <c r="J55" s="9" t="s">
        <v>72</v>
      </c>
      <c r="K55" s="9" t="s">
        <v>73</v>
      </c>
    </row>
    <row r="56" ht="15.75" customHeight="1">
      <c r="A56" s="10">
        <v>44888.0</v>
      </c>
      <c r="B56" s="11">
        <v>4.032978865E9</v>
      </c>
      <c r="C56" s="12" t="s">
        <v>142</v>
      </c>
      <c r="D56" s="11">
        <v>4.2445259E7</v>
      </c>
      <c r="E56" s="10">
        <v>44894.0</v>
      </c>
      <c r="F56" s="9" t="s">
        <v>76</v>
      </c>
      <c r="G56" s="13">
        <v>1.0</v>
      </c>
      <c r="H56" s="9" t="s">
        <v>106</v>
      </c>
      <c r="I56" s="9" t="s">
        <v>88</v>
      </c>
      <c r="J56" s="9" t="s">
        <v>72</v>
      </c>
      <c r="K56" s="9" t="s">
        <v>73</v>
      </c>
    </row>
    <row r="57" ht="15.75" customHeight="1">
      <c r="A57" s="10">
        <v>44889.0</v>
      </c>
      <c r="B57" s="11">
        <v>5.328769644E9</v>
      </c>
      <c r="C57" s="12" t="s">
        <v>143</v>
      </c>
      <c r="D57" s="11">
        <v>3.683913E7</v>
      </c>
      <c r="E57" s="10">
        <v>44894.0</v>
      </c>
      <c r="F57" s="9" t="s">
        <v>69</v>
      </c>
      <c r="G57" s="13">
        <v>2.0</v>
      </c>
      <c r="H57" s="9" t="s">
        <v>106</v>
      </c>
      <c r="I57" s="9" t="s">
        <v>88</v>
      </c>
      <c r="J57" s="9" t="s">
        <v>72</v>
      </c>
      <c r="K57" s="9" t="s">
        <v>84</v>
      </c>
    </row>
    <row r="58" ht="15.75" customHeight="1">
      <c r="A58" s="10">
        <v>44894.0</v>
      </c>
      <c r="B58" s="11">
        <v>7.718535182E9</v>
      </c>
      <c r="C58" s="12" t="s">
        <v>144</v>
      </c>
      <c r="D58" s="11">
        <v>3.6947754E7</v>
      </c>
      <c r="E58" s="10">
        <v>44896.0</v>
      </c>
      <c r="F58" s="9" t="s">
        <v>69</v>
      </c>
      <c r="G58" s="13">
        <v>2.0</v>
      </c>
      <c r="H58" s="9" t="s">
        <v>106</v>
      </c>
      <c r="I58" s="9" t="s">
        <v>88</v>
      </c>
      <c r="J58" s="9" t="s">
        <v>83</v>
      </c>
      <c r="K58" s="9" t="s">
        <v>84</v>
      </c>
    </row>
    <row r="59" ht="15.75" customHeight="1">
      <c r="A59" s="10">
        <v>44894.0</v>
      </c>
      <c r="B59" s="11">
        <v>3.702967844E9</v>
      </c>
      <c r="C59" s="12" t="s">
        <v>145</v>
      </c>
      <c r="D59" s="11">
        <v>2.0925125E7</v>
      </c>
      <c r="E59" s="10">
        <v>44896.0</v>
      </c>
      <c r="F59" s="9" t="s">
        <v>69</v>
      </c>
      <c r="G59" s="13">
        <v>2.0</v>
      </c>
      <c r="H59" s="9" t="s">
        <v>106</v>
      </c>
      <c r="I59" s="9" t="s">
        <v>88</v>
      </c>
      <c r="J59" s="9" t="s">
        <v>83</v>
      </c>
      <c r="K59" s="9" t="s">
        <v>84</v>
      </c>
    </row>
    <row r="60" ht="15.75" customHeight="1">
      <c r="A60" s="10">
        <v>44894.0</v>
      </c>
      <c r="B60" s="11">
        <v>5.672646582E9</v>
      </c>
      <c r="C60" s="12" t="s">
        <v>146</v>
      </c>
      <c r="D60" s="11">
        <v>3.0268671E7</v>
      </c>
      <c r="E60" s="10">
        <v>44896.0</v>
      </c>
      <c r="F60" s="9" t="s">
        <v>69</v>
      </c>
      <c r="G60" s="13">
        <v>2.0</v>
      </c>
      <c r="H60" s="9" t="s">
        <v>106</v>
      </c>
      <c r="I60" s="9" t="s">
        <v>88</v>
      </c>
      <c r="J60" s="9" t="s">
        <v>83</v>
      </c>
      <c r="K60" s="9" t="s">
        <v>84</v>
      </c>
    </row>
    <row r="61" ht="15.75" customHeight="1">
      <c r="A61" s="10">
        <v>44895.0</v>
      </c>
      <c r="B61" s="11">
        <v>5.526799202E9</v>
      </c>
      <c r="C61" s="12" t="s">
        <v>147</v>
      </c>
      <c r="D61" s="11">
        <v>2.3662807E7</v>
      </c>
      <c r="E61" s="10">
        <v>44896.0</v>
      </c>
      <c r="F61" s="9" t="s">
        <v>76</v>
      </c>
      <c r="G61" s="13">
        <v>2.0</v>
      </c>
      <c r="H61" s="9" t="s">
        <v>106</v>
      </c>
      <c r="I61" s="9" t="s">
        <v>77</v>
      </c>
      <c r="J61" s="9" t="s">
        <v>83</v>
      </c>
      <c r="K61" s="9" t="s">
        <v>84</v>
      </c>
    </row>
    <row r="62" ht="15.75" customHeight="1">
      <c r="A62" s="10">
        <v>44895.0</v>
      </c>
      <c r="B62" s="11">
        <v>5.526787582E9</v>
      </c>
      <c r="C62" s="12" t="s">
        <v>148</v>
      </c>
      <c r="D62" s="11">
        <v>1.1238696E7</v>
      </c>
      <c r="E62" s="10">
        <v>44896.0</v>
      </c>
      <c r="F62" s="9" t="s">
        <v>76</v>
      </c>
      <c r="G62" s="13">
        <v>1.0</v>
      </c>
      <c r="H62" s="9" t="s">
        <v>106</v>
      </c>
      <c r="I62" s="9" t="s">
        <v>77</v>
      </c>
      <c r="J62" s="9" t="s">
        <v>83</v>
      </c>
      <c r="K62" s="9" t="s">
        <v>103</v>
      </c>
    </row>
    <row r="63" ht="15.75" customHeight="1">
      <c r="A63" s="10">
        <v>44895.0</v>
      </c>
      <c r="B63" s="11">
        <v>5.508135544E9</v>
      </c>
      <c r="C63" s="12" t="s">
        <v>146</v>
      </c>
      <c r="D63" s="11">
        <v>3.0268671E7</v>
      </c>
      <c r="E63" s="10">
        <v>44896.0</v>
      </c>
      <c r="F63" s="9" t="s">
        <v>76</v>
      </c>
      <c r="G63" s="13">
        <v>2.0</v>
      </c>
      <c r="H63" s="9" t="s">
        <v>106</v>
      </c>
      <c r="I63" s="9" t="s">
        <v>77</v>
      </c>
      <c r="J63" s="9" t="s">
        <v>83</v>
      </c>
      <c r="K63" s="9" t="s">
        <v>103</v>
      </c>
    </row>
    <row r="64" ht="15.75" customHeight="1">
      <c r="A64" s="10">
        <v>44897.0</v>
      </c>
      <c r="B64" s="11">
        <v>6.429525465E9</v>
      </c>
      <c r="C64" s="12" t="s">
        <v>149</v>
      </c>
      <c r="D64" s="11">
        <v>3.7657414E7</v>
      </c>
      <c r="E64" s="10">
        <v>44897.0</v>
      </c>
      <c r="F64" s="9" t="s">
        <v>76</v>
      </c>
      <c r="G64" s="13">
        <v>1.0</v>
      </c>
      <c r="H64" s="9" t="s">
        <v>112</v>
      </c>
      <c r="I64" s="9" t="s">
        <v>77</v>
      </c>
      <c r="J64" s="9" t="s">
        <v>79</v>
      </c>
      <c r="K64" s="9" t="s">
        <v>99</v>
      </c>
    </row>
    <row r="65" ht="15.75" customHeight="1">
      <c r="A65" s="10">
        <v>44895.0</v>
      </c>
      <c r="B65" s="11">
        <v>2.883436651E9</v>
      </c>
      <c r="C65" s="12" t="s">
        <v>150</v>
      </c>
      <c r="D65" s="11">
        <v>4.3648131E7</v>
      </c>
      <c r="E65" s="10">
        <v>44900.0</v>
      </c>
      <c r="F65" s="9" t="s">
        <v>76</v>
      </c>
      <c r="G65" s="13">
        <v>1.0</v>
      </c>
      <c r="H65" s="9" t="s">
        <v>112</v>
      </c>
      <c r="I65" s="9" t="s">
        <v>77</v>
      </c>
      <c r="J65" s="9" t="s">
        <v>79</v>
      </c>
      <c r="K65" s="9" t="s">
        <v>99</v>
      </c>
    </row>
    <row r="66" ht="15.75" customHeight="1">
      <c r="A66" s="10">
        <v>44895.0</v>
      </c>
      <c r="B66" s="11">
        <v>5.508270471E9</v>
      </c>
      <c r="C66" s="12" t="s">
        <v>151</v>
      </c>
      <c r="D66" s="11">
        <v>3.8491501E7</v>
      </c>
      <c r="E66" s="10">
        <v>44900.0</v>
      </c>
      <c r="F66" s="9" t="s">
        <v>76</v>
      </c>
      <c r="G66" s="13">
        <v>1.0</v>
      </c>
      <c r="H66" s="9" t="s">
        <v>112</v>
      </c>
      <c r="I66" s="9" t="s">
        <v>77</v>
      </c>
      <c r="J66" s="9" t="s">
        <v>79</v>
      </c>
      <c r="K66" s="9" t="s">
        <v>99</v>
      </c>
    </row>
    <row r="67" ht="15.75" customHeight="1">
      <c r="A67" s="10">
        <v>44888.0</v>
      </c>
      <c r="B67" s="11">
        <v>6.859817624E9</v>
      </c>
      <c r="C67" s="12" t="s">
        <v>152</v>
      </c>
      <c r="D67" s="11">
        <v>3.3374986E7</v>
      </c>
      <c r="E67" s="10">
        <v>44902.0</v>
      </c>
      <c r="F67" s="9" t="s">
        <v>76</v>
      </c>
      <c r="G67" s="13">
        <v>1.0</v>
      </c>
      <c r="H67" s="9" t="s">
        <v>112</v>
      </c>
      <c r="I67" s="9" t="s">
        <v>77</v>
      </c>
      <c r="J67" s="9" t="s">
        <v>79</v>
      </c>
      <c r="K67" s="9" t="s">
        <v>99</v>
      </c>
    </row>
    <row r="68" ht="15.75" customHeight="1">
      <c r="A68" s="10">
        <v>44901.0</v>
      </c>
      <c r="B68" s="11">
        <v>2.378733276E9</v>
      </c>
      <c r="C68" s="12" t="s">
        <v>153</v>
      </c>
      <c r="D68" s="11">
        <v>2.7961325E7</v>
      </c>
      <c r="E68" s="10">
        <v>44902.0</v>
      </c>
      <c r="F68" s="9" t="s">
        <v>69</v>
      </c>
      <c r="G68" s="13">
        <v>2.0</v>
      </c>
      <c r="H68" s="9" t="s">
        <v>112</v>
      </c>
      <c r="I68" s="9" t="s">
        <v>77</v>
      </c>
      <c r="J68" s="9" t="s">
        <v>72</v>
      </c>
      <c r="K68" s="9" t="s">
        <v>99</v>
      </c>
    </row>
    <row r="69" ht="15.75" customHeight="1">
      <c r="A69" s="10">
        <v>44902.0</v>
      </c>
      <c r="B69" s="11">
        <v>4.43327864E9</v>
      </c>
      <c r="C69" s="12" t="s">
        <v>154</v>
      </c>
      <c r="D69" s="11">
        <v>2.3517066E7</v>
      </c>
      <c r="E69" s="10">
        <v>44902.0</v>
      </c>
      <c r="F69" s="9" t="s">
        <v>69</v>
      </c>
      <c r="G69" s="13">
        <v>1.0</v>
      </c>
      <c r="H69" s="9" t="s">
        <v>112</v>
      </c>
      <c r="I69" s="9" t="s">
        <v>77</v>
      </c>
      <c r="J69" s="9" t="s">
        <v>72</v>
      </c>
      <c r="K69" s="9" t="s">
        <v>99</v>
      </c>
    </row>
    <row r="70" ht="15.75" customHeight="1">
      <c r="A70" s="10">
        <v>44902.0</v>
      </c>
      <c r="B70" s="11">
        <v>2.384246583E9</v>
      </c>
      <c r="C70" s="12" t="s">
        <v>155</v>
      </c>
      <c r="D70" s="11">
        <v>1.4481304E7</v>
      </c>
      <c r="E70" s="10">
        <v>44907.0</v>
      </c>
      <c r="F70" s="9" t="s">
        <v>76</v>
      </c>
      <c r="G70" s="13">
        <v>2.0</v>
      </c>
      <c r="H70" s="9" t="s">
        <v>116</v>
      </c>
      <c r="I70" s="9" t="s">
        <v>77</v>
      </c>
      <c r="J70" s="9" t="s">
        <v>72</v>
      </c>
      <c r="K70" s="9" t="s">
        <v>103</v>
      </c>
    </row>
    <row r="71" ht="15.75" customHeight="1">
      <c r="A71" s="10">
        <v>44901.0</v>
      </c>
      <c r="B71" s="11">
        <v>7.355726722E9</v>
      </c>
      <c r="C71" s="12" t="s">
        <v>156</v>
      </c>
      <c r="D71" s="11">
        <v>4.0275967E7</v>
      </c>
      <c r="E71" s="10">
        <v>44908.0</v>
      </c>
      <c r="F71" s="9" t="s">
        <v>76</v>
      </c>
      <c r="G71" s="13">
        <v>2.0</v>
      </c>
      <c r="H71" s="9" t="s">
        <v>116</v>
      </c>
      <c r="I71" s="9" t="s">
        <v>77</v>
      </c>
      <c r="J71" s="9" t="s">
        <v>72</v>
      </c>
      <c r="K71" s="9" t="s">
        <v>103</v>
      </c>
    </row>
    <row r="72" ht="15.75" customHeight="1">
      <c r="A72" s="10">
        <v>44908.0</v>
      </c>
      <c r="B72" s="11">
        <v>9.870563496E9</v>
      </c>
      <c r="C72" s="12" t="s">
        <v>157</v>
      </c>
      <c r="D72" s="11">
        <v>3.9145592E7</v>
      </c>
      <c r="E72" s="10">
        <v>44908.0</v>
      </c>
      <c r="F72" s="9" t="s">
        <v>76</v>
      </c>
      <c r="G72" s="13">
        <v>2.0</v>
      </c>
      <c r="H72" s="9" t="s">
        <v>116</v>
      </c>
      <c r="I72" s="9" t="s">
        <v>71</v>
      </c>
      <c r="J72" s="9" t="s">
        <v>72</v>
      </c>
      <c r="K72" s="9" t="s">
        <v>103</v>
      </c>
    </row>
    <row r="73" ht="15.75" customHeight="1">
      <c r="A73" s="10">
        <v>44883.0</v>
      </c>
      <c r="B73" s="11">
        <v>3.699733472E9</v>
      </c>
      <c r="C73" s="12" t="s">
        <v>158</v>
      </c>
      <c r="D73" s="11">
        <v>3.6838754E7</v>
      </c>
      <c r="E73" s="10">
        <v>44909.0</v>
      </c>
      <c r="F73" s="9" t="s">
        <v>76</v>
      </c>
      <c r="G73" s="13">
        <v>2.0</v>
      </c>
      <c r="H73" s="9" t="s">
        <v>116</v>
      </c>
      <c r="I73" s="9" t="s">
        <v>71</v>
      </c>
      <c r="J73" s="9" t="s">
        <v>72</v>
      </c>
      <c r="K73" s="9" t="s">
        <v>103</v>
      </c>
    </row>
    <row r="74" ht="15.75" customHeight="1">
      <c r="A74" s="10">
        <v>44909.0</v>
      </c>
      <c r="B74" s="11">
        <v>3.390086906E9</v>
      </c>
      <c r="C74" s="12" t="s">
        <v>159</v>
      </c>
      <c r="D74" s="11">
        <v>3.1275866E7</v>
      </c>
      <c r="E74" s="10">
        <v>44910.0</v>
      </c>
      <c r="F74" s="9" t="s">
        <v>76</v>
      </c>
      <c r="G74" s="13">
        <v>3.0</v>
      </c>
      <c r="H74" s="9" t="s">
        <v>116</v>
      </c>
      <c r="I74" s="9" t="s">
        <v>71</v>
      </c>
      <c r="J74" s="9" t="s">
        <v>79</v>
      </c>
      <c r="K74" s="9" t="s">
        <v>90</v>
      </c>
    </row>
    <row r="75" ht="15.75" customHeight="1">
      <c r="A75" s="10">
        <v>44909.0</v>
      </c>
      <c r="B75" s="11">
        <v>1.097832632E9</v>
      </c>
      <c r="C75" s="12" t="s">
        <v>160</v>
      </c>
      <c r="D75" s="11">
        <v>3.4880587E7</v>
      </c>
      <c r="E75" s="10">
        <v>44910.0</v>
      </c>
      <c r="F75" s="9" t="s">
        <v>69</v>
      </c>
      <c r="G75" s="13">
        <v>2.0</v>
      </c>
      <c r="H75" s="9" t="s">
        <v>116</v>
      </c>
      <c r="I75" s="9" t="s">
        <v>71</v>
      </c>
      <c r="J75" s="9" t="s">
        <v>79</v>
      </c>
      <c r="K75" s="9" t="s">
        <v>90</v>
      </c>
    </row>
    <row r="76" ht="15.75" customHeight="1">
      <c r="A76" s="10">
        <v>44910.0</v>
      </c>
      <c r="B76" s="11">
        <v>5.992876212E9</v>
      </c>
      <c r="C76" s="12" t="s">
        <v>161</v>
      </c>
      <c r="D76" s="11">
        <v>3.8741719E7</v>
      </c>
      <c r="E76" s="10">
        <v>44910.0</v>
      </c>
      <c r="F76" s="9" t="s">
        <v>69</v>
      </c>
      <c r="G76" s="13">
        <v>4.0</v>
      </c>
      <c r="H76" s="9" t="s">
        <v>116</v>
      </c>
      <c r="I76" s="9" t="s">
        <v>71</v>
      </c>
      <c r="J76" s="9" t="s">
        <v>79</v>
      </c>
      <c r="K76" s="9" t="s">
        <v>90</v>
      </c>
    </row>
    <row r="77" ht="15.75" customHeight="1">
      <c r="A77" s="10">
        <v>44910.0</v>
      </c>
      <c r="B77" s="11">
        <v>6.447052791E9</v>
      </c>
      <c r="C77" s="12" t="s">
        <v>162</v>
      </c>
      <c r="D77" s="11">
        <v>4.1535951E7</v>
      </c>
      <c r="E77" s="10">
        <v>44911.0</v>
      </c>
      <c r="F77" s="9" t="s">
        <v>69</v>
      </c>
      <c r="G77" s="13">
        <v>1.0</v>
      </c>
      <c r="H77" s="9" t="s">
        <v>116</v>
      </c>
      <c r="I77" s="9" t="s">
        <v>71</v>
      </c>
      <c r="J77" s="9" t="s">
        <v>79</v>
      </c>
      <c r="K77" s="9" t="s">
        <v>90</v>
      </c>
    </row>
    <row r="78" ht="15.75" customHeight="1">
      <c r="A78" s="10">
        <v>44911.0</v>
      </c>
      <c r="B78" s="11">
        <v>8.14461284E9</v>
      </c>
      <c r="C78" s="12" t="s">
        <v>163</v>
      </c>
      <c r="D78" s="11">
        <v>3.4067977E7</v>
      </c>
      <c r="E78" s="10">
        <v>44914.0</v>
      </c>
      <c r="F78" s="9" t="s">
        <v>69</v>
      </c>
      <c r="G78" s="13">
        <v>1.0</v>
      </c>
      <c r="H78" s="9" t="s">
        <v>116</v>
      </c>
      <c r="I78" s="9" t="s">
        <v>71</v>
      </c>
      <c r="J78" s="9" t="s">
        <v>79</v>
      </c>
      <c r="K78" s="9" t="s">
        <v>90</v>
      </c>
    </row>
    <row r="79" ht="15.75" customHeight="1">
      <c r="A79" s="10">
        <v>44901.0</v>
      </c>
      <c r="B79" s="11">
        <v>2.023592196E9</v>
      </c>
      <c r="C79" s="12" t="s">
        <v>164</v>
      </c>
      <c r="D79" s="11">
        <v>2.2414076E7</v>
      </c>
      <c r="E79" s="10">
        <v>44916.0</v>
      </c>
      <c r="F79" s="9" t="s">
        <v>69</v>
      </c>
      <c r="G79" s="13">
        <v>1.0</v>
      </c>
      <c r="H79" s="9" t="s">
        <v>116</v>
      </c>
      <c r="I79" s="9" t="s">
        <v>71</v>
      </c>
      <c r="J79" s="9" t="s">
        <v>79</v>
      </c>
      <c r="K79" s="9" t="s">
        <v>90</v>
      </c>
    </row>
    <row r="80" ht="15.75" customHeight="1">
      <c r="A80" s="10">
        <v>44909.0</v>
      </c>
      <c r="B80" s="11">
        <v>2.324471015E9</v>
      </c>
      <c r="C80" s="12" t="s">
        <v>165</v>
      </c>
      <c r="D80" s="11">
        <v>2.3805258E7</v>
      </c>
      <c r="E80" s="10">
        <v>44916.0</v>
      </c>
      <c r="F80" s="9" t="s">
        <v>69</v>
      </c>
      <c r="G80" s="13">
        <v>2.0</v>
      </c>
      <c r="H80" s="9" t="s">
        <v>116</v>
      </c>
      <c r="I80" s="9" t="s">
        <v>71</v>
      </c>
      <c r="J80" s="9" t="s">
        <v>83</v>
      </c>
      <c r="K80" s="9" t="s">
        <v>90</v>
      </c>
    </row>
    <row r="81" ht="15.75" customHeight="1">
      <c r="A81" s="10">
        <v>44909.0</v>
      </c>
      <c r="B81" s="11">
        <v>3.31912763E9</v>
      </c>
      <c r="C81" s="12" t="s">
        <v>166</v>
      </c>
      <c r="D81" s="11">
        <v>2.6057426E7</v>
      </c>
      <c r="E81" s="10">
        <v>44916.0</v>
      </c>
      <c r="F81" s="9" t="s">
        <v>76</v>
      </c>
      <c r="G81" s="13">
        <v>3.0</v>
      </c>
      <c r="H81" s="9" t="s">
        <v>116</v>
      </c>
      <c r="I81" s="9" t="s">
        <v>88</v>
      </c>
      <c r="J81" s="9" t="s">
        <v>83</v>
      </c>
      <c r="K81" s="9" t="s">
        <v>90</v>
      </c>
    </row>
    <row r="82" ht="15.75" customHeight="1">
      <c r="A82" s="10">
        <v>44910.0</v>
      </c>
      <c r="B82" s="11">
        <v>5.370734095E9</v>
      </c>
      <c r="C82" s="12" t="s">
        <v>165</v>
      </c>
      <c r="D82" s="11">
        <v>2.3805258E7</v>
      </c>
      <c r="E82" s="10">
        <v>44916.0</v>
      </c>
      <c r="F82" s="9" t="s">
        <v>76</v>
      </c>
      <c r="G82" s="13">
        <v>3.0</v>
      </c>
      <c r="H82" s="9" t="s">
        <v>116</v>
      </c>
      <c r="I82" s="9" t="s">
        <v>88</v>
      </c>
      <c r="J82" s="9" t="s">
        <v>83</v>
      </c>
      <c r="K82" s="9" t="s">
        <v>90</v>
      </c>
    </row>
    <row r="83" ht="15.75" customHeight="1">
      <c r="A83" s="10">
        <v>44917.0</v>
      </c>
      <c r="B83" s="11">
        <v>4.106642665E9</v>
      </c>
      <c r="C83" s="12" t="s">
        <v>167</v>
      </c>
      <c r="D83" s="11">
        <v>2.8791421E7</v>
      </c>
      <c r="E83" s="10">
        <v>44917.0</v>
      </c>
      <c r="F83" s="9" t="s">
        <v>69</v>
      </c>
      <c r="G83" s="13">
        <v>2.0</v>
      </c>
      <c r="H83" s="9" t="s">
        <v>116</v>
      </c>
      <c r="I83" s="9" t="s">
        <v>88</v>
      </c>
      <c r="J83" s="9" t="s">
        <v>83</v>
      </c>
      <c r="K83" s="9" t="s">
        <v>90</v>
      </c>
    </row>
    <row r="84" ht="15.75" customHeight="1">
      <c r="A84" s="10">
        <v>44887.0</v>
      </c>
      <c r="B84" s="11">
        <v>7.18107635E9</v>
      </c>
      <c r="C84" s="12" t="s">
        <v>168</v>
      </c>
      <c r="D84" s="11">
        <v>3.4880522E7</v>
      </c>
      <c r="E84" s="10">
        <v>44918.0</v>
      </c>
      <c r="F84" s="9" t="s">
        <v>69</v>
      </c>
      <c r="G84" s="13">
        <v>2.0</v>
      </c>
      <c r="H84" s="9" t="s">
        <v>116</v>
      </c>
      <c r="I84" s="9" t="s">
        <v>88</v>
      </c>
      <c r="J84" s="9" t="s">
        <v>83</v>
      </c>
      <c r="K84" s="9" t="s">
        <v>90</v>
      </c>
    </row>
    <row r="85" ht="15.75" customHeight="1">
      <c r="A85" s="10">
        <v>44910.0</v>
      </c>
      <c r="B85" s="11">
        <v>4.347282892E9</v>
      </c>
      <c r="C85" s="12" t="s">
        <v>169</v>
      </c>
      <c r="D85" s="11">
        <v>4.1059741E7</v>
      </c>
      <c r="E85" s="10">
        <v>44921.0</v>
      </c>
      <c r="F85" s="9" t="s">
        <v>69</v>
      </c>
      <c r="G85" s="13">
        <v>1.0</v>
      </c>
      <c r="H85" s="9" t="s">
        <v>116</v>
      </c>
      <c r="I85" s="9" t="s">
        <v>88</v>
      </c>
      <c r="J85" s="9" t="s">
        <v>83</v>
      </c>
      <c r="K85" s="9" t="s">
        <v>73</v>
      </c>
    </row>
    <row r="86" ht="15.75" customHeight="1">
      <c r="A86" s="10">
        <v>44917.0</v>
      </c>
      <c r="B86" s="11">
        <v>3.790526552E9</v>
      </c>
      <c r="C86" s="12" t="s">
        <v>170</v>
      </c>
      <c r="D86" s="11">
        <v>3.2412797E7</v>
      </c>
      <c r="E86" s="10">
        <v>44921.0</v>
      </c>
      <c r="F86" s="9" t="s">
        <v>69</v>
      </c>
      <c r="G86" s="13">
        <v>2.0</v>
      </c>
      <c r="H86" s="9" t="s">
        <v>116</v>
      </c>
      <c r="I86" s="9" t="s">
        <v>88</v>
      </c>
      <c r="J86" s="9" t="s">
        <v>83</v>
      </c>
      <c r="K86" s="9" t="s">
        <v>73</v>
      </c>
    </row>
    <row r="87" ht="15.75" customHeight="1">
      <c r="A87" s="10">
        <v>44921.0</v>
      </c>
      <c r="B87" s="11">
        <v>7.447323995E9</v>
      </c>
      <c r="C87" s="12" t="s">
        <v>171</v>
      </c>
      <c r="D87" s="11">
        <v>1.4410801E7</v>
      </c>
      <c r="E87" s="10">
        <v>44921.0</v>
      </c>
      <c r="F87" s="9" t="s">
        <v>69</v>
      </c>
      <c r="G87" s="13">
        <v>1.0</v>
      </c>
      <c r="H87" s="9" t="s">
        <v>70</v>
      </c>
      <c r="I87" s="9" t="s">
        <v>88</v>
      </c>
      <c r="J87" s="9" t="s">
        <v>83</v>
      </c>
      <c r="K87" s="9" t="s">
        <v>73</v>
      </c>
    </row>
    <row r="88" ht="15.75" customHeight="1">
      <c r="A88" s="10">
        <v>44922.0</v>
      </c>
      <c r="B88" s="11">
        <v>7.447338242E9</v>
      </c>
      <c r="C88" s="12" t="s">
        <v>172</v>
      </c>
      <c r="D88" s="11">
        <v>4.0699515E7</v>
      </c>
      <c r="E88" s="10">
        <v>44921.0</v>
      </c>
      <c r="F88" s="9" t="s">
        <v>69</v>
      </c>
      <c r="G88" s="13">
        <v>2.0</v>
      </c>
      <c r="H88" s="9" t="s">
        <v>70</v>
      </c>
      <c r="I88" s="9" t="s">
        <v>88</v>
      </c>
      <c r="J88" s="9" t="s">
        <v>83</v>
      </c>
      <c r="K88" s="9" t="s">
        <v>73</v>
      </c>
    </row>
    <row r="89" ht="15.75" customHeight="1">
      <c r="A89" s="10">
        <v>44921.0</v>
      </c>
      <c r="B89" s="11">
        <v>6.924031844E9</v>
      </c>
      <c r="C89" s="12" t="s">
        <v>173</v>
      </c>
      <c r="D89" s="11">
        <v>4.300164E7</v>
      </c>
      <c r="E89" s="10">
        <v>44922.0</v>
      </c>
      <c r="F89" s="9" t="s">
        <v>69</v>
      </c>
      <c r="G89" s="13">
        <v>3.0</v>
      </c>
      <c r="H89" s="9" t="s">
        <v>70</v>
      </c>
      <c r="I89" s="9" t="s">
        <v>88</v>
      </c>
      <c r="J89" s="9" t="s">
        <v>98</v>
      </c>
      <c r="K89" s="9" t="s">
        <v>73</v>
      </c>
    </row>
    <row r="90" ht="15.75" customHeight="1">
      <c r="A90" s="10">
        <v>44921.0</v>
      </c>
      <c r="B90" s="11">
        <v>1.773358473E9</v>
      </c>
      <c r="C90" s="12" t="s">
        <v>174</v>
      </c>
      <c r="D90" s="11">
        <v>3.1644698E7</v>
      </c>
      <c r="E90" s="10">
        <v>44922.0</v>
      </c>
      <c r="F90" s="9" t="s">
        <v>69</v>
      </c>
      <c r="G90" s="13">
        <v>2.0</v>
      </c>
      <c r="H90" s="9" t="s">
        <v>70</v>
      </c>
      <c r="I90" s="9" t="s">
        <v>77</v>
      </c>
      <c r="J90" s="9" t="s">
        <v>98</v>
      </c>
      <c r="K90" s="9" t="s">
        <v>73</v>
      </c>
    </row>
    <row r="91" ht="15.75" customHeight="1">
      <c r="A91" s="10">
        <v>44922.0</v>
      </c>
      <c r="B91" s="11">
        <v>5.839758562E9</v>
      </c>
      <c r="C91" s="12" t="s">
        <v>175</v>
      </c>
      <c r="D91" s="11">
        <v>3.2277507E7</v>
      </c>
      <c r="E91" s="10">
        <v>44924.0</v>
      </c>
      <c r="F91" s="9" t="s">
        <v>76</v>
      </c>
      <c r="G91" s="13">
        <v>4.0</v>
      </c>
      <c r="H91" s="9" t="s">
        <v>70</v>
      </c>
      <c r="I91" s="9" t="s">
        <v>77</v>
      </c>
      <c r="J91" s="9" t="s">
        <v>98</v>
      </c>
      <c r="K91" s="9" t="s">
        <v>73</v>
      </c>
    </row>
    <row r="92" ht="15.75" customHeight="1">
      <c r="A92" s="10">
        <v>44902.0</v>
      </c>
      <c r="B92" s="11">
        <v>4.742858794E9</v>
      </c>
      <c r="C92" s="12" t="s">
        <v>176</v>
      </c>
      <c r="D92" s="11">
        <v>3.4105944E7</v>
      </c>
      <c r="E92" s="10">
        <v>44925.0</v>
      </c>
      <c r="F92" s="9" t="s">
        <v>76</v>
      </c>
      <c r="G92" s="13">
        <v>4.0</v>
      </c>
      <c r="H92" s="9" t="s">
        <v>116</v>
      </c>
      <c r="I92" s="9" t="s">
        <v>77</v>
      </c>
      <c r="J92" s="9" t="s">
        <v>98</v>
      </c>
      <c r="K92" s="9" t="s">
        <v>73</v>
      </c>
    </row>
    <row r="93" ht="15.75" customHeight="1">
      <c r="A93" s="10">
        <v>44902.0</v>
      </c>
      <c r="B93" s="11">
        <v>6.827937093E9</v>
      </c>
      <c r="C93" s="12" t="s">
        <v>177</v>
      </c>
      <c r="D93" s="11">
        <v>4.115805E7</v>
      </c>
      <c r="E93" s="10">
        <v>44925.0</v>
      </c>
      <c r="F93" s="9" t="s">
        <v>76</v>
      </c>
      <c r="G93" s="13">
        <v>4.0</v>
      </c>
      <c r="H93" s="9" t="s">
        <v>116</v>
      </c>
      <c r="I93" s="9" t="s">
        <v>77</v>
      </c>
      <c r="J93" s="9" t="s">
        <v>93</v>
      </c>
      <c r="K93" s="9" t="s">
        <v>99</v>
      </c>
    </row>
    <row r="94" ht="15.75" customHeight="1">
      <c r="A94" s="10">
        <v>44921.0</v>
      </c>
      <c r="B94" s="11">
        <v>9.606388665E9</v>
      </c>
      <c r="C94" s="12" t="s">
        <v>178</v>
      </c>
      <c r="D94" s="11">
        <v>2.2995653E7</v>
      </c>
      <c r="E94" s="10">
        <v>44925.0</v>
      </c>
      <c r="F94" s="9" t="s">
        <v>69</v>
      </c>
      <c r="G94" s="13">
        <v>1.0</v>
      </c>
      <c r="H94" s="9" t="s">
        <v>116</v>
      </c>
      <c r="I94" s="9" t="s">
        <v>77</v>
      </c>
      <c r="J94" s="9" t="s">
        <v>93</v>
      </c>
      <c r="K94" s="9" t="s">
        <v>99</v>
      </c>
    </row>
    <row r="95" ht="15.75" customHeight="1">
      <c r="A95" s="10">
        <v>44924.0</v>
      </c>
      <c r="B95" s="11">
        <v>8.257968633E9</v>
      </c>
      <c r="C95" s="12" t="s">
        <v>179</v>
      </c>
      <c r="D95" s="11">
        <v>3.9478534E7</v>
      </c>
      <c r="E95" s="10">
        <v>44925.0</v>
      </c>
      <c r="F95" s="9" t="s">
        <v>69</v>
      </c>
      <c r="G95" s="13">
        <v>1.0</v>
      </c>
      <c r="H95" s="9" t="s">
        <v>116</v>
      </c>
      <c r="I95" s="9" t="s">
        <v>77</v>
      </c>
      <c r="J95" s="9" t="s">
        <v>93</v>
      </c>
      <c r="K95" s="9" t="s">
        <v>99</v>
      </c>
    </row>
    <row r="96" ht="15.75" customHeight="1">
      <c r="A96" s="10">
        <v>44924.0</v>
      </c>
      <c r="B96" s="11">
        <v>7.462228745E9</v>
      </c>
      <c r="C96" s="12" t="s">
        <v>166</v>
      </c>
      <c r="D96" s="11">
        <v>2.6057426E7</v>
      </c>
      <c r="E96" s="10">
        <v>44925.0</v>
      </c>
      <c r="F96" s="9" t="s">
        <v>69</v>
      </c>
      <c r="G96" s="13">
        <v>1.0</v>
      </c>
      <c r="H96" s="9" t="s">
        <v>116</v>
      </c>
      <c r="I96" s="9" t="s">
        <v>77</v>
      </c>
      <c r="J96" s="9" t="s">
        <v>93</v>
      </c>
      <c r="K96" s="9" t="s">
        <v>99</v>
      </c>
    </row>
    <row r="97" ht="15.75" customHeight="1">
      <c r="A97" s="10">
        <v>44925.0</v>
      </c>
      <c r="B97" s="11">
        <v>5.106948361E9</v>
      </c>
      <c r="C97" s="12" t="s">
        <v>180</v>
      </c>
      <c r="D97" s="11">
        <v>4.0356496E7</v>
      </c>
      <c r="E97" s="10">
        <v>44925.0</v>
      </c>
      <c r="F97" s="9" t="s">
        <v>76</v>
      </c>
      <c r="G97" s="13">
        <v>1.0</v>
      </c>
      <c r="H97" s="9" t="s">
        <v>70</v>
      </c>
      <c r="I97" s="9" t="s">
        <v>77</v>
      </c>
      <c r="J97" s="9" t="s">
        <v>93</v>
      </c>
      <c r="K97" s="9" t="s">
        <v>99</v>
      </c>
    </row>
    <row r="98" ht="15.75" customHeight="1">
      <c r="A98" s="10">
        <v>44914.0</v>
      </c>
      <c r="B98" s="11">
        <v>6.370068003E9</v>
      </c>
      <c r="C98" s="12" t="s">
        <v>181</v>
      </c>
      <c r="D98" s="11">
        <v>2.9430282E7</v>
      </c>
      <c r="E98" s="10">
        <v>44928.0</v>
      </c>
      <c r="F98" s="9" t="s">
        <v>69</v>
      </c>
      <c r="G98" s="13">
        <v>1.0</v>
      </c>
      <c r="H98" s="9" t="s">
        <v>70</v>
      </c>
      <c r="I98" s="9" t="s">
        <v>77</v>
      </c>
      <c r="J98" s="9" t="s">
        <v>93</v>
      </c>
      <c r="K98" s="9" t="s">
        <v>99</v>
      </c>
    </row>
    <row r="99" ht="15.75" customHeight="1">
      <c r="A99" s="10">
        <v>44925.0</v>
      </c>
      <c r="B99" s="11">
        <v>1.419231936E9</v>
      </c>
      <c r="C99" s="12" t="s">
        <v>182</v>
      </c>
      <c r="D99" s="11">
        <v>1.0017156E7</v>
      </c>
      <c r="E99" s="10">
        <v>44928.0</v>
      </c>
      <c r="F99" s="9" t="s">
        <v>69</v>
      </c>
      <c r="G99" s="13">
        <v>1.0</v>
      </c>
      <c r="H99" s="9" t="s">
        <v>70</v>
      </c>
      <c r="I99" s="9" t="s">
        <v>71</v>
      </c>
      <c r="J99" s="9" t="s">
        <v>93</v>
      </c>
      <c r="K99" s="9" t="s">
        <v>73</v>
      </c>
    </row>
    <row r="100" ht="15.75" customHeight="1">
      <c r="A100" s="10">
        <v>44925.0</v>
      </c>
      <c r="B100" s="11">
        <v>5.251045321E9</v>
      </c>
      <c r="C100" s="12" t="s">
        <v>183</v>
      </c>
      <c r="D100" s="11">
        <v>2.0692417E7</v>
      </c>
      <c r="E100" s="10">
        <v>44928.0</v>
      </c>
      <c r="F100" s="9" t="s">
        <v>69</v>
      </c>
      <c r="G100" s="13">
        <v>1.0</v>
      </c>
      <c r="H100" s="9" t="s">
        <v>70</v>
      </c>
      <c r="I100" s="9" t="s">
        <v>71</v>
      </c>
      <c r="J100" s="9" t="s">
        <v>93</v>
      </c>
      <c r="K100" s="9" t="s">
        <v>73</v>
      </c>
    </row>
    <row r="101" ht="15.75" customHeight="1">
      <c r="A101" s="10">
        <v>44917.0</v>
      </c>
      <c r="B101" s="11">
        <v>1.592620315E9</v>
      </c>
      <c r="C101" s="12" t="s">
        <v>181</v>
      </c>
      <c r="D101" s="11">
        <v>2.9430282E7</v>
      </c>
      <c r="E101" s="10">
        <v>44929.0</v>
      </c>
      <c r="F101" s="9" t="s">
        <v>69</v>
      </c>
      <c r="G101" s="13">
        <v>1.0</v>
      </c>
      <c r="H101" s="9" t="s">
        <v>70</v>
      </c>
      <c r="I101" s="9" t="s">
        <v>71</v>
      </c>
      <c r="J101" s="9" t="s">
        <v>93</v>
      </c>
      <c r="K101" s="9" t="s">
        <v>73</v>
      </c>
    </row>
    <row r="102" ht="15.75" customHeight="1">
      <c r="A102" s="10">
        <v>44921.0</v>
      </c>
      <c r="B102" s="11">
        <v>5.442689626E9</v>
      </c>
      <c r="C102" s="12" t="s">
        <v>184</v>
      </c>
      <c r="D102" s="11">
        <v>6636918.0</v>
      </c>
      <c r="E102" s="10">
        <v>44930.0</v>
      </c>
      <c r="F102" s="9" t="s">
        <v>69</v>
      </c>
      <c r="G102" s="13">
        <v>1.0</v>
      </c>
      <c r="H102" s="9" t="s">
        <v>70</v>
      </c>
      <c r="I102" s="9" t="s">
        <v>71</v>
      </c>
      <c r="J102" s="9" t="s">
        <v>72</v>
      </c>
      <c r="K102" s="9" t="s">
        <v>73</v>
      </c>
    </row>
    <row r="103" ht="15.75" customHeight="1">
      <c r="A103" s="10">
        <v>44921.0</v>
      </c>
      <c r="B103" s="11">
        <v>9.606409245E9</v>
      </c>
      <c r="C103" s="12" t="s">
        <v>185</v>
      </c>
      <c r="D103" s="11">
        <v>3916583.0</v>
      </c>
      <c r="E103" s="10">
        <v>44930.0</v>
      </c>
      <c r="F103" s="9" t="s">
        <v>69</v>
      </c>
      <c r="G103" s="13">
        <v>2.0</v>
      </c>
      <c r="H103" s="9" t="s">
        <v>92</v>
      </c>
      <c r="I103" s="9" t="s">
        <v>71</v>
      </c>
      <c r="J103" s="9" t="s">
        <v>72</v>
      </c>
      <c r="K103" s="9" t="s">
        <v>73</v>
      </c>
    </row>
    <row r="104" ht="15.75" customHeight="1">
      <c r="A104" s="10">
        <v>44922.0</v>
      </c>
      <c r="B104" s="11">
        <v>4.328899396E9</v>
      </c>
      <c r="C104" s="12" t="s">
        <v>186</v>
      </c>
      <c r="D104" s="11">
        <v>5142007.0</v>
      </c>
      <c r="E104" s="10">
        <v>44930.0</v>
      </c>
      <c r="F104" s="9" t="s">
        <v>76</v>
      </c>
      <c r="G104" s="13">
        <v>2.0</v>
      </c>
      <c r="H104" s="9" t="s">
        <v>92</v>
      </c>
      <c r="I104" s="9" t="s">
        <v>71</v>
      </c>
      <c r="J104" s="9" t="s">
        <v>72</v>
      </c>
      <c r="K104" s="9" t="s">
        <v>73</v>
      </c>
    </row>
    <row r="105" ht="15.75" customHeight="1">
      <c r="A105" s="10">
        <v>44922.0</v>
      </c>
      <c r="B105" s="11">
        <v>5.251041084E9</v>
      </c>
      <c r="C105" s="12" t="s">
        <v>187</v>
      </c>
      <c r="D105" s="11">
        <v>5142082.0</v>
      </c>
      <c r="E105" s="10">
        <v>44930.0</v>
      </c>
      <c r="F105" s="9" t="s">
        <v>76</v>
      </c>
      <c r="G105" s="13">
        <v>2.0</v>
      </c>
      <c r="H105" s="9" t="s">
        <v>92</v>
      </c>
      <c r="I105" s="9" t="s">
        <v>71</v>
      </c>
      <c r="J105" s="9" t="s">
        <v>72</v>
      </c>
      <c r="K105" s="9" t="s">
        <v>73</v>
      </c>
    </row>
    <row r="106" ht="15.75" customHeight="1">
      <c r="A106" s="10">
        <v>44921.0</v>
      </c>
      <c r="B106" s="11">
        <v>6.500386712E9</v>
      </c>
      <c r="C106" s="12" t="s">
        <v>188</v>
      </c>
      <c r="D106" s="11">
        <v>4.5184382E7</v>
      </c>
      <c r="E106" s="10">
        <v>44932.0</v>
      </c>
      <c r="F106" s="9" t="s">
        <v>69</v>
      </c>
      <c r="G106" s="13">
        <v>3.0</v>
      </c>
      <c r="H106" s="9" t="s">
        <v>92</v>
      </c>
      <c r="I106" s="9" t="s">
        <v>71</v>
      </c>
      <c r="J106" s="9" t="s">
        <v>72</v>
      </c>
      <c r="K106" s="9" t="s">
        <v>73</v>
      </c>
    </row>
    <row r="107" ht="15.75" customHeight="1">
      <c r="A107" s="10">
        <v>44922.0</v>
      </c>
      <c r="B107" s="11">
        <v>3.435910155E9</v>
      </c>
      <c r="C107" s="12" t="s">
        <v>189</v>
      </c>
      <c r="D107" s="11">
        <v>2.3079907E7</v>
      </c>
      <c r="E107" s="10">
        <v>44932.0</v>
      </c>
      <c r="F107" s="9" t="s">
        <v>69</v>
      </c>
      <c r="G107" s="13">
        <v>2.0</v>
      </c>
      <c r="H107" s="9" t="s">
        <v>92</v>
      </c>
      <c r="I107" s="9" t="s">
        <v>71</v>
      </c>
      <c r="J107" s="9" t="s">
        <v>72</v>
      </c>
      <c r="K107" s="9" t="s">
        <v>73</v>
      </c>
    </row>
    <row r="108" ht="15.75" customHeight="1">
      <c r="A108" s="10">
        <v>44939.0</v>
      </c>
      <c r="B108" s="11">
        <v>5.487296636E9</v>
      </c>
      <c r="C108" s="12" t="s">
        <v>190</v>
      </c>
      <c r="D108" s="11">
        <v>3.9205077E7</v>
      </c>
      <c r="E108" s="10">
        <v>44942.0</v>
      </c>
      <c r="F108" s="9" t="s">
        <v>69</v>
      </c>
      <c r="G108" s="13">
        <v>1.0</v>
      </c>
      <c r="H108" s="9" t="s">
        <v>92</v>
      </c>
      <c r="I108" s="9" t="s">
        <v>71</v>
      </c>
      <c r="J108" s="9" t="s">
        <v>72</v>
      </c>
      <c r="K108" s="9" t="s">
        <v>84</v>
      </c>
    </row>
    <row r="109" ht="15.75" customHeight="1">
      <c r="A109" s="10">
        <v>44924.0</v>
      </c>
      <c r="B109" s="11">
        <v>5.10676166E9</v>
      </c>
      <c r="C109" s="12" t="s">
        <v>191</v>
      </c>
      <c r="D109" s="11">
        <v>2.0692257E7</v>
      </c>
      <c r="E109" s="10">
        <v>44945.0</v>
      </c>
      <c r="F109" s="9" t="s">
        <v>69</v>
      </c>
      <c r="G109" s="13">
        <v>1.0</v>
      </c>
      <c r="H109" s="9" t="s">
        <v>92</v>
      </c>
      <c r="I109" s="9" t="s">
        <v>71</v>
      </c>
      <c r="J109" s="9" t="s">
        <v>72</v>
      </c>
      <c r="K109" s="9" t="s">
        <v>84</v>
      </c>
    </row>
    <row r="110" ht="15.75" customHeight="1">
      <c r="A110" s="10">
        <v>44945.0</v>
      </c>
      <c r="B110" s="11">
        <v>4.125553751E9</v>
      </c>
      <c r="C110" s="12" t="s">
        <v>192</v>
      </c>
      <c r="D110" s="11">
        <v>3.5809036E7</v>
      </c>
      <c r="E110" s="10">
        <v>44946.0</v>
      </c>
      <c r="F110" s="9" t="s">
        <v>69</v>
      </c>
      <c r="G110" s="13">
        <v>1.0</v>
      </c>
      <c r="H110" s="9" t="s">
        <v>81</v>
      </c>
      <c r="I110" s="9" t="s">
        <v>71</v>
      </c>
      <c r="J110" s="9" t="s">
        <v>72</v>
      </c>
      <c r="K110" s="9" t="s">
        <v>84</v>
      </c>
    </row>
    <row r="111" ht="15.75" customHeight="1">
      <c r="A111" s="10">
        <v>44943.0</v>
      </c>
      <c r="B111" s="11">
        <v>1.29901009E9</v>
      </c>
      <c r="C111" s="12" t="s">
        <v>193</v>
      </c>
      <c r="D111" s="11">
        <v>3.8744872E7</v>
      </c>
      <c r="E111" s="10">
        <v>44949.0</v>
      </c>
      <c r="F111" s="9" t="s">
        <v>76</v>
      </c>
      <c r="G111" s="13">
        <v>2.0</v>
      </c>
      <c r="H111" s="9" t="s">
        <v>81</v>
      </c>
      <c r="I111" s="9" t="s">
        <v>71</v>
      </c>
      <c r="J111" s="9" t="s">
        <v>72</v>
      </c>
      <c r="K111" s="9" t="s">
        <v>84</v>
      </c>
    </row>
    <row r="112" ht="15.75" customHeight="1">
      <c r="A112" s="10">
        <v>44943.0</v>
      </c>
      <c r="B112" s="11">
        <v>5.09083953E9</v>
      </c>
      <c r="C112" s="12" t="s">
        <v>194</v>
      </c>
      <c r="D112" s="11">
        <v>4.4028802E7</v>
      </c>
      <c r="E112" s="10">
        <v>44949.0</v>
      </c>
      <c r="F112" s="9" t="s">
        <v>69</v>
      </c>
      <c r="G112" s="13">
        <v>2.0</v>
      </c>
      <c r="H112" s="9" t="s">
        <v>81</v>
      </c>
      <c r="I112" s="9" t="s">
        <v>71</v>
      </c>
      <c r="J112" s="9" t="s">
        <v>72</v>
      </c>
      <c r="K112" s="9" t="s">
        <v>84</v>
      </c>
    </row>
    <row r="113" ht="15.75" customHeight="1">
      <c r="A113" s="10">
        <v>44945.0</v>
      </c>
      <c r="B113" s="11">
        <v>2.218419965E9</v>
      </c>
      <c r="C113" s="12" t="s">
        <v>195</v>
      </c>
      <c r="D113" s="11">
        <v>3.0759788E7</v>
      </c>
      <c r="E113" s="10">
        <v>44949.0</v>
      </c>
      <c r="F113" s="9" t="s">
        <v>69</v>
      </c>
      <c r="G113" s="13">
        <v>2.0</v>
      </c>
      <c r="H113" s="9" t="s">
        <v>106</v>
      </c>
      <c r="I113" s="9" t="s">
        <v>71</v>
      </c>
      <c r="J113" s="9" t="s">
        <v>98</v>
      </c>
      <c r="K113" s="9" t="s">
        <v>84</v>
      </c>
    </row>
    <row r="114" ht="15.75" customHeight="1">
      <c r="A114" s="10">
        <v>44943.0</v>
      </c>
      <c r="B114" s="11">
        <v>4.984782025E9</v>
      </c>
      <c r="C114" s="12" t="s">
        <v>196</v>
      </c>
      <c r="D114" s="11">
        <v>6479904.0</v>
      </c>
      <c r="E114" s="10">
        <v>44950.0</v>
      </c>
      <c r="F114" s="9" t="s">
        <v>76</v>
      </c>
      <c r="G114" s="13">
        <v>2.0</v>
      </c>
      <c r="H114" s="9" t="s">
        <v>106</v>
      </c>
      <c r="I114" s="9" t="s">
        <v>71</v>
      </c>
      <c r="J114" s="9" t="s">
        <v>98</v>
      </c>
      <c r="K114" s="9" t="s">
        <v>107</v>
      </c>
    </row>
    <row r="115" ht="15.75" customHeight="1">
      <c r="A115" s="10">
        <v>44950.0</v>
      </c>
      <c r="B115" s="11">
        <v>2.960991272E9</v>
      </c>
      <c r="C115" s="12" t="s">
        <v>197</v>
      </c>
      <c r="D115" s="11">
        <v>3.7528214E7</v>
      </c>
      <c r="E115" s="10">
        <v>44950.0</v>
      </c>
      <c r="F115" s="9" t="s">
        <v>69</v>
      </c>
      <c r="G115" s="13">
        <v>2.0</v>
      </c>
      <c r="H115" s="9" t="s">
        <v>106</v>
      </c>
      <c r="I115" s="9" t="s">
        <v>71</v>
      </c>
      <c r="J115" s="9" t="s">
        <v>98</v>
      </c>
      <c r="K115" s="9" t="s">
        <v>107</v>
      </c>
    </row>
    <row r="116" ht="15.75" customHeight="1">
      <c r="A116" s="10">
        <v>44950.0</v>
      </c>
      <c r="B116" s="11">
        <v>3.188533585E9</v>
      </c>
      <c r="C116" s="12" t="s">
        <v>198</v>
      </c>
      <c r="D116" s="11">
        <v>4.0274592E7</v>
      </c>
      <c r="E116" s="10">
        <v>44950.0</v>
      </c>
      <c r="F116" s="9" t="s">
        <v>76</v>
      </c>
      <c r="G116" s="13">
        <v>3.0</v>
      </c>
      <c r="H116" s="9" t="s">
        <v>81</v>
      </c>
      <c r="I116" s="9" t="s">
        <v>71</v>
      </c>
      <c r="J116" s="9" t="s">
        <v>98</v>
      </c>
      <c r="K116" s="9" t="s">
        <v>107</v>
      </c>
    </row>
    <row r="117" ht="15.75" customHeight="1">
      <c r="A117" s="10">
        <v>44937.0</v>
      </c>
      <c r="B117" s="11">
        <v>2.440433026E9</v>
      </c>
      <c r="C117" s="12" t="s">
        <v>199</v>
      </c>
      <c r="D117" s="11">
        <v>3.3051506E7</v>
      </c>
      <c r="E117" s="10">
        <v>44951.0</v>
      </c>
      <c r="F117" s="9" t="s">
        <v>69</v>
      </c>
      <c r="G117" s="13">
        <v>3.0</v>
      </c>
      <c r="H117" s="9" t="s">
        <v>81</v>
      </c>
      <c r="I117" s="9" t="s">
        <v>71</v>
      </c>
      <c r="J117" s="9" t="s">
        <v>98</v>
      </c>
      <c r="K117" s="9" t="s">
        <v>107</v>
      </c>
    </row>
    <row r="118" ht="15.75" customHeight="1">
      <c r="A118" s="10">
        <v>44950.0</v>
      </c>
      <c r="B118" s="11">
        <v>4.492068582E9</v>
      </c>
      <c r="C118" s="12" t="s">
        <v>200</v>
      </c>
      <c r="D118" s="11">
        <v>3.6224247E7</v>
      </c>
      <c r="E118" s="10">
        <v>44951.0</v>
      </c>
      <c r="F118" s="9" t="s">
        <v>69</v>
      </c>
      <c r="G118" s="13">
        <v>4.0</v>
      </c>
      <c r="H118" s="9" t="s">
        <v>81</v>
      </c>
      <c r="I118" s="9" t="s">
        <v>71</v>
      </c>
      <c r="J118" s="9" t="s">
        <v>98</v>
      </c>
      <c r="K118" s="9" t="s">
        <v>107</v>
      </c>
    </row>
    <row r="119" ht="15.75" customHeight="1">
      <c r="A119" s="10">
        <v>44945.0</v>
      </c>
      <c r="B119" s="11">
        <v>9.855941303E9</v>
      </c>
      <c r="C119" s="12" t="s">
        <v>201</v>
      </c>
      <c r="D119" s="11">
        <v>2.3518407E7</v>
      </c>
      <c r="E119" s="10">
        <v>44952.0</v>
      </c>
      <c r="F119" s="9" t="s">
        <v>76</v>
      </c>
      <c r="G119" s="13">
        <v>2.0</v>
      </c>
      <c r="H119" s="9" t="s">
        <v>81</v>
      </c>
      <c r="I119" s="9" t="s">
        <v>71</v>
      </c>
      <c r="J119" s="9" t="s">
        <v>93</v>
      </c>
      <c r="K119" s="9" t="s">
        <v>107</v>
      </c>
    </row>
    <row r="120" ht="15.75" customHeight="1">
      <c r="A120" s="10">
        <v>44950.0</v>
      </c>
      <c r="B120" s="11">
        <v>3.407160842E9</v>
      </c>
      <c r="C120" s="12" t="s">
        <v>202</v>
      </c>
      <c r="D120" s="11">
        <v>3.5029552E7</v>
      </c>
      <c r="E120" s="10">
        <v>44956.0</v>
      </c>
      <c r="F120" s="9" t="s">
        <v>69</v>
      </c>
      <c r="G120" s="13">
        <v>2.0</v>
      </c>
      <c r="H120" s="9" t="s">
        <v>112</v>
      </c>
      <c r="I120" s="9" t="s">
        <v>71</v>
      </c>
      <c r="J120" s="9" t="s">
        <v>93</v>
      </c>
      <c r="K120" s="9" t="s">
        <v>107</v>
      </c>
    </row>
    <row r="121" ht="15.75" customHeight="1">
      <c r="A121" s="10">
        <v>44953.0</v>
      </c>
      <c r="B121" s="11">
        <v>6.331043132E9</v>
      </c>
      <c r="C121" s="12" t="s">
        <v>203</v>
      </c>
      <c r="D121" s="11">
        <v>2.7575063E7</v>
      </c>
      <c r="E121" s="10">
        <v>44956.0</v>
      </c>
      <c r="F121" s="9" t="s">
        <v>69</v>
      </c>
      <c r="G121" s="13">
        <v>1.0</v>
      </c>
      <c r="H121" s="9" t="s">
        <v>112</v>
      </c>
      <c r="I121" s="9" t="s">
        <v>71</v>
      </c>
      <c r="J121" s="9" t="s">
        <v>93</v>
      </c>
      <c r="K121" s="9" t="s">
        <v>99</v>
      </c>
    </row>
    <row r="122" ht="15.75" customHeight="1">
      <c r="A122" s="10">
        <v>44957.0</v>
      </c>
      <c r="B122" s="11">
        <v>1.300758395E9</v>
      </c>
      <c r="C122" s="12" t="s">
        <v>204</v>
      </c>
      <c r="D122" s="11">
        <v>2.9323107E7</v>
      </c>
      <c r="E122" s="10">
        <v>44958.0</v>
      </c>
      <c r="F122" s="9" t="s">
        <v>69</v>
      </c>
      <c r="G122" s="13">
        <v>1.0</v>
      </c>
      <c r="H122" s="9" t="s">
        <v>112</v>
      </c>
      <c r="I122" s="9" t="s">
        <v>71</v>
      </c>
      <c r="J122" s="9" t="s">
        <v>93</v>
      </c>
      <c r="K122" s="9" t="s">
        <v>99</v>
      </c>
    </row>
    <row r="123" ht="15.75" customHeight="1">
      <c r="A123" s="10">
        <v>44958.0</v>
      </c>
      <c r="B123" s="11">
        <v>4.967665146E9</v>
      </c>
      <c r="C123" s="12" t="s">
        <v>205</v>
      </c>
      <c r="D123" s="11">
        <v>1.4083299E7</v>
      </c>
      <c r="E123" s="10">
        <v>44958.0</v>
      </c>
      <c r="F123" s="9" t="s">
        <v>76</v>
      </c>
      <c r="G123" s="13">
        <v>1.0</v>
      </c>
      <c r="H123" s="9" t="s">
        <v>112</v>
      </c>
      <c r="I123" s="9" t="s">
        <v>71</v>
      </c>
      <c r="J123" s="9" t="s">
        <v>93</v>
      </c>
      <c r="K123" s="9" t="s">
        <v>99</v>
      </c>
    </row>
    <row r="124" ht="15.75" customHeight="1">
      <c r="A124" s="10">
        <v>44946.0</v>
      </c>
      <c r="B124" s="11">
        <v>1.278564685E9</v>
      </c>
      <c r="C124" s="12" t="s">
        <v>206</v>
      </c>
      <c r="D124" s="11">
        <v>1.6526017E7</v>
      </c>
      <c r="E124" s="10">
        <v>44959.0</v>
      </c>
      <c r="F124" s="9" t="s">
        <v>69</v>
      </c>
      <c r="G124" s="13">
        <v>1.0</v>
      </c>
      <c r="H124" s="9" t="s">
        <v>112</v>
      </c>
      <c r="I124" s="9" t="s">
        <v>71</v>
      </c>
      <c r="J124" s="9" t="s">
        <v>93</v>
      </c>
      <c r="K124" s="9" t="s">
        <v>99</v>
      </c>
    </row>
    <row r="125" ht="15.75" customHeight="1">
      <c r="A125" s="10">
        <v>44956.0</v>
      </c>
      <c r="B125" s="11">
        <v>8.91321473E9</v>
      </c>
      <c r="C125" s="12" t="s">
        <v>207</v>
      </c>
      <c r="D125" s="11">
        <v>2.2822961E7</v>
      </c>
      <c r="E125" s="10">
        <v>44959.0</v>
      </c>
      <c r="F125" s="9" t="s">
        <v>69</v>
      </c>
      <c r="G125" s="13">
        <v>1.0</v>
      </c>
      <c r="H125" s="9" t="s">
        <v>112</v>
      </c>
      <c r="I125" s="9" t="s">
        <v>71</v>
      </c>
      <c r="J125" s="9" t="s">
        <v>93</v>
      </c>
      <c r="K125" s="9" t="s">
        <v>99</v>
      </c>
    </row>
    <row r="126" ht="15.75" customHeight="1">
      <c r="A126" s="10">
        <v>44958.0</v>
      </c>
      <c r="B126" s="11">
        <v>5.014954755E9</v>
      </c>
      <c r="C126" s="12" t="s">
        <v>208</v>
      </c>
      <c r="D126" s="11">
        <v>3.4159034E7</v>
      </c>
      <c r="E126" s="10">
        <v>44960.0</v>
      </c>
      <c r="F126" s="9" t="s">
        <v>69</v>
      </c>
      <c r="G126" s="13">
        <v>1.0</v>
      </c>
      <c r="H126" s="9" t="s">
        <v>112</v>
      </c>
      <c r="I126" s="9" t="s">
        <v>71</v>
      </c>
      <c r="J126" s="9" t="s">
        <v>93</v>
      </c>
      <c r="K126" s="9" t="s">
        <v>99</v>
      </c>
    </row>
    <row r="127" ht="15.75" customHeight="1">
      <c r="A127" s="10">
        <v>44960.0</v>
      </c>
      <c r="B127" s="11">
        <v>8.459905624E9</v>
      </c>
      <c r="C127" s="12" t="s">
        <v>209</v>
      </c>
      <c r="D127" s="11">
        <v>4.3026119E7</v>
      </c>
      <c r="E127" s="10">
        <v>44960.0</v>
      </c>
      <c r="F127" s="9" t="s">
        <v>69</v>
      </c>
      <c r="G127" s="13">
        <v>2.0</v>
      </c>
      <c r="H127" s="9" t="s">
        <v>112</v>
      </c>
      <c r="I127" s="9" t="s">
        <v>71</v>
      </c>
      <c r="J127" s="9" t="s">
        <v>93</v>
      </c>
      <c r="K127" s="9" t="s">
        <v>73</v>
      </c>
    </row>
    <row r="128" ht="15.75" customHeight="1">
      <c r="A128" s="10">
        <v>44960.0</v>
      </c>
      <c r="B128" s="11">
        <v>2.330118825E9</v>
      </c>
      <c r="C128" s="12" t="s">
        <v>210</v>
      </c>
      <c r="D128" s="11">
        <v>4.0148277E7</v>
      </c>
      <c r="E128" s="10">
        <v>44960.0</v>
      </c>
      <c r="F128" s="9" t="s">
        <v>69</v>
      </c>
      <c r="G128" s="13">
        <v>2.0</v>
      </c>
      <c r="H128" s="9" t="s">
        <v>92</v>
      </c>
      <c r="I128" s="9" t="s">
        <v>71</v>
      </c>
      <c r="J128" s="9" t="s">
        <v>93</v>
      </c>
      <c r="K128" s="9" t="s">
        <v>73</v>
      </c>
    </row>
    <row r="129" ht="15.75" customHeight="1">
      <c r="A129" s="10">
        <v>44960.0</v>
      </c>
      <c r="B129" s="11">
        <v>1.128625772E9</v>
      </c>
      <c r="C129" s="12" t="s">
        <v>209</v>
      </c>
      <c r="D129" s="11">
        <v>4.3026119E7</v>
      </c>
      <c r="E129" s="10">
        <v>44960.0</v>
      </c>
      <c r="F129" s="9" t="s">
        <v>69</v>
      </c>
      <c r="G129" s="13">
        <v>2.0</v>
      </c>
      <c r="H129" s="9" t="s">
        <v>92</v>
      </c>
      <c r="I129" s="9" t="s">
        <v>71</v>
      </c>
      <c r="J129" s="9" t="s">
        <v>93</v>
      </c>
      <c r="K129" s="9" t="s">
        <v>73</v>
      </c>
    </row>
    <row r="130" ht="15.75" customHeight="1">
      <c r="A130" s="10">
        <v>44953.0</v>
      </c>
      <c r="B130" s="11">
        <v>9.629086412E9</v>
      </c>
      <c r="C130" s="12" t="s">
        <v>211</v>
      </c>
      <c r="D130" s="11">
        <v>2.7301051E7</v>
      </c>
      <c r="E130" s="10">
        <v>44963.0</v>
      </c>
      <c r="F130" s="9" t="s">
        <v>69</v>
      </c>
      <c r="G130" s="13">
        <v>2.0</v>
      </c>
      <c r="H130" s="9" t="s">
        <v>92</v>
      </c>
      <c r="I130" s="9" t="s">
        <v>71</v>
      </c>
      <c r="J130" s="9" t="s">
        <v>79</v>
      </c>
      <c r="K130" s="9" t="s">
        <v>73</v>
      </c>
    </row>
    <row r="131" ht="15.75" customHeight="1">
      <c r="A131" s="10">
        <v>44956.0</v>
      </c>
      <c r="B131" s="11">
        <v>1.394197582E9</v>
      </c>
      <c r="C131" s="12" t="s">
        <v>212</v>
      </c>
      <c r="D131" s="11">
        <v>3.5523708E7</v>
      </c>
      <c r="E131" s="10">
        <v>44963.0</v>
      </c>
      <c r="F131" s="9" t="s">
        <v>69</v>
      </c>
      <c r="G131" s="13">
        <v>3.0</v>
      </c>
      <c r="H131" s="9" t="s">
        <v>92</v>
      </c>
      <c r="I131" s="9" t="s">
        <v>71</v>
      </c>
      <c r="J131" s="9" t="s">
        <v>79</v>
      </c>
      <c r="K131" s="9" t="s">
        <v>73</v>
      </c>
    </row>
    <row r="132" ht="15.75" customHeight="1">
      <c r="A132" s="10">
        <v>44960.0</v>
      </c>
      <c r="B132" s="11">
        <v>1.128596431E9</v>
      </c>
      <c r="C132" s="12" t="s">
        <v>213</v>
      </c>
      <c r="D132" s="11">
        <v>3.821653E7</v>
      </c>
      <c r="E132" s="10">
        <v>44963.0</v>
      </c>
      <c r="F132" s="9" t="s">
        <v>76</v>
      </c>
      <c r="G132" s="13">
        <v>3.0</v>
      </c>
      <c r="H132" s="9" t="s">
        <v>116</v>
      </c>
      <c r="I132" s="9" t="s">
        <v>71</v>
      </c>
      <c r="J132" s="9" t="s">
        <v>79</v>
      </c>
      <c r="K132" s="9" t="s">
        <v>73</v>
      </c>
    </row>
    <row r="133" ht="15.75" customHeight="1">
      <c r="A133" s="10">
        <v>44960.0</v>
      </c>
      <c r="B133" s="11">
        <v>2.200978485E9</v>
      </c>
      <c r="C133" s="12" t="s">
        <v>214</v>
      </c>
      <c r="D133" s="11">
        <v>3.9972889E7</v>
      </c>
      <c r="E133" s="10">
        <v>44963.0</v>
      </c>
      <c r="F133" s="9" t="s">
        <v>69</v>
      </c>
      <c r="G133" s="13">
        <v>1.0</v>
      </c>
      <c r="H133" s="9" t="s">
        <v>116</v>
      </c>
      <c r="I133" s="9" t="s">
        <v>71</v>
      </c>
      <c r="J133" s="9" t="s">
        <v>79</v>
      </c>
      <c r="K133" s="9" t="s">
        <v>73</v>
      </c>
    </row>
    <row r="134" ht="15.75" customHeight="1">
      <c r="A134" s="10">
        <v>44963.0</v>
      </c>
      <c r="B134" s="11">
        <v>8.910535852E9</v>
      </c>
      <c r="C134" s="12" t="s">
        <v>215</v>
      </c>
      <c r="D134" s="11">
        <v>3.7096672E7</v>
      </c>
      <c r="E134" s="10">
        <v>44964.0</v>
      </c>
      <c r="F134" s="9" t="s">
        <v>69</v>
      </c>
      <c r="G134" s="13">
        <v>2.0</v>
      </c>
      <c r="H134" s="9" t="s">
        <v>116</v>
      </c>
      <c r="I134" s="9" t="s">
        <v>88</v>
      </c>
      <c r="J134" s="9" t="s">
        <v>79</v>
      </c>
      <c r="K134" s="9" t="s">
        <v>73</v>
      </c>
    </row>
    <row r="135" ht="15.75" customHeight="1">
      <c r="A135" s="10">
        <v>44952.0</v>
      </c>
      <c r="B135" s="11">
        <v>2.616911555E9</v>
      </c>
      <c r="C135" s="12" t="s">
        <v>216</v>
      </c>
      <c r="D135" s="11">
        <v>2.9599294E7</v>
      </c>
      <c r="E135" s="10">
        <v>44965.0</v>
      </c>
      <c r="F135" s="9" t="s">
        <v>69</v>
      </c>
      <c r="G135" s="13">
        <v>2.0</v>
      </c>
      <c r="H135" s="9" t="s">
        <v>116</v>
      </c>
      <c r="I135" s="9" t="s">
        <v>88</v>
      </c>
      <c r="J135" s="9" t="s">
        <v>79</v>
      </c>
      <c r="K135" s="9" t="s">
        <v>217</v>
      </c>
    </row>
    <row r="136" ht="15.75" customHeight="1">
      <c r="A136" s="10">
        <v>44953.0</v>
      </c>
      <c r="B136" s="11">
        <v>6.33102519E9</v>
      </c>
      <c r="C136" s="12" t="s">
        <v>216</v>
      </c>
      <c r="D136" s="11">
        <v>2.9599294E7</v>
      </c>
      <c r="E136" s="10">
        <v>44965.0</v>
      </c>
      <c r="F136" s="9" t="s">
        <v>69</v>
      </c>
      <c r="G136" s="13">
        <v>3.0</v>
      </c>
      <c r="H136" s="9" t="s">
        <v>116</v>
      </c>
      <c r="I136" s="9" t="s">
        <v>88</v>
      </c>
      <c r="J136" s="9" t="s">
        <v>79</v>
      </c>
      <c r="K136" s="9" t="s">
        <v>217</v>
      </c>
    </row>
    <row r="137" ht="15.75" customHeight="1">
      <c r="A137" s="10">
        <v>44953.0</v>
      </c>
      <c r="B137" s="11">
        <v>6.324796203E9</v>
      </c>
      <c r="C137" s="12" t="s">
        <v>216</v>
      </c>
      <c r="D137" s="11">
        <v>2.9599294E7</v>
      </c>
      <c r="E137" s="10">
        <v>44965.0</v>
      </c>
      <c r="F137" s="9" t="s">
        <v>69</v>
      </c>
      <c r="G137" s="13">
        <v>3.0</v>
      </c>
      <c r="H137" s="9" t="s">
        <v>116</v>
      </c>
      <c r="I137" s="9" t="s">
        <v>88</v>
      </c>
      <c r="J137" s="9" t="s">
        <v>79</v>
      </c>
      <c r="K137" s="9" t="s">
        <v>217</v>
      </c>
    </row>
    <row r="138" ht="15.75" customHeight="1">
      <c r="A138" s="10">
        <v>44960.0</v>
      </c>
      <c r="B138" s="11">
        <v>8.459840406E9</v>
      </c>
      <c r="C138" s="12" t="s">
        <v>218</v>
      </c>
      <c r="D138" s="11">
        <v>3.5518145E7</v>
      </c>
      <c r="E138" s="10">
        <v>44967.0</v>
      </c>
      <c r="F138" s="9" t="s">
        <v>69</v>
      </c>
      <c r="G138" s="13">
        <v>3.0</v>
      </c>
      <c r="H138" s="9" t="s">
        <v>116</v>
      </c>
      <c r="I138" s="9" t="s">
        <v>88</v>
      </c>
      <c r="J138" s="9" t="s">
        <v>79</v>
      </c>
      <c r="K138" s="9" t="s">
        <v>73</v>
      </c>
    </row>
    <row r="139" ht="15.75" customHeight="1">
      <c r="A139" s="10">
        <v>44970.0</v>
      </c>
      <c r="B139" s="11">
        <v>1.80588982E9</v>
      </c>
      <c r="C139" s="12" t="s">
        <v>219</v>
      </c>
      <c r="D139" s="11">
        <v>3.6584299E7</v>
      </c>
      <c r="E139" s="10">
        <v>44970.0</v>
      </c>
      <c r="F139" s="9" t="s">
        <v>69</v>
      </c>
      <c r="G139" s="13">
        <v>3.0</v>
      </c>
      <c r="H139" s="9" t="s">
        <v>116</v>
      </c>
      <c r="I139" s="9" t="s">
        <v>88</v>
      </c>
      <c r="J139" s="9" t="s">
        <v>79</v>
      </c>
      <c r="K139" s="9" t="s">
        <v>73</v>
      </c>
    </row>
    <row r="140" ht="15.75" customHeight="1">
      <c r="A140" s="10">
        <v>44971.0</v>
      </c>
      <c r="B140" s="11">
        <v>3.095450374E9</v>
      </c>
      <c r="C140" s="12" t="s">
        <v>220</v>
      </c>
      <c r="D140" s="11">
        <v>3.6983889E7</v>
      </c>
      <c r="E140" s="10">
        <v>44971.0</v>
      </c>
      <c r="F140" s="9" t="s">
        <v>69</v>
      </c>
      <c r="G140" s="13">
        <v>2.0</v>
      </c>
      <c r="H140" s="9" t="s">
        <v>116</v>
      </c>
      <c r="I140" s="9" t="s">
        <v>88</v>
      </c>
      <c r="J140" s="9" t="s">
        <v>79</v>
      </c>
      <c r="K140" s="9" t="s">
        <v>73</v>
      </c>
    </row>
    <row r="141" ht="15.75" customHeight="1">
      <c r="A141" s="10">
        <v>45042.0</v>
      </c>
      <c r="B141" s="11">
        <v>4.958089474E9</v>
      </c>
      <c r="C141" s="12" t="s">
        <v>221</v>
      </c>
      <c r="D141" s="11">
        <v>1.2622702E7</v>
      </c>
      <c r="E141" s="10">
        <v>44974.0</v>
      </c>
      <c r="F141" s="9" t="s">
        <v>76</v>
      </c>
      <c r="G141" s="13">
        <v>1.0</v>
      </c>
      <c r="H141" s="9" t="s">
        <v>116</v>
      </c>
      <c r="I141" s="9" t="s">
        <v>88</v>
      </c>
      <c r="J141" s="9" t="s">
        <v>83</v>
      </c>
      <c r="K141" s="9" t="s">
        <v>73</v>
      </c>
    </row>
    <row r="142" ht="15.75" customHeight="1">
      <c r="A142" s="10">
        <v>44960.0</v>
      </c>
      <c r="B142" s="11">
        <v>1.290405981E9</v>
      </c>
      <c r="C142" s="12" t="s">
        <v>222</v>
      </c>
      <c r="D142" s="11">
        <v>1.260722E7</v>
      </c>
      <c r="E142" s="10">
        <v>44979.0</v>
      </c>
      <c r="F142" s="9" t="s">
        <v>69</v>
      </c>
      <c r="G142" s="13">
        <v>1.0</v>
      </c>
      <c r="H142" s="9" t="s">
        <v>116</v>
      </c>
      <c r="I142" s="9" t="s">
        <v>88</v>
      </c>
      <c r="J142" s="9" t="s">
        <v>83</v>
      </c>
      <c r="K142" s="9" t="s">
        <v>73</v>
      </c>
    </row>
    <row r="143" ht="15.75" customHeight="1">
      <c r="A143" s="10">
        <v>44970.0</v>
      </c>
      <c r="B143" s="11">
        <v>4.936512766E9</v>
      </c>
      <c r="C143" s="12" t="s">
        <v>223</v>
      </c>
      <c r="D143" s="11">
        <v>2.0285442E7</v>
      </c>
      <c r="E143" s="10">
        <v>44979.0</v>
      </c>
      <c r="F143" s="9" t="s">
        <v>69</v>
      </c>
      <c r="G143" s="13">
        <v>2.0</v>
      </c>
      <c r="H143" s="9" t="s">
        <v>116</v>
      </c>
      <c r="I143" s="9" t="s">
        <v>88</v>
      </c>
      <c r="J143" s="9" t="s">
        <v>72</v>
      </c>
      <c r="K143" s="9" t="s">
        <v>90</v>
      </c>
    </row>
    <row r="144" ht="15.75" customHeight="1">
      <c r="A144" s="10">
        <v>44971.0</v>
      </c>
      <c r="B144" s="11">
        <v>3.095294462E9</v>
      </c>
      <c r="C144" s="12" t="s">
        <v>224</v>
      </c>
      <c r="D144" s="11">
        <v>2.241434E7</v>
      </c>
      <c r="E144" s="10">
        <v>44979.0</v>
      </c>
      <c r="F144" s="9" t="s">
        <v>76</v>
      </c>
      <c r="G144" s="13">
        <v>3.0</v>
      </c>
      <c r="H144" s="9" t="s">
        <v>116</v>
      </c>
      <c r="I144" s="9" t="s">
        <v>77</v>
      </c>
      <c r="J144" s="9" t="s">
        <v>72</v>
      </c>
      <c r="K144" s="9" t="s">
        <v>90</v>
      </c>
    </row>
    <row r="145" ht="15.75" customHeight="1">
      <c r="A145" s="10">
        <v>44974.0</v>
      </c>
      <c r="B145" s="11">
        <v>1.414790462E9</v>
      </c>
      <c r="C145" s="12" t="s">
        <v>225</v>
      </c>
      <c r="D145" s="11">
        <v>1.6458853E7</v>
      </c>
      <c r="E145" s="10">
        <v>44979.0</v>
      </c>
      <c r="F145" s="9" t="s">
        <v>69</v>
      </c>
      <c r="G145" s="13">
        <v>2.0</v>
      </c>
      <c r="H145" s="9" t="s">
        <v>116</v>
      </c>
      <c r="I145" s="9" t="s">
        <v>77</v>
      </c>
      <c r="J145" s="9" t="s">
        <v>72</v>
      </c>
      <c r="K145" s="9" t="s">
        <v>90</v>
      </c>
    </row>
    <row r="146" ht="15.75" customHeight="1">
      <c r="A146" s="10">
        <v>44974.0</v>
      </c>
      <c r="B146" s="11">
        <v>6.42653928E9</v>
      </c>
      <c r="C146" s="12" t="s">
        <v>226</v>
      </c>
      <c r="D146" s="11">
        <v>3.2144055E7</v>
      </c>
      <c r="E146" s="10">
        <v>44979.0</v>
      </c>
      <c r="F146" s="9" t="s">
        <v>69</v>
      </c>
      <c r="G146" s="13">
        <v>1.0</v>
      </c>
      <c r="H146" s="9" t="s">
        <v>116</v>
      </c>
      <c r="I146" s="9" t="s">
        <v>77</v>
      </c>
      <c r="J146" s="9" t="s">
        <v>72</v>
      </c>
      <c r="K146" s="9" t="s">
        <v>90</v>
      </c>
    </row>
    <row r="147" ht="15.75" customHeight="1">
      <c r="A147" s="10">
        <v>44970.0</v>
      </c>
      <c r="B147" s="11">
        <v>4.561387364E9</v>
      </c>
      <c r="C147" s="12" t="s">
        <v>227</v>
      </c>
      <c r="D147" s="11">
        <v>2.5958479E7</v>
      </c>
      <c r="E147" s="10">
        <v>44980.0</v>
      </c>
      <c r="F147" s="9" t="s">
        <v>76</v>
      </c>
      <c r="G147" s="13">
        <v>1.0</v>
      </c>
      <c r="H147" s="9" t="s">
        <v>116</v>
      </c>
      <c r="I147" s="9" t="s">
        <v>77</v>
      </c>
      <c r="J147" s="9" t="s">
        <v>72</v>
      </c>
      <c r="K147" s="9" t="s">
        <v>90</v>
      </c>
    </row>
    <row r="148" ht="15.75" customHeight="1">
      <c r="A148" s="10">
        <v>44972.0</v>
      </c>
      <c r="B148" s="11">
        <v>8.087134053E9</v>
      </c>
      <c r="C148" s="12" t="s">
        <v>228</v>
      </c>
      <c r="D148" s="11">
        <v>4.0533986E7</v>
      </c>
      <c r="E148" s="10">
        <v>44980.0</v>
      </c>
      <c r="F148" s="9" t="s">
        <v>69</v>
      </c>
      <c r="G148" s="13">
        <v>1.0</v>
      </c>
      <c r="H148" s="9" t="s">
        <v>116</v>
      </c>
      <c r="I148" s="9" t="s">
        <v>77</v>
      </c>
      <c r="J148" s="9" t="s">
        <v>72</v>
      </c>
      <c r="K148" s="9" t="s">
        <v>90</v>
      </c>
    </row>
    <row r="149" ht="15.75" customHeight="1">
      <c r="A149" s="10">
        <v>44972.0</v>
      </c>
      <c r="B149" s="11">
        <v>8.087146701E9</v>
      </c>
      <c r="C149" s="12" t="s">
        <v>229</v>
      </c>
      <c r="D149" s="11">
        <v>2.2664332E7</v>
      </c>
      <c r="E149" s="10">
        <v>44980.0</v>
      </c>
      <c r="F149" s="9" t="s">
        <v>69</v>
      </c>
      <c r="G149" s="13">
        <v>2.0</v>
      </c>
      <c r="H149" s="9" t="s">
        <v>116</v>
      </c>
      <c r="I149" s="9" t="s">
        <v>88</v>
      </c>
      <c r="J149" s="9" t="s">
        <v>72</v>
      </c>
      <c r="K149" s="9" t="s">
        <v>90</v>
      </c>
    </row>
    <row r="150" ht="15.75" customHeight="1">
      <c r="A150" s="10">
        <v>44973.0</v>
      </c>
      <c r="B150" s="11">
        <v>5.738105365E9</v>
      </c>
      <c r="C150" s="12" t="s">
        <v>229</v>
      </c>
      <c r="D150" s="11">
        <v>2.2664332E7</v>
      </c>
      <c r="E150" s="10">
        <v>44980.0</v>
      </c>
      <c r="F150" s="9" t="s">
        <v>69</v>
      </c>
      <c r="G150" s="13">
        <v>2.0</v>
      </c>
      <c r="H150" s="9" t="s">
        <v>116</v>
      </c>
      <c r="I150" s="9" t="s">
        <v>88</v>
      </c>
      <c r="J150" s="9" t="s">
        <v>79</v>
      </c>
      <c r="K150" s="9" t="s">
        <v>90</v>
      </c>
    </row>
    <row r="151" ht="15.75" customHeight="1">
      <c r="A151" s="10">
        <v>44973.0</v>
      </c>
      <c r="B151" s="11">
        <v>7.07913689E9</v>
      </c>
      <c r="C151" s="12" t="s">
        <v>229</v>
      </c>
      <c r="D151" s="11">
        <v>2.2664332E7</v>
      </c>
      <c r="E151" s="10">
        <v>44980.0</v>
      </c>
      <c r="F151" s="9" t="s">
        <v>69</v>
      </c>
      <c r="G151" s="13">
        <v>3.0</v>
      </c>
      <c r="H151" s="9" t="s">
        <v>70</v>
      </c>
      <c r="I151" s="9" t="s">
        <v>88</v>
      </c>
      <c r="J151" s="9" t="s">
        <v>79</v>
      </c>
      <c r="K151" s="9" t="s">
        <v>90</v>
      </c>
    </row>
    <row r="152" ht="15.75" customHeight="1">
      <c r="A152" s="10">
        <v>44979.0</v>
      </c>
      <c r="B152" s="11">
        <v>3.243359895E9</v>
      </c>
      <c r="C152" s="12" t="s">
        <v>230</v>
      </c>
      <c r="D152" s="11">
        <v>4.322717E7</v>
      </c>
      <c r="E152" s="10">
        <v>44980.0</v>
      </c>
      <c r="F152" s="9" t="s">
        <v>69</v>
      </c>
      <c r="G152" s="13">
        <v>3.0</v>
      </c>
      <c r="H152" s="9" t="s">
        <v>70</v>
      </c>
      <c r="I152" s="9" t="s">
        <v>88</v>
      </c>
      <c r="J152" s="9" t="s">
        <v>79</v>
      </c>
      <c r="K152" s="9" t="s">
        <v>90</v>
      </c>
    </row>
    <row r="153" ht="15.75" customHeight="1">
      <c r="A153" s="10">
        <v>44980.0</v>
      </c>
      <c r="B153" s="11">
        <v>4.090829805E9</v>
      </c>
      <c r="C153" s="12" t="s">
        <v>231</v>
      </c>
      <c r="D153" s="11">
        <v>1.8506833E7</v>
      </c>
      <c r="E153" s="10">
        <v>44981.0</v>
      </c>
      <c r="F153" s="9" t="s">
        <v>69</v>
      </c>
      <c r="G153" s="13">
        <v>3.0</v>
      </c>
      <c r="H153" s="9" t="s">
        <v>70</v>
      </c>
      <c r="I153" s="9" t="s">
        <v>77</v>
      </c>
      <c r="J153" s="9" t="s">
        <v>79</v>
      </c>
      <c r="K153" s="9" t="s">
        <v>90</v>
      </c>
    </row>
    <row r="154" ht="15.75" customHeight="1">
      <c r="A154" s="10">
        <v>44970.0</v>
      </c>
      <c r="B154" s="11">
        <v>8.343811965E9</v>
      </c>
      <c r="C154" s="12" t="s">
        <v>232</v>
      </c>
      <c r="D154" s="11">
        <v>3.2460461E7</v>
      </c>
      <c r="E154" s="10">
        <v>44984.0</v>
      </c>
      <c r="F154" s="9" t="s">
        <v>69</v>
      </c>
      <c r="G154" s="13">
        <v>3.0</v>
      </c>
      <c r="H154" s="9" t="s">
        <v>70</v>
      </c>
      <c r="I154" s="9" t="s">
        <v>77</v>
      </c>
      <c r="J154" s="9" t="s">
        <v>93</v>
      </c>
      <c r="K154" s="9" t="s">
        <v>90</v>
      </c>
    </row>
    <row r="155" ht="15.75" customHeight="1">
      <c r="A155" s="10">
        <v>44980.0</v>
      </c>
      <c r="B155" s="11">
        <v>1.216497391E9</v>
      </c>
      <c r="C155" s="12" t="s">
        <v>233</v>
      </c>
      <c r="D155" s="11">
        <v>3.8249445E7</v>
      </c>
      <c r="E155" s="10">
        <v>44984.0</v>
      </c>
      <c r="F155" s="9" t="s">
        <v>69</v>
      </c>
      <c r="G155" s="13">
        <v>3.0</v>
      </c>
      <c r="H155" s="9" t="s">
        <v>70</v>
      </c>
      <c r="I155" s="9" t="s">
        <v>77</v>
      </c>
      <c r="J155" s="9" t="s">
        <v>93</v>
      </c>
      <c r="K155" s="9" t="s">
        <v>90</v>
      </c>
    </row>
    <row r="156" ht="15.75" customHeight="1">
      <c r="A156" s="10">
        <v>44984.0</v>
      </c>
      <c r="B156" s="11">
        <v>4.210819852E9</v>
      </c>
      <c r="C156" s="12" t="s">
        <v>234</v>
      </c>
      <c r="D156" s="11">
        <v>4.527434E7</v>
      </c>
      <c r="E156" s="10">
        <v>44984.0</v>
      </c>
      <c r="F156" s="9" t="s">
        <v>69</v>
      </c>
      <c r="G156" s="13">
        <v>1.0</v>
      </c>
      <c r="H156" s="9" t="s">
        <v>70</v>
      </c>
      <c r="I156" s="9" t="s">
        <v>77</v>
      </c>
      <c r="J156" s="9" t="s">
        <v>93</v>
      </c>
      <c r="K156" s="9" t="s">
        <v>90</v>
      </c>
    </row>
    <row r="157" ht="15.75" customHeight="1">
      <c r="A157" s="10">
        <v>44984.0</v>
      </c>
      <c r="B157" s="11">
        <v>4.609606282E9</v>
      </c>
      <c r="C157" s="12" t="s">
        <v>235</v>
      </c>
      <c r="D157" s="11">
        <v>4.2008664E7</v>
      </c>
      <c r="E157" s="10">
        <v>44984.0</v>
      </c>
      <c r="F157" s="9" t="s">
        <v>76</v>
      </c>
      <c r="G157" s="13">
        <v>1.0</v>
      </c>
      <c r="H157" s="9" t="s">
        <v>92</v>
      </c>
      <c r="I157" s="9" t="s">
        <v>77</v>
      </c>
      <c r="J157" s="9" t="s">
        <v>93</v>
      </c>
      <c r="K157" s="9" t="s">
        <v>217</v>
      </c>
    </row>
    <row r="158" ht="15.75" customHeight="1">
      <c r="A158" s="10">
        <v>44985.0</v>
      </c>
      <c r="B158" s="11">
        <v>2.804248381E9</v>
      </c>
      <c r="C158" s="12" t="s">
        <v>236</v>
      </c>
      <c r="D158" s="11">
        <v>2.9433654E7</v>
      </c>
      <c r="E158" s="10">
        <v>44985.0</v>
      </c>
      <c r="F158" s="9" t="s">
        <v>76</v>
      </c>
      <c r="G158" s="13">
        <v>1.0</v>
      </c>
      <c r="H158" s="9" t="s">
        <v>92</v>
      </c>
      <c r="I158" s="9" t="s">
        <v>77</v>
      </c>
      <c r="J158" s="9" t="s">
        <v>93</v>
      </c>
      <c r="K158" s="9" t="s">
        <v>217</v>
      </c>
    </row>
    <row r="159" ht="15.75" customHeight="1">
      <c r="A159" s="10">
        <v>44979.0</v>
      </c>
      <c r="B159" s="11">
        <v>6.063147543E9</v>
      </c>
      <c r="C159" s="12" t="s">
        <v>237</v>
      </c>
      <c r="D159" s="11">
        <v>3.9142232E7</v>
      </c>
      <c r="E159" s="10">
        <v>44986.0</v>
      </c>
      <c r="F159" s="9" t="s">
        <v>76</v>
      </c>
      <c r="G159" s="13">
        <v>2.0</v>
      </c>
      <c r="H159" s="9" t="s">
        <v>92</v>
      </c>
      <c r="I159" s="9" t="s">
        <v>77</v>
      </c>
      <c r="J159" s="9" t="s">
        <v>93</v>
      </c>
      <c r="K159" s="9" t="s">
        <v>73</v>
      </c>
    </row>
    <row r="160" ht="15.75" customHeight="1">
      <c r="A160" s="10">
        <v>44980.0</v>
      </c>
      <c r="B160" s="11">
        <v>6.838434761E9</v>
      </c>
      <c r="C160" s="12" t="s">
        <v>237</v>
      </c>
      <c r="D160" s="11">
        <v>3.9142232E7</v>
      </c>
      <c r="E160" s="10">
        <v>44986.0</v>
      </c>
      <c r="F160" s="9" t="s">
        <v>76</v>
      </c>
      <c r="G160" s="13">
        <v>2.0</v>
      </c>
      <c r="H160" s="9" t="s">
        <v>92</v>
      </c>
      <c r="I160" s="9" t="s">
        <v>77</v>
      </c>
      <c r="J160" s="9" t="s">
        <v>98</v>
      </c>
      <c r="K160" s="9" t="s">
        <v>73</v>
      </c>
    </row>
    <row r="161" ht="15.75" customHeight="1">
      <c r="A161" s="10">
        <v>44984.0</v>
      </c>
      <c r="B161" s="11">
        <v>5.567814836E9</v>
      </c>
      <c r="C161" s="12" t="s">
        <v>238</v>
      </c>
      <c r="D161" s="11">
        <v>1.693476E7</v>
      </c>
      <c r="E161" s="10">
        <v>44986.0</v>
      </c>
      <c r="F161" s="9" t="s">
        <v>76</v>
      </c>
      <c r="G161" s="13">
        <v>3.0</v>
      </c>
      <c r="H161" s="9" t="s">
        <v>92</v>
      </c>
      <c r="I161" s="9" t="s">
        <v>77</v>
      </c>
      <c r="J161" s="9" t="s">
        <v>98</v>
      </c>
      <c r="K161" s="9" t="s">
        <v>73</v>
      </c>
    </row>
    <row r="162" ht="15.75" customHeight="1">
      <c r="A162" s="10">
        <v>44985.0</v>
      </c>
      <c r="B162" s="11">
        <v>3.20751207E9</v>
      </c>
      <c r="C162" s="12" t="s">
        <v>239</v>
      </c>
      <c r="D162" s="11">
        <v>2.1682924E7</v>
      </c>
      <c r="E162" s="10">
        <v>44987.0</v>
      </c>
      <c r="F162" s="9" t="s">
        <v>76</v>
      </c>
      <c r="G162" s="13">
        <v>2.0</v>
      </c>
      <c r="H162" s="9" t="s">
        <v>92</v>
      </c>
      <c r="I162" s="9" t="s">
        <v>77</v>
      </c>
      <c r="J162" s="9" t="s">
        <v>98</v>
      </c>
      <c r="K162" s="9" t="s">
        <v>73</v>
      </c>
    </row>
    <row r="163" ht="15.75" customHeight="1">
      <c r="A163" s="10">
        <v>44988.0</v>
      </c>
      <c r="B163" s="11">
        <v>4.904506294E9</v>
      </c>
      <c r="C163" s="12" t="s">
        <v>240</v>
      </c>
      <c r="D163" s="11">
        <v>3.5921658E7</v>
      </c>
      <c r="E163" s="10">
        <v>44988.0</v>
      </c>
      <c r="F163" s="9" t="s">
        <v>76</v>
      </c>
      <c r="G163" s="13">
        <v>2.0</v>
      </c>
      <c r="H163" s="9" t="s">
        <v>92</v>
      </c>
      <c r="I163" s="9" t="s">
        <v>77</v>
      </c>
      <c r="J163" s="9" t="s">
        <v>98</v>
      </c>
      <c r="K163" s="9" t="s">
        <v>107</v>
      </c>
    </row>
    <row r="164" ht="15.75" customHeight="1">
      <c r="A164" s="10">
        <v>44972.0</v>
      </c>
      <c r="B164" s="11">
        <v>4.601480251E9</v>
      </c>
      <c r="C164" s="12" t="s">
        <v>241</v>
      </c>
      <c r="D164" s="11">
        <v>3.1030538E7</v>
      </c>
      <c r="E164" s="10">
        <v>44991.0</v>
      </c>
      <c r="F164" s="9" t="s">
        <v>69</v>
      </c>
      <c r="G164" s="13">
        <v>2.0</v>
      </c>
      <c r="H164" s="9" t="s">
        <v>70</v>
      </c>
      <c r="I164" s="9" t="s">
        <v>77</v>
      </c>
      <c r="J164" s="9" t="s">
        <v>98</v>
      </c>
      <c r="K164" s="9" t="s">
        <v>107</v>
      </c>
    </row>
    <row r="165" ht="15.75" customHeight="1">
      <c r="A165" s="10">
        <v>44986.0</v>
      </c>
      <c r="B165" s="11">
        <v>6.662259402E9</v>
      </c>
      <c r="C165" s="12" t="s">
        <v>242</v>
      </c>
      <c r="D165" s="11">
        <v>3.3817484E7</v>
      </c>
      <c r="E165" s="10">
        <v>44991.0</v>
      </c>
      <c r="F165" s="9" t="s">
        <v>69</v>
      </c>
      <c r="G165" s="13">
        <v>2.0</v>
      </c>
      <c r="H165" s="9" t="s">
        <v>70</v>
      </c>
      <c r="I165" s="9" t="s">
        <v>77</v>
      </c>
      <c r="J165" s="9" t="s">
        <v>98</v>
      </c>
      <c r="K165" s="9" t="s">
        <v>107</v>
      </c>
    </row>
    <row r="166" ht="15.75" customHeight="1">
      <c r="A166" s="10">
        <v>44987.0</v>
      </c>
      <c r="B166" s="11">
        <v>6.399409634E9</v>
      </c>
      <c r="C166" s="12" t="s">
        <v>243</v>
      </c>
      <c r="D166" s="11">
        <v>3.9138909E7</v>
      </c>
      <c r="E166" s="10">
        <v>44991.0</v>
      </c>
      <c r="F166" s="9" t="s">
        <v>69</v>
      </c>
      <c r="G166" s="13">
        <v>2.0</v>
      </c>
      <c r="H166" s="9" t="s">
        <v>70</v>
      </c>
      <c r="I166" s="9" t="s">
        <v>77</v>
      </c>
      <c r="J166" s="9" t="s">
        <v>98</v>
      </c>
      <c r="K166" s="9" t="s">
        <v>107</v>
      </c>
    </row>
    <row r="167" ht="15.75" customHeight="1">
      <c r="A167" s="10">
        <v>44987.0</v>
      </c>
      <c r="B167" s="11">
        <v>6.399408886E9</v>
      </c>
      <c r="C167" s="12" t="s">
        <v>243</v>
      </c>
      <c r="D167" s="11">
        <v>3.9138909E7</v>
      </c>
      <c r="E167" s="10">
        <v>44991.0</v>
      </c>
      <c r="F167" s="9" t="s">
        <v>69</v>
      </c>
      <c r="G167" s="13">
        <v>2.0</v>
      </c>
      <c r="H167" s="9" t="s">
        <v>70</v>
      </c>
      <c r="I167" s="9" t="s">
        <v>77</v>
      </c>
      <c r="J167" s="9" t="s">
        <v>98</v>
      </c>
      <c r="K167" s="9" t="s">
        <v>103</v>
      </c>
    </row>
    <row r="168" ht="15.75" customHeight="1">
      <c r="A168" s="10">
        <v>44991.0</v>
      </c>
      <c r="B168" s="11">
        <v>1.448927255E9</v>
      </c>
      <c r="C168" s="12" t="s">
        <v>244</v>
      </c>
      <c r="D168" s="11">
        <v>3.5807355E7</v>
      </c>
      <c r="E168" s="10">
        <v>44991.0</v>
      </c>
      <c r="F168" s="9" t="s">
        <v>76</v>
      </c>
      <c r="G168" s="13">
        <v>1.0</v>
      </c>
      <c r="H168" s="9" t="s">
        <v>70</v>
      </c>
      <c r="I168" s="9" t="s">
        <v>77</v>
      </c>
      <c r="J168" s="9" t="s">
        <v>98</v>
      </c>
      <c r="K168" s="9" t="s">
        <v>103</v>
      </c>
    </row>
    <row r="169" ht="15.75" customHeight="1">
      <c r="A169" s="10">
        <v>44986.0</v>
      </c>
      <c r="B169" s="11">
        <v>4.790378434E9</v>
      </c>
      <c r="C169" s="12" t="s">
        <v>245</v>
      </c>
      <c r="D169" s="11"/>
      <c r="E169" s="10">
        <v>44992.0</v>
      </c>
      <c r="F169" s="9" t="s">
        <v>69</v>
      </c>
      <c r="G169" s="13">
        <v>1.0</v>
      </c>
      <c r="H169" s="9" t="s">
        <v>70</v>
      </c>
      <c r="I169" s="9" t="s">
        <v>77</v>
      </c>
      <c r="J169" s="9" t="s">
        <v>79</v>
      </c>
      <c r="K169" s="9" t="s">
        <v>103</v>
      </c>
    </row>
    <row r="170" ht="15.75" customHeight="1">
      <c r="A170" s="10">
        <v>44987.0</v>
      </c>
      <c r="B170" s="11">
        <v>1.4489643E9</v>
      </c>
      <c r="C170" s="12" t="s">
        <v>246</v>
      </c>
      <c r="D170" s="11">
        <v>2.9786187E7</v>
      </c>
      <c r="E170" s="10">
        <v>44992.0</v>
      </c>
      <c r="F170" s="9" t="s">
        <v>69</v>
      </c>
      <c r="G170" s="13">
        <v>2.0</v>
      </c>
      <c r="H170" s="9" t="s">
        <v>70</v>
      </c>
      <c r="I170" s="9" t="s">
        <v>77</v>
      </c>
      <c r="J170" s="9" t="s">
        <v>79</v>
      </c>
      <c r="K170" s="9" t="s">
        <v>103</v>
      </c>
    </row>
    <row r="171" ht="15.75" customHeight="1">
      <c r="A171" s="10">
        <v>44992.0</v>
      </c>
      <c r="B171" s="11">
        <v>3.007630124E9</v>
      </c>
      <c r="C171" s="12" t="s">
        <v>247</v>
      </c>
      <c r="D171" s="11">
        <v>4.4638315E7</v>
      </c>
      <c r="E171" s="10">
        <v>44993.0</v>
      </c>
      <c r="F171" s="9" t="s">
        <v>76</v>
      </c>
      <c r="G171" s="13">
        <v>2.0</v>
      </c>
      <c r="H171" s="9" t="s">
        <v>70</v>
      </c>
      <c r="I171" s="9" t="s">
        <v>77</v>
      </c>
      <c r="J171" s="9" t="s">
        <v>79</v>
      </c>
      <c r="K171" s="9" t="s">
        <v>73</v>
      </c>
    </row>
    <row r="172" ht="15.75" customHeight="1">
      <c r="A172" s="10">
        <v>44985.0</v>
      </c>
      <c r="B172" s="11">
        <v>1.955771252E9</v>
      </c>
      <c r="C172" s="12" t="s">
        <v>248</v>
      </c>
      <c r="D172" s="11">
        <v>3.4133306E7</v>
      </c>
      <c r="E172" s="10">
        <v>44994.0</v>
      </c>
      <c r="F172" s="9" t="s">
        <v>69</v>
      </c>
      <c r="G172" s="13">
        <v>5.0</v>
      </c>
      <c r="H172" s="9" t="s">
        <v>70</v>
      </c>
      <c r="I172" s="9" t="s">
        <v>77</v>
      </c>
      <c r="J172" s="9" t="s">
        <v>79</v>
      </c>
      <c r="K172" s="9" t="s">
        <v>73</v>
      </c>
    </row>
    <row r="173" ht="15.75" customHeight="1">
      <c r="A173" s="10">
        <v>44992.0</v>
      </c>
      <c r="B173" s="11">
        <v>1.05799827E9</v>
      </c>
      <c r="C173" s="12" t="s">
        <v>249</v>
      </c>
      <c r="D173" s="11">
        <v>3.3971334E7</v>
      </c>
      <c r="E173" s="10">
        <v>44994.0</v>
      </c>
      <c r="F173" s="9" t="s">
        <v>69</v>
      </c>
      <c r="G173" s="13">
        <v>5.0</v>
      </c>
      <c r="H173" s="9" t="s">
        <v>70</v>
      </c>
      <c r="I173" s="9" t="s">
        <v>77</v>
      </c>
      <c r="J173" s="9" t="s">
        <v>79</v>
      </c>
      <c r="K173" s="9" t="s">
        <v>73</v>
      </c>
    </row>
    <row r="174" ht="15.75" customHeight="1">
      <c r="A174" s="10">
        <v>44992.0</v>
      </c>
      <c r="B174" s="11">
        <v>7.096738062E9</v>
      </c>
      <c r="C174" s="12" t="s">
        <v>250</v>
      </c>
      <c r="D174" s="11">
        <v>4.200724E7</v>
      </c>
      <c r="E174" s="10">
        <v>44995.0</v>
      </c>
      <c r="F174" s="9" t="s">
        <v>69</v>
      </c>
      <c r="G174" s="13">
        <v>4.0</v>
      </c>
      <c r="H174" s="9" t="s">
        <v>70</v>
      </c>
      <c r="I174" s="9" t="s">
        <v>77</v>
      </c>
      <c r="J174" s="9" t="s">
        <v>79</v>
      </c>
      <c r="K174" s="9" t="s">
        <v>73</v>
      </c>
    </row>
    <row r="175" ht="15.75" customHeight="1">
      <c r="A175" s="10">
        <v>44981.0</v>
      </c>
      <c r="B175" s="11">
        <v>3.189660412E9</v>
      </c>
      <c r="C175" s="12" t="s">
        <v>251</v>
      </c>
      <c r="D175" s="11">
        <v>3.4766277E7</v>
      </c>
      <c r="E175" s="10">
        <v>44998.0</v>
      </c>
      <c r="F175" s="9" t="s">
        <v>69</v>
      </c>
      <c r="G175" s="13">
        <v>2.0</v>
      </c>
      <c r="H175" s="9" t="s">
        <v>70</v>
      </c>
      <c r="I175" s="9" t="s">
        <v>77</v>
      </c>
      <c r="J175" s="9" t="s">
        <v>79</v>
      </c>
      <c r="K175" s="9" t="s">
        <v>73</v>
      </c>
    </row>
    <row r="176" ht="15.75" customHeight="1">
      <c r="A176" s="10">
        <v>44985.0</v>
      </c>
      <c r="B176" s="11">
        <v>9.865284424E9</v>
      </c>
      <c r="C176" s="12" t="s">
        <v>251</v>
      </c>
      <c r="D176" s="11">
        <v>3.4766277E7</v>
      </c>
      <c r="E176" s="10">
        <v>44998.0</v>
      </c>
      <c r="F176" s="9" t="s">
        <v>69</v>
      </c>
      <c r="G176" s="13">
        <v>2.0</v>
      </c>
      <c r="H176" s="9" t="s">
        <v>70</v>
      </c>
      <c r="I176" s="9" t="s">
        <v>77</v>
      </c>
      <c r="J176" s="9" t="s">
        <v>83</v>
      </c>
      <c r="K176" s="9" t="s">
        <v>73</v>
      </c>
    </row>
    <row r="177" ht="15.75" customHeight="1">
      <c r="A177" s="10">
        <v>44995.0</v>
      </c>
      <c r="B177" s="11">
        <v>1.275525366E9</v>
      </c>
      <c r="C177" s="12" t="s">
        <v>252</v>
      </c>
      <c r="D177" s="11">
        <v>3.4127411E7</v>
      </c>
      <c r="E177" s="10">
        <v>44999.0</v>
      </c>
      <c r="F177" s="9" t="s">
        <v>76</v>
      </c>
      <c r="G177" s="13">
        <v>2.0</v>
      </c>
      <c r="H177" s="9" t="s">
        <v>70</v>
      </c>
      <c r="I177" s="9" t="s">
        <v>71</v>
      </c>
      <c r="J177" s="9" t="s">
        <v>83</v>
      </c>
      <c r="K177" s="9" t="s">
        <v>73</v>
      </c>
    </row>
    <row r="178" ht="15.75" customHeight="1">
      <c r="A178" s="10">
        <v>44999.0</v>
      </c>
      <c r="B178" s="11">
        <v>8.350955642E9</v>
      </c>
      <c r="C178" s="12" t="s">
        <v>253</v>
      </c>
      <c r="D178" s="11">
        <v>3.5523721E7</v>
      </c>
      <c r="E178" s="10">
        <v>44999.0</v>
      </c>
      <c r="F178" s="9" t="s">
        <v>76</v>
      </c>
      <c r="G178" s="13">
        <v>6.0</v>
      </c>
      <c r="H178" s="9" t="s">
        <v>70</v>
      </c>
      <c r="I178" s="9" t="s">
        <v>71</v>
      </c>
      <c r="J178" s="9" t="s">
        <v>83</v>
      </c>
      <c r="K178" s="9" t="s">
        <v>73</v>
      </c>
    </row>
    <row r="179" ht="15.75" customHeight="1">
      <c r="A179" s="10">
        <v>45000.0</v>
      </c>
      <c r="B179" s="11">
        <v>7.312874085E9</v>
      </c>
      <c r="C179" s="12" t="s">
        <v>254</v>
      </c>
      <c r="D179" s="11">
        <v>2.2557279E7</v>
      </c>
      <c r="E179" s="10">
        <v>45001.0</v>
      </c>
      <c r="F179" s="9" t="s">
        <v>69</v>
      </c>
      <c r="G179" s="13">
        <v>7.0</v>
      </c>
      <c r="H179" s="9" t="s">
        <v>70</v>
      </c>
      <c r="I179" s="9" t="s">
        <v>71</v>
      </c>
      <c r="J179" s="9" t="s">
        <v>83</v>
      </c>
      <c r="K179" s="9" t="s">
        <v>73</v>
      </c>
    </row>
    <row r="180" ht="15.75" customHeight="1">
      <c r="A180" s="10">
        <v>45001.0</v>
      </c>
      <c r="B180" s="11">
        <v>2.899230622E9</v>
      </c>
      <c r="C180" s="12" t="s">
        <v>255</v>
      </c>
      <c r="D180" s="11">
        <v>2.0285736E7</v>
      </c>
      <c r="E180" s="10">
        <v>45001.0</v>
      </c>
      <c r="F180" s="9" t="s">
        <v>69</v>
      </c>
      <c r="G180" s="13">
        <v>2.0</v>
      </c>
      <c r="H180" s="9" t="s">
        <v>70</v>
      </c>
      <c r="I180" s="9" t="s">
        <v>71</v>
      </c>
      <c r="J180" s="9" t="s">
        <v>83</v>
      </c>
      <c r="K180" s="9" t="s">
        <v>73</v>
      </c>
    </row>
    <row r="181" ht="15.75" customHeight="1">
      <c r="A181" s="10">
        <v>45001.0</v>
      </c>
      <c r="B181" s="11">
        <v>7.011741004E9</v>
      </c>
      <c r="C181" s="12" t="s">
        <v>256</v>
      </c>
      <c r="D181" s="11">
        <v>2.0178459E7</v>
      </c>
      <c r="E181" s="10">
        <v>45001.0</v>
      </c>
      <c r="F181" s="9" t="s">
        <v>69</v>
      </c>
      <c r="G181" s="13">
        <v>3.0</v>
      </c>
      <c r="H181" s="9" t="s">
        <v>92</v>
      </c>
      <c r="I181" s="9" t="s">
        <v>71</v>
      </c>
      <c r="J181" s="9" t="s">
        <v>83</v>
      </c>
      <c r="K181" s="9" t="s">
        <v>73</v>
      </c>
    </row>
    <row r="182" ht="15.75" customHeight="1">
      <c r="A182" s="10">
        <v>45001.0</v>
      </c>
      <c r="B182" s="11">
        <v>4.378161535E9</v>
      </c>
      <c r="C182" s="12" t="s">
        <v>257</v>
      </c>
      <c r="D182" s="11">
        <v>4.3706779E7</v>
      </c>
      <c r="E182" s="10">
        <v>45006.0</v>
      </c>
      <c r="F182" s="9" t="s">
        <v>69</v>
      </c>
      <c r="G182" s="13">
        <v>2.0</v>
      </c>
      <c r="H182" s="9" t="s">
        <v>92</v>
      </c>
      <c r="I182" s="9" t="s">
        <v>71</v>
      </c>
      <c r="J182" s="9" t="s">
        <v>83</v>
      </c>
      <c r="K182" s="9" t="s">
        <v>99</v>
      </c>
    </row>
    <row r="183" ht="15.75" customHeight="1">
      <c r="A183" s="10">
        <v>45002.0</v>
      </c>
      <c r="B183" s="11">
        <v>4.230458993E9</v>
      </c>
      <c r="C183" s="12" t="s">
        <v>258</v>
      </c>
      <c r="D183" s="11"/>
      <c r="E183" s="10">
        <v>45006.0</v>
      </c>
      <c r="F183" s="9" t="s">
        <v>76</v>
      </c>
      <c r="G183" s="13">
        <v>2.0</v>
      </c>
      <c r="H183" s="9" t="s">
        <v>92</v>
      </c>
      <c r="I183" s="9" t="s">
        <v>71</v>
      </c>
      <c r="J183" s="9" t="s">
        <v>83</v>
      </c>
      <c r="K183" s="9" t="s">
        <v>99</v>
      </c>
    </row>
    <row r="184" ht="15.75" customHeight="1">
      <c r="A184" s="10">
        <v>45002.0</v>
      </c>
      <c r="B184" s="11">
        <v>1.183174473E9</v>
      </c>
      <c r="C184" s="12" t="s">
        <v>257</v>
      </c>
      <c r="D184" s="11">
        <v>4.3706779E7</v>
      </c>
      <c r="E184" s="10">
        <v>45006.0</v>
      </c>
      <c r="F184" s="9" t="s">
        <v>69</v>
      </c>
      <c r="G184" s="13">
        <v>2.0</v>
      </c>
      <c r="H184" s="9" t="s">
        <v>92</v>
      </c>
      <c r="I184" s="9" t="s">
        <v>71</v>
      </c>
      <c r="J184" s="9" t="s">
        <v>83</v>
      </c>
      <c r="K184" s="9" t="s">
        <v>99</v>
      </c>
    </row>
    <row r="185" ht="15.75" customHeight="1">
      <c r="A185" s="10">
        <v>45005.0</v>
      </c>
      <c r="B185" s="11">
        <v>7.238987081E9</v>
      </c>
      <c r="C185" s="12" t="s">
        <v>259</v>
      </c>
      <c r="D185" s="11">
        <v>1.2924846E7</v>
      </c>
      <c r="E185" s="10">
        <v>45006.0</v>
      </c>
      <c r="F185" s="9" t="s">
        <v>69</v>
      </c>
      <c r="G185" s="13">
        <v>1.0</v>
      </c>
      <c r="H185" s="9" t="s">
        <v>92</v>
      </c>
      <c r="I185" s="9" t="s">
        <v>71</v>
      </c>
      <c r="J185" s="9" t="s">
        <v>83</v>
      </c>
      <c r="K185" s="9" t="s">
        <v>99</v>
      </c>
    </row>
    <row r="186" ht="15.75" customHeight="1">
      <c r="A186" s="10">
        <v>45005.0</v>
      </c>
      <c r="B186" s="11">
        <v>6.62950134E9</v>
      </c>
      <c r="C186" s="12" t="s">
        <v>206</v>
      </c>
      <c r="D186" s="11">
        <v>1.6529017E7</v>
      </c>
      <c r="E186" s="10">
        <v>45007.0</v>
      </c>
      <c r="F186" s="9" t="s">
        <v>69</v>
      </c>
      <c r="G186" s="13">
        <v>1.0</v>
      </c>
      <c r="H186" s="9" t="s">
        <v>92</v>
      </c>
      <c r="I186" s="9" t="s">
        <v>71</v>
      </c>
      <c r="J186" s="9" t="s">
        <v>83</v>
      </c>
      <c r="K186" s="9" t="s">
        <v>99</v>
      </c>
    </row>
    <row r="187" ht="15.75" customHeight="1">
      <c r="A187" s="10">
        <v>45006.0</v>
      </c>
      <c r="B187" s="11">
        <v>2.245235403E9</v>
      </c>
      <c r="C187" s="12" t="s">
        <v>260</v>
      </c>
      <c r="D187" s="11">
        <v>1.0015608E7</v>
      </c>
      <c r="E187" s="10">
        <v>45007.0</v>
      </c>
      <c r="F187" s="9" t="s">
        <v>69</v>
      </c>
      <c r="G187" s="13">
        <v>2.0</v>
      </c>
      <c r="H187" s="9" t="s">
        <v>92</v>
      </c>
      <c r="I187" s="9" t="s">
        <v>71</v>
      </c>
      <c r="J187" s="9" t="s">
        <v>83</v>
      </c>
      <c r="K187" s="9" t="s">
        <v>99</v>
      </c>
    </row>
    <row r="188" ht="15.75" customHeight="1">
      <c r="A188" s="10">
        <v>45006.0</v>
      </c>
      <c r="B188" s="11">
        <v>6.372506722E9</v>
      </c>
      <c r="C188" s="12" t="s">
        <v>261</v>
      </c>
      <c r="D188" s="11">
        <v>2.9744557E7</v>
      </c>
      <c r="E188" s="10">
        <v>45007.0</v>
      </c>
      <c r="F188" s="9" t="s">
        <v>76</v>
      </c>
      <c r="G188" s="13">
        <v>3.0</v>
      </c>
      <c r="H188" s="9" t="s">
        <v>92</v>
      </c>
      <c r="I188" s="9" t="s">
        <v>71</v>
      </c>
      <c r="J188" s="9" t="s">
        <v>79</v>
      </c>
      <c r="K188" s="9" t="s">
        <v>73</v>
      </c>
    </row>
    <row r="189" ht="15.75" customHeight="1">
      <c r="A189" s="10">
        <v>45007.0</v>
      </c>
      <c r="B189" s="11">
        <v>7.955374663E9</v>
      </c>
      <c r="C189" s="12" t="s">
        <v>262</v>
      </c>
      <c r="D189" s="11">
        <v>4.0237382E7</v>
      </c>
      <c r="E189" s="10">
        <v>45008.0</v>
      </c>
      <c r="F189" s="9" t="s">
        <v>76</v>
      </c>
      <c r="G189" s="13">
        <v>3.0</v>
      </c>
      <c r="H189" s="9" t="s">
        <v>92</v>
      </c>
      <c r="I189" s="9" t="s">
        <v>71</v>
      </c>
      <c r="J189" s="9" t="s">
        <v>79</v>
      </c>
      <c r="K189" s="9" t="s">
        <v>73</v>
      </c>
    </row>
    <row r="190" ht="15.75" customHeight="1">
      <c r="A190" s="10">
        <v>44979.0</v>
      </c>
      <c r="B190" s="11">
        <v>9.493827895E9</v>
      </c>
      <c r="C190" s="12" t="s">
        <v>263</v>
      </c>
      <c r="D190" s="11">
        <v>3.4208541E7</v>
      </c>
      <c r="E190" s="10">
        <v>45012.0</v>
      </c>
      <c r="F190" s="9" t="s">
        <v>76</v>
      </c>
      <c r="G190" s="13">
        <v>2.0</v>
      </c>
      <c r="H190" s="9" t="s">
        <v>116</v>
      </c>
      <c r="I190" s="9" t="s">
        <v>71</v>
      </c>
      <c r="J190" s="9" t="s">
        <v>79</v>
      </c>
      <c r="K190" s="9" t="s">
        <v>73</v>
      </c>
    </row>
    <row r="191" ht="15.75" customHeight="1">
      <c r="A191" s="10">
        <v>45001.0</v>
      </c>
      <c r="B191" s="11">
        <v>4.342560655E9</v>
      </c>
      <c r="C191" s="12" t="s">
        <v>264</v>
      </c>
      <c r="D191" s="11">
        <v>2.9532714E7</v>
      </c>
      <c r="E191" s="10">
        <v>45012.0</v>
      </c>
      <c r="F191" s="9" t="s">
        <v>76</v>
      </c>
      <c r="G191" s="13">
        <v>3.0</v>
      </c>
      <c r="H191" s="9" t="s">
        <v>116</v>
      </c>
      <c r="I191" s="9" t="s">
        <v>71</v>
      </c>
      <c r="J191" s="9" t="s">
        <v>79</v>
      </c>
      <c r="K191" s="9" t="s">
        <v>73</v>
      </c>
    </row>
    <row r="192" ht="15.75" customHeight="1">
      <c r="A192" s="10">
        <v>45007.0</v>
      </c>
      <c r="B192" s="11">
        <v>3.458094231E9</v>
      </c>
      <c r="C192" s="12" t="s">
        <v>265</v>
      </c>
      <c r="D192" s="11">
        <v>1.7268871E7</v>
      </c>
      <c r="E192" s="10">
        <v>45012.0</v>
      </c>
      <c r="F192" s="9" t="s">
        <v>76</v>
      </c>
      <c r="G192" s="13">
        <v>3.0</v>
      </c>
      <c r="H192" s="9" t="s">
        <v>116</v>
      </c>
      <c r="I192" s="9" t="s">
        <v>71</v>
      </c>
      <c r="J192" s="9" t="s">
        <v>79</v>
      </c>
      <c r="K192" s="9" t="s">
        <v>73</v>
      </c>
    </row>
    <row r="193" ht="15.75" customHeight="1">
      <c r="A193" s="10">
        <v>45008.0</v>
      </c>
      <c r="B193" s="11">
        <v>3.247938396E9</v>
      </c>
      <c r="C193" s="12" t="s">
        <v>266</v>
      </c>
      <c r="D193" s="11">
        <v>2.5209452E7</v>
      </c>
      <c r="E193" s="10">
        <v>45012.0</v>
      </c>
      <c r="F193" s="9" t="s">
        <v>76</v>
      </c>
      <c r="G193" s="13">
        <v>2.0</v>
      </c>
      <c r="H193" s="9" t="s">
        <v>116</v>
      </c>
      <c r="I193" s="9" t="s">
        <v>71</v>
      </c>
      <c r="J193" s="9" t="s">
        <v>72</v>
      </c>
      <c r="K193" s="9" t="s">
        <v>73</v>
      </c>
    </row>
    <row r="194" ht="15.75" customHeight="1">
      <c r="A194" s="10">
        <v>44992.0</v>
      </c>
      <c r="B194" s="11">
        <v>2.021734094E9</v>
      </c>
      <c r="C194" s="12" t="s">
        <v>267</v>
      </c>
      <c r="D194" s="11">
        <v>1.8159097E7</v>
      </c>
      <c r="E194" s="10">
        <v>45013.0</v>
      </c>
      <c r="F194" s="9" t="s">
        <v>76</v>
      </c>
      <c r="G194" s="13">
        <v>1.0</v>
      </c>
      <c r="H194" s="9" t="s">
        <v>116</v>
      </c>
      <c r="I194" s="9" t="s">
        <v>71</v>
      </c>
      <c r="J194" s="9" t="s">
        <v>72</v>
      </c>
      <c r="K194" s="9" t="s">
        <v>73</v>
      </c>
    </row>
    <row r="195" ht="15.75" customHeight="1">
      <c r="A195" s="10">
        <v>44992.0</v>
      </c>
      <c r="B195" s="11">
        <v>1.65627651E9</v>
      </c>
      <c r="C195" s="12" t="s">
        <v>267</v>
      </c>
      <c r="D195" s="11">
        <v>1.8159097E7</v>
      </c>
      <c r="E195" s="10">
        <v>45013.0</v>
      </c>
      <c r="F195" s="9" t="s">
        <v>76</v>
      </c>
      <c r="G195" s="13">
        <v>1.0</v>
      </c>
      <c r="H195" s="9" t="s">
        <v>116</v>
      </c>
      <c r="I195" s="9" t="s">
        <v>77</v>
      </c>
      <c r="J195" s="9" t="s">
        <v>72</v>
      </c>
      <c r="K195" s="9" t="s">
        <v>73</v>
      </c>
    </row>
    <row r="196" ht="15.75" customHeight="1">
      <c r="A196" s="10">
        <v>45001.0</v>
      </c>
      <c r="B196" s="11">
        <v>1.109635155E9</v>
      </c>
      <c r="C196" s="12" t="s">
        <v>268</v>
      </c>
      <c r="D196" s="11">
        <v>2.7732194E7</v>
      </c>
      <c r="E196" s="10">
        <v>45013.0</v>
      </c>
      <c r="F196" s="9" t="s">
        <v>69</v>
      </c>
      <c r="G196" s="13">
        <v>1.0</v>
      </c>
      <c r="H196" s="9" t="s">
        <v>116</v>
      </c>
      <c r="I196" s="9" t="s">
        <v>77</v>
      </c>
      <c r="J196" s="9" t="s">
        <v>72</v>
      </c>
      <c r="K196" s="9" t="s">
        <v>73</v>
      </c>
    </row>
    <row r="197" ht="15.75" customHeight="1">
      <c r="A197" s="10">
        <v>45002.0</v>
      </c>
      <c r="B197" s="11">
        <v>4.230423363E9</v>
      </c>
      <c r="C197" s="12" t="s">
        <v>268</v>
      </c>
      <c r="D197" s="11">
        <v>2.7732194E7</v>
      </c>
      <c r="E197" s="10">
        <v>45013.0</v>
      </c>
      <c r="F197" s="9" t="s">
        <v>69</v>
      </c>
      <c r="G197" s="13">
        <v>2.0</v>
      </c>
      <c r="H197" s="9" t="s">
        <v>116</v>
      </c>
      <c r="I197" s="9" t="s">
        <v>77</v>
      </c>
      <c r="J197" s="9" t="s">
        <v>72</v>
      </c>
      <c r="K197" s="9" t="s">
        <v>73</v>
      </c>
    </row>
    <row r="198" ht="15.75" customHeight="1">
      <c r="A198" s="10">
        <v>45012.0</v>
      </c>
      <c r="B198" s="11">
        <v>3.182933445E9</v>
      </c>
      <c r="C198" s="12" t="s">
        <v>207</v>
      </c>
      <c r="D198" s="11">
        <v>2.2822961E7</v>
      </c>
      <c r="E198" s="10">
        <v>45013.0</v>
      </c>
      <c r="F198" s="9" t="s">
        <v>69</v>
      </c>
      <c r="G198" s="13">
        <v>1.0</v>
      </c>
      <c r="H198" s="9" t="s">
        <v>116</v>
      </c>
      <c r="I198" s="9" t="s">
        <v>77</v>
      </c>
      <c r="J198" s="9" t="s">
        <v>72</v>
      </c>
      <c r="K198" s="9" t="s">
        <v>73</v>
      </c>
    </row>
    <row r="199" ht="15.75" customHeight="1">
      <c r="A199" s="10">
        <v>45013.0</v>
      </c>
      <c r="B199" s="11">
        <v>9.520001735E9</v>
      </c>
      <c r="C199" s="12" t="s">
        <v>207</v>
      </c>
      <c r="D199" s="11">
        <v>2.2822961E7</v>
      </c>
      <c r="E199" s="10">
        <v>45013.0</v>
      </c>
      <c r="F199" s="9" t="s">
        <v>69</v>
      </c>
      <c r="G199" s="13">
        <v>1.0</v>
      </c>
      <c r="H199" s="9" t="s">
        <v>116</v>
      </c>
      <c r="I199" s="9" t="s">
        <v>77</v>
      </c>
      <c r="J199" s="9" t="s">
        <v>72</v>
      </c>
      <c r="K199" s="9" t="s">
        <v>73</v>
      </c>
    </row>
    <row r="200" ht="15.75" customHeight="1">
      <c r="A200" s="10">
        <v>45008.0</v>
      </c>
      <c r="B200" s="11">
        <v>6.870382584E9</v>
      </c>
      <c r="C200" s="12" t="s">
        <v>269</v>
      </c>
      <c r="D200" s="11">
        <v>3.6224033E7</v>
      </c>
      <c r="E200" s="10">
        <v>45014.0</v>
      </c>
      <c r="F200" s="9" t="s">
        <v>76</v>
      </c>
      <c r="G200" s="13">
        <v>1.0</v>
      </c>
      <c r="H200" s="9" t="s">
        <v>112</v>
      </c>
      <c r="I200" s="9" t="s">
        <v>77</v>
      </c>
      <c r="J200" s="9" t="s">
        <v>72</v>
      </c>
      <c r="K200" s="9" t="s">
        <v>73</v>
      </c>
    </row>
    <row r="201" ht="15.75" customHeight="1">
      <c r="A201" s="10">
        <v>45008.0</v>
      </c>
      <c r="B201" s="11">
        <v>2.995863566E9</v>
      </c>
      <c r="C201" s="12" t="s">
        <v>270</v>
      </c>
      <c r="D201" s="11">
        <v>2.3021105E7</v>
      </c>
      <c r="E201" s="10">
        <v>45014.0</v>
      </c>
      <c r="F201" s="9" t="s">
        <v>69</v>
      </c>
      <c r="G201" s="13">
        <v>1.0</v>
      </c>
      <c r="H201" s="9" t="s">
        <v>112</v>
      </c>
      <c r="I201" s="9" t="s">
        <v>88</v>
      </c>
      <c r="J201" s="9" t="s">
        <v>72</v>
      </c>
      <c r="K201" s="9" t="s">
        <v>73</v>
      </c>
    </row>
    <row r="202" ht="15.75" customHeight="1">
      <c r="A202" s="10">
        <v>45013.0</v>
      </c>
      <c r="B202" s="11">
        <v>9.873020916E9</v>
      </c>
      <c r="C202" s="12" t="s">
        <v>271</v>
      </c>
      <c r="D202" s="11">
        <v>3.4953244E7</v>
      </c>
      <c r="E202" s="10">
        <v>45014.0</v>
      </c>
      <c r="F202" s="9" t="s">
        <v>69</v>
      </c>
      <c r="G202" s="13">
        <v>1.0</v>
      </c>
      <c r="H202" s="9" t="s">
        <v>112</v>
      </c>
      <c r="I202" s="9" t="s">
        <v>88</v>
      </c>
      <c r="J202" s="9" t="s">
        <v>79</v>
      </c>
      <c r="K202" s="9" t="s">
        <v>73</v>
      </c>
    </row>
    <row r="203" ht="15.75" customHeight="1">
      <c r="A203" s="10">
        <v>45007.0</v>
      </c>
      <c r="B203" s="11">
        <v>1.968369631E9</v>
      </c>
      <c r="C203" s="12" t="s">
        <v>272</v>
      </c>
      <c r="D203" s="11">
        <v>4.3191762E7</v>
      </c>
      <c r="E203" s="10">
        <v>45015.0</v>
      </c>
      <c r="F203" s="9" t="s">
        <v>76</v>
      </c>
      <c r="G203" s="13">
        <v>2.0</v>
      </c>
      <c r="H203" s="9" t="s">
        <v>112</v>
      </c>
      <c r="I203" s="9" t="s">
        <v>88</v>
      </c>
      <c r="J203" s="9" t="s">
        <v>79</v>
      </c>
      <c r="K203" s="9" t="s">
        <v>73</v>
      </c>
    </row>
    <row r="204" ht="15.75" customHeight="1">
      <c r="A204" s="10">
        <v>45012.0</v>
      </c>
      <c r="B204" s="11">
        <v>9.511692385E9</v>
      </c>
      <c r="C204" s="12" t="s">
        <v>273</v>
      </c>
      <c r="D204" s="11">
        <v>1.6238695E7</v>
      </c>
      <c r="E204" s="10">
        <v>45016.0</v>
      </c>
      <c r="F204" s="9" t="s">
        <v>69</v>
      </c>
      <c r="G204" s="13">
        <v>2.0</v>
      </c>
      <c r="H204" s="9" t="s">
        <v>112</v>
      </c>
      <c r="I204" s="9" t="s">
        <v>88</v>
      </c>
      <c r="J204" s="9" t="s">
        <v>79</v>
      </c>
      <c r="K204" s="9" t="s">
        <v>73</v>
      </c>
    </row>
    <row r="205" ht="15.75" customHeight="1">
      <c r="A205" s="10">
        <v>45015.0</v>
      </c>
      <c r="B205" s="11">
        <v>4.489346411E9</v>
      </c>
      <c r="C205" s="12" t="s">
        <v>274</v>
      </c>
      <c r="D205" s="11">
        <v>3.6838383E7</v>
      </c>
      <c r="E205" s="10">
        <v>45016.0</v>
      </c>
      <c r="F205" s="9" t="s">
        <v>69</v>
      </c>
      <c r="G205" s="13">
        <v>1.0</v>
      </c>
      <c r="H205" s="9" t="s">
        <v>81</v>
      </c>
      <c r="I205" s="9" t="s">
        <v>88</v>
      </c>
      <c r="J205" s="9" t="s">
        <v>79</v>
      </c>
      <c r="K205" s="9" t="s">
        <v>73</v>
      </c>
    </row>
    <row r="206" ht="15.75" customHeight="1">
      <c r="A206" s="10">
        <v>45013.0</v>
      </c>
      <c r="B206" s="11">
        <v>9.87303513E9</v>
      </c>
      <c r="C206" s="12" t="s">
        <v>275</v>
      </c>
      <c r="D206" s="11">
        <v>3.7658669E7</v>
      </c>
      <c r="E206" s="10">
        <v>45019.0</v>
      </c>
      <c r="F206" s="9" t="s">
        <v>69</v>
      </c>
      <c r="G206" s="13">
        <v>1.0</v>
      </c>
      <c r="H206" s="9" t="s">
        <v>81</v>
      </c>
      <c r="I206" s="9" t="s">
        <v>71</v>
      </c>
      <c r="J206" s="9" t="s">
        <v>79</v>
      </c>
      <c r="K206" s="9" t="s">
        <v>73</v>
      </c>
    </row>
    <row r="207" ht="15.75" customHeight="1">
      <c r="A207" s="10">
        <v>45015.0</v>
      </c>
      <c r="B207" s="11">
        <v>9.784616472E9</v>
      </c>
      <c r="C207" s="12" t="s">
        <v>276</v>
      </c>
      <c r="D207" s="11">
        <v>2.3055321E7</v>
      </c>
      <c r="E207" s="10">
        <v>45019.0</v>
      </c>
      <c r="F207" s="9" t="s">
        <v>69</v>
      </c>
      <c r="G207" s="13">
        <v>1.0</v>
      </c>
      <c r="H207" s="9" t="s">
        <v>81</v>
      </c>
      <c r="I207" s="9" t="s">
        <v>71</v>
      </c>
      <c r="J207" s="9" t="s">
        <v>83</v>
      </c>
      <c r="K207" s="9" t="s">
        <v>73</v>
      </c>
    </row>
    <row r="208" ht="15.75" customHeight="1">
      <c r="A208" s="10">
        <v>45016.0</v>
      </c>
      <c r="B208" s="11">
        <v>5.999907023E9</v>
      </c>
      <c r="C208" s="12" t="s">
        <v>277</v>
      </c>
      <c r="D208" s="11">
        <v>4.0215652E7</v>
      </c>
      <c r="E208" s="10">
        <v>45019.0</v>
      </c>
      <c r="F208" s="9" t="s">
        <v>76</v>
      </c>
      <c r="G208" s="13">
        <v>1.0</v>
      </c>
      <c r="H208" s="9" t="s">
        <v>81</v>
      </c>
      <c r="I208" s="9" t="s">
        <v>71</v>
      </c>
      <c r="J208" s="9" t="s">
        <v>83</v>
      </c>
      <c r="K208" s="9" t="s">
        <v>90</v>
      </c>
    </row>
    <row r="209" ht="15.75" customHeight="1">
      <c r="A209" s="10">
        <v>45007.0</v>
      </c>
      <c r="B209" s="11">
        <v>1.900432726E9</v>
      </c>
      <c r="C209" s="12" t="s">
        <v>278</v>
      </c>
      <c r="D209" s="11">
        <v>2.8966573E7</v>
      </c>
      <c r="E209" s="10">
        <v>45020.0</v>
      </c>
      <c r="F209" s="9" t="s">
        <v>69</v>
      </c>
      <c r="G209" s="13">
        <v>1.0</v>
      </c>
      <c r="H209" s="9" t="s">
        <v>81</v>
      </c>
      <c r="I209" s="9" t="s">
        <v>71</v>
      </c>
      <c r="J209" s="9" t="s">
        <v>83</v>
      </c>
      <c r="K209" s="9" t="s">
        <v>90</v>
      </c>
    </row>
    <row r="210" ht="15.75" customHeight="1">
      <c r="A210" s="10">
        <v>45008.0</v>
      </c>
      <c r="B210" s="11">
        <v>5.522736354E9</v>
      </c>
      <c r="C210" s="12" t="s">
        <v>279</v>
      </c>
      <c r="D210" s="11">
        <v>2.4409966E7</v>
      </c>
      <c r="E210" s="10">
        <v>45020.0</v>
      </c>
      <c r="F210" s="9" t="s">
        <v>69</v>
      </c>
      <c r="G210" s="13">
        <v>3.0</v>
      </c>
      <c r="H210" s="9" t="s">
        <v>81</v>
      </c>
      <c r="I210" s="9" t="s">
        <v>71</v>
      </c>
      <c r="J210" s="9" t="s">
        <v>83</v>
      </c>
      <c r="K210" s="9" t="s">
        <v>90</v>
      </c>
    </row>
    <row r="211" ht="15.75" customHeight="1">
      <c r="A211" s="10">
        <v>45012.0</v>
      </c>
      <c r="B211" s="11">
        <v>7.612076415E9</v>
      </c>
      <c r="C211" s="12" t="s">
        <v>280</v>
      </c>
      <c r="D211" s="11">
        <v>1.697729E7</v>
      </c>
      <c r="E211" s="10">
        <v>45020.0</v>
      </c>
      <c r="F211" s="9" t="s">
        <v>69</v>
      </c>
      <c r="G211" s="13">
        <v>4.0</v>
      </c>
      <c r="H211" s="9" t="s">
        <v>81</v>
      </c>
      <c r="I211" s="9" t="s">
        <v>71</v>
      </c>
      <c r="J211" s="9" t="s">
        <v>83</v>
      </c>
      <c r="K211" s="9" t="s">
        <v>90</v>
      </c>
    </row>
    <row r="212" ht="15.75" customHeight="1">
      <c r="A212" s="10">
        <v>45012.0</v>
      </c>
      <c r="B212" s="11">
        <v>3.182899473E9</v>
      </c>
      <c r="C212" s="12" t="s">
        <v>281</v>
      </c>
      <c r="D212" s="11">
        <v>2.758116E7</v>
      </c>
      <c r="E212" s="10">
        <v>45020.0</v>
      </c>
      <c r="F212" s="9" t="s">
        <v>69</v>
      </c>
      <c r="G212" s="13">
        <v>2.0</v>
      </c>
      <c r="H212" s="9" t="s">
        <v>81</v>
      </c>
      <c r="I212" s="9" t="s">
        <v>88</v>
      </c>
      <c r="J212" s="9" t="s">
        <v>93</v>
      </c>
      <c r="K212" s="9" t="s">
        <v>90</v>
      </c>
    </row>
    <row r="213" ht="15.75" customHeight="1">
      <c r="A213" s="10">
        <v>45013.0</v>
      </c>
      <c r="B213" s="11">
        <v>3.40919467E9</v>
      </c>
      <c r="C213" s="12" t="s">
        <v>282</v>
      </c>
      <c r="D213" s="11">
        <v>3.2132798E7</v>
      </c>
      <c r="E213" s="10">
        <v>45020.0</v>
      </c>
      <c r="F213" s="9" t="s">
        <v>76</v>
      </c>
      <c r="G213" s="13">
        <v>2.0</v>
      </c>
      <c r="H213" s="9" t="s">
        <v>81</v>
      </c>
      <c r="I213" s="9" t="s">
        <v>88</v>
      </c>
      <c r="J213" s="9" t="s">
        <v>93</v>
      </c>
      <c r="K213" s="9" t="s">
        <v>90</v>
      </c>
    </row>
    <row r="214" ht="15.75" customHeight="1">
      <c r="A214" s="10">
        <v>45015.0</v>
      </c>
      <c r="B214" s="11">
        <v>9.984011251E9</v>
      </c>
      <c r="C214" s="12" t="s">
        <v>283</v>
      </c>
      <c r="D214" s="11">
        <v>2.0219668E7</v>
      </c>
      <c r="E214" s="10">
        <v>45020.0</v>
      </c>
      <c r="F214" s="9" t="s">
        <v>76</v>
      </c>
      <c r="G214" s="13">
        <v>1.0</v>
      </c>
      <c r="H214" s="9" t="s">
        <v>116</v>
      </c>
      <c r="I214" s="9" t="s">
        <v>88</v>
      </c>
      <c r="J214" s="9" t="s">
        <v>93</v>
      </c>
      <c r="K214" s="9" t="s">
        <v>90</v>
      </c>
    </row>
    <row r="215" ht="15.75" customHeight="1">
      <c r="A215" s="10">
        <v>45015.0</v>
      </c>
      <c r="B215" s="11">
        <v>9.650997215E9</v>
      </c>
      <c r="C215" s="12" t="s">
        <v>283</v>
      </c>
      <c r="D215" s="11">
        <v>2.0219668E7</v>
      </c>
      <c r="E215" s="10">
        <v>45020.0</v>
      </c>
      <c r="F215" s="9" t="s">
        <v>69</v>
      </c>
      <c r="G215" s="13">
        <v>2.0</v>
      </c>
      <c r="H215" s="9" t="s">
        <v>116</v>
      </c>
      <c r="I215" s="9" t="s">
        <v>88</v>
      </c>
      <c r="J215" s="9" t="s">
        <v>93</v>
      </c>
      <c r="K215" s="9" t="s">
        <v>90</v>
      </c>
    </row>
    <row r="216" ht="15.75" customHeight="1">
      <c r="A216" s="10">
        <v>45015.0</v>
      </c>
      <c r="B216" s="11">
        <v>4.807640681E9</v>
      </c>
      <c r="C216" s="12" t="s">
        <v>283</v>
      </c>
      <c r="D216" s="11">
        <v>2.0219668E7</v>
      </c>
      <c r="E216" s="10">
        <v>45020.0</v>
      </c>
      <c r="F216" s="9" t="s">
        <v>69</v>
      </c>
      <c r="G216" s="13">
        <v>3.0</v>
      </c>
      <c r="H216" s="9" t="s">
        <v>116</v>
      </c>
      <c r="I216" s="9" t="s">
        <v>77</v>
      </c>
      <c r="J216" s="9" t="s">
        <v>93</v>
      </c>
      <c r="K216" s="9" t="s">
        <v>90</v>
      </c>
    </row>
    <row r="217" ht="15.75" customHeight="1">
      <c r="A217" s="10">
        <v>45016.0</v>
      </c>
      <c r="B217" s="11">
        <v>5.203112316E9</v>
      </c>
      <c r="C217" s="12" t="s">
        <v>284</v>
      </c>
      <c r="D217" s="11">
        <v>2.4059084E7</v>
      </c>
      <c r="E217" s="10">
        <v>45020.0</v>
      </c>
      <c r="F217" s="9" t="s">
        <v>69</v>
      </c>
      <c r="G217" s="13">
        <v>1.0</v>
      </c>
      <c r="H217" s="9" t="s">
        <v>116</v>
      </c>
      <c r="I217" s="9" t="s">
        <v>77</v>
      </c>
      <c r="J217" s="9" t="s">
        <v>93</v>
      </c>
      <c r="K217" s="9" t="s">
        <v>90</v>
      </c>
    </row>
    <row r="218" ht="15.75" customHeight="1">
      <c r="A218" s="10">
        <v>45016.0</v>
      </c>
      <c r="B218" s="11">
        <v>8.010806646E9</v>
      </c>
      <c r="C218" s="12" t="s">
        <v>285</v>
      </c>
      <c r="D218" s="11">
        <v>8085847.0</v>
      </c>
      <c r="E218" s="10">
        <v>45020.0</v>
      </c>
      <c r="F218" s="9" t="s">
        <v>69</v>
      </c>
      <c r="G218" s="13">
        <v>2.0</v>
      </c>
      <c r="H218" s="9" t="s">
        <v>116</v>
      </c>
      <c r="I218" s="9" t="s">
        <v>77</v>
      </c>
      <c r="J218" s="9" t="s">
        <v>93</v>
      </c>
      <c r="K218" s="9" t="s">
        <v>90</v>
      </c>
    </row>
    <row r="219" ht="15.75" customHeight="1">
      <c r="A219" s="10">
        <v>45019.0</v>
      </c>
      <c r="B219" s="11">
        <v>8.436441031E9</v>
      </c>
      <c r="C219" s="12" t="s">
        <v>283</v>
      </c>
      <c r="D219" s="11">
        <v>2.0219668E7</v>
      </c>
      <c r="E219" s="10">
        <v>45020.0</v>
      </c>
      <c r="F219" s="9" t="s">
        <v>69</v>
      </c>
      <c r="G219" s="13">
        <v>2.0</v>
      </c>
      <c r="H219" s="9" t="s">
        <v>116</v>
      </c>
      <c r="I219" s="9" t="s">
        <v>77</v>
      </c>
      <c r="J219" s="9" t="s">
        <v>93</v>
      </c>
      <c r="K219" s="9" t="s">
        <v>99</v>
      </c>
    </row>
    <row r="220" ht="15.75" customHeight="1">
      <c r="A220" s="10">
        <v>45016.0</v>
      </c>
      <c r="B220" s="11">
        <v>5.475598251E9</v>
      </c>
      <c r="C220" s="12" t="s">
        <v>286</v>
      </c>
      <c r="D220" s="11">
        <v>1.7182593E7</v>
      </c>
      <c r="E220" s="10">
        <v>45021.0</v>
      </c>
      <c r="F220" s="9" t="s">
        <v>69</v>
      </c>
      <c r="G220" s="13">
        <v>1.0</v>
      </c>
      <c r="H220" s="9" t="s">
        <v>116</v>
      </c>
      <c r="I220" s="9" t="s">
        <v>77</v>
      </c>
      <c r="J220" s="9" t="s">
        <v>93</v>
      </c>
      <c r="K220" s="9" t="s">
        <v>99</v>
      </c>
    </row>
    <row r="221" ht="15.75" customHeight="1">
      <c r="A221" s="10">
        <v>45020.0</v>
      </c>
      <c r="B221" s="11">
        <v>7.510727464E9</v>
      </c>
      <c r="C221" s="12" t="s">
        <v>287</v>
      </c>
      <c r="D221" s="11">
        <v>4.0355581E7</v>
      </c>
      <c r="E221" s="10">
        <v>45021.0</v>
      </c>
      <c r="F221" s="9" t="s">
        <v>69</v>
      </c>
      <c r="G221" s="13">
        <v>1.0</v>
      </c>
      <c r="H221" s="9" t="s">
        <v>116</v>
      </c>
      <c r="I221" s="9" t="s">
        <v>71</v>
      </c>
      <c r="J221" s="9" t="s">
        <v>93</v>
      </c>
      <c r="K221" s="9" t="s">
        <v>99</v>
      </c>
    </row>
    <row r="222" ht="15.75" customHeight="1">
      <c r="A222" s="10">
        <v>45021.0</v>
      </c>
      <c r="B222" s="11">
        <v>8.964012072E9</v>
      </c>
      <c r="C222" s="12" t="s">
        <v>288</v>
      </c>
      <c r="D222" s="11">
        <v>2.2397032E7</v>
      </c>
      <c r="E222" s="10">
        <v>45021.0</v>
      </c>
      <c r="F222" s="9" t="s">
        <v>69</v>
      </c>
      <c r="G222" s="13">
        <v>2.0</v>
      </c>
      <c r="H222" s="9" t="s">
        <v>116</v>
      </c>
      <c r="I222" s="9" t="s">
        <v>71</v>
      </c>
      <c r="J222" s="9" t="s">
        <v>83</v>
      </c>
      <c r="K222" s="9" t="s">
        <v>99</v>
      </c>
    </row>
    <row r="223" ht="15.75" customHeight="1">
      <c r="A223" s="10">
        <v>45015.0</v>
      </c>
      <c r="B223" s="11">
        <v>9.784620893E9</v>
      </c>
      <c r="C223" s="12" t="s">
        <v>289</v>
      </c>
      <c r="D223" s="11">
        <v>3.5548868E7</v>
      </c>
      <c r="E223" s="10">
        <v>45022.0</v>
      </c>
      <c r="F223" s="9" t="s">
        <v>76</v>
      </c>
      <c r="G223" s="13">
        <v>3.0</v>
      </c>
      <c r="H223" s="9" t="s">
        <v>116</v>
      </c>
      <c r="I223" s="9" t="s">
        <v>71</v>
      </c>
      <c r="J223" s="9" t="s">
        <v>83</v>
      </c>
      <c r="K223" s="9" t="s">
        <v>107</v>
      </c>
    </row>
    <row r="224" ht="15.75" customHeight="1">
      <c r="A224" s="10">
        <v>45016.0</v>
      </c>
      <c r="B224" s="11">
        <v>9.64085948E9</v>
      </c>
      <c r="C224" s="12" t="s">
        <v>290</v>
      </c>
      <c r="D224" s="11">
        <v>1.0708061E7</v>
      </c>
      <c r="E224" s="10">
        <v>45022.0</v>
      </c>
      <c r="F224" s="9" t="s">
        <v>69</v>
      </c>
      <c r="G224" s="13">
        <v>1.0</v>
      </c>
      <c r="H224" s="9" t="s">
        <v>116</v>
      </c>
      <c r="I224" s="9" t="s">
        <v>71</v>
      </c>
      <c r="J224" s="9" t="s">
        <v>83</v>
      </c>
      <c r="K224" s="9" t="s">
        <v>107</v>
      </c>
    </row>
    <row r="225" ht="15.75" customHeight="1">
      <c r="A225" s="10">
        <v>45016.0</v>
      </c>
      <c r="B225" s="11">
        <v>8.010803835E9</v>
      </c>
      <c r="C225" s="12" t="s">
        <v>290</v>
      </c>
      <c r="D225" s="11">
        <v>1.0708061E7</v>
      </c>
      <c r="E225" s="10">
        <v>45022.0</v>
      </c>
      <c r="F225" s="9" t="s">
        <v>69</v>
      </c>
      <c r="G225" s="13">
        <v>2.0</v>
      </c>
      <c r="H225" s="9" t="s">
        <v>116</v>
      </c>
      <c r="I225" s="9" t="s">
        <v>71</v>
      </c>
      <c r="J225" s="9" t="s">
        <v>83</v>
      </c>
      <c r="K225" s="9" t="s">
        <v>107</v>
      </c>
    </row>
    <row r="226" ht="15.75" customHeight="1">
      <c r="A226" s="10">
        <v>45016.0</v>
      </c>
      <c r="B226" s="11">
        <v>1.418955753E9</v>
      </c>
      <c r="C226" s="12" t="s">
        <v>290</v>
      </c>
      <c r="D226" s="11">
        <v>1.0708061E7</v>
      </c>
      <c r="E226" s="10">
        <v>45022.0</v>
      </c>
      <c r="F226" s="9" t="s">
        <v>76</v>
      </c>
      <c r="G226" s="13">
        <v>1.0</v>
      </c>
      <c r="H226" s="9" t="s">
        <v>116</v>
      </c>
      <c r="I226" s="9" t="s">
        <v>71</v>
      </c>
      <c r="J226" s="9" t="s">
        <v>83</v>
      </c>
      <c r="K226" s="9" t="s">
        <v>107</v>
      </c>
    </row>
    <row r="227" ht="15.75" customHeight="1">
      <c r="A227" s="10">
        <v>45020.0</v>
      </c>
      <c r="B227" s="11">
        <v>1.79823714E9</v>
      </c>
      <c r="C227" s="12" t="s">
        <v>291</v>
      </c>
      <c r="D227" s="11">
        <v>1.2149548E7</v>
      </c>
      <c r="E227" s="10">
        <v>45026.0</v>
      </c>
      <c r="F227" s="9" t="s">
        <v>76</v>
      </c>
      <c r="G227" s="13">
        <v>1.0</v>
      </c>
      <c r="H227" s="9" t="s">
        <v>116</v>
      </c>
      <c r="I227" s="9" t="s">
        <v>71</v>
      </c>
      <c r="J227" s="9" t="s">
        <v>83</v>
      </c>
      <c r="K227" s="9" t="s">
        <v>107</v>
      </c>
    </row>
    <row r="228" ht="15.75" customHeight="1">
      <c r="A228" s="10">
        <v>45021.0</v>
      </c>
      <c r="B228" s="11">
        <v>4.93211656E9</v>
      </c>
      <c r="C228" s="12" t="s">
        <v>292</v>
      </c>
      <c r="D228" s="11">
        <v>1.8185053E7</v>
      </c>
      <c r="E228" s="10">
        <v>45026.0</v>
      </c>
      <c r="F228" s="9" t="s">
        <v>69</v>
      </c>
      <c r="G228" s="13">
        <v>1.0</v>
      </c>
      <c r="H228" s="9" t="s">
        <v>116</v>
      </c>
      <c r="I228" s="9" t="s">
        <v>71</v>
      </c>
      <c r="J228" s="9" t="s">
        <v>83</v>
      </c>
      <c r="K228" s="9" t="s">
        <v>73</v>
      </c>
    </row>
    <row r="229" ht="15.75" customHeight="1">
      <c r="A229" s="10">
        <v>45026.0</v>
      </c>
      <c r="B229" s="11">
        <v>9.497807336E9</v>
      </c>
      <c r="C229" s="12" t="s">
        <v>293</v>
      </c>
      <c r="D229" s="11">
        <v>2.2397032E7</v>
      </c>
      <c r="E229" s="10">
        <v>45027.0</v>
      </c>
      <c r="F229" s="9" t="s">
        <v>69</v>
      </c>
      <c r="G229" s="13">
        <v>2.0</v>
      </c>
      <c r="H229" s="9" t="s">
        <v>116</v>
      </c>
      <c r="I229" s="9" t="s">
        <v>71</v>
      </c>
      <c r="J229" s="9" t="s">
        <v>83</v>
      </c>
      <c r="K229" s="9" t="s">
        <v>73</v>
      </c>
    </row>
    <row r="230" ht="15.75" customHeight="1">
      <c r="A230" s="10">
        <v>45026.0</v>
      </c>
      <c r="B230" s="11">
        <v>4.61077855E9</v>
      </c>
      <c r="C230" s="12" t="s">
        <v>294</v>
      </c>
      <c r="D230" s="11">
        <v>1.3278277E7</v>
      </c>
      <c r="E230" s="10">
        <v>45027.0</v>
      </c>
      <c r="F230" s="9" t="s">
        <v>76</v>
      </c>
      <c r="G230" s="13">
        <v>2.0</v>
      </c>
      <c r="H230" s="9" t="s">
        <v>116</v>
      </c>
      <c r="I230" s="9" t="s">
        <v>71</v>
      </c>
      <c r="J230" s="9" t="s">
        <v>83</v>
      </c>
      <c r="K230" s="9" t="s">
        <v>73</v>
      </c>
    </row>
    <row r="231" ht="15.75" customHeight="1">
      <c r="A231" s="10">
        <v>44988.0</v>
      </c>
      <c r="B231" s="11">
        <v>6.853797602E9</v>
      </c>
      <c r="C231" s="12" t="s">
        <v>295</v>
      </c>
      <c r="D231" s="11">
        <v>1.7861097E7</v>
      </c>
      <c r="E231" s="10">
        <v>45028.0</v>
      </c>
      <c r="F231" s="9" t="s">
        <v>69</v>
      </c>
      <c r="G231" s="13">
        <v>3.0</v>
      </c>
      <c r="H231" s="9" t="s">
        <v>116</v>
      </c>
      <c r="I231" s="9" t="s">
        <v>71</v>
      </c>
      <c r="J231" s="9" t="s">
        <v>83</v>
      </c>
      <c r="K231" s="9" t="s">
        <v>73</v>
      </c>
    </row>
    <row r="232" ht="15.75" customHeight="1">
      <c r="A232" s="10">
        <v>44992.0</v>
      </c>
      <c r="B232" s="11">
        <v>8.255234805E9</v>
      </c>
      <c r="C232" s="12" t="s">
        <v>296</v>
      </c>
      <c r="D232" s="11">
        <v>2.7594189E7</v>
      </c>
      <c r="E232" s="10">
        <v>45028.0</v>
      </c>
      <c r="F232" s="9" t="s">
        <v>76</v>
      </c>
      <c r="G232" s="13">
        <v>3.0</v>
      </c>
      <c r="H232" s="9" t="s">
        <v>116</v>
      </c>
      <c r="I232" s="9" t="s">
        <v>71</v>
      </c>
      <c r="J232" s="9" t="s">
        <v>98</v>
      </c>
      <c r="K232" s="9" t="s">
        <v>73</v>
      </c>
    </row>
    <row r="233" ht="15.75" customHeight="1">
      <c r="A233" s="10">
        <v>45020.0</v>
      </c>
      <c r="B233" s="11">
        <v>7.504707416E9</v>
      </c>
      <c r="C233" s="12" t="s">
        <v>297</v>
      </c>
      <c r="D233" s="11">
        <v>2.9666845E7</v>
      </c>
      <c r="E233" s="10">
        <v>45028.0</v>
      </c>
      <c r="F233" s="9" t="s">
        <v>69</v>
      </c>
      <c r="G233" s="13">
        <v>2.0</v>
      </c>
      <c r="H233" s="9" t="s">
        <v>116</v>
      </c>
      <c r="I233" s="9" t="s">
        <v>71</v>
      </c>
      <c r="J233" s="9" t="s">
        <v>98</v>
      </c>
      <c r="K233" s="9" t="s">
        <v>73</v>
      </c>
    </row>
    <row r="234" ht="15.75" customHeight="1">
      <c r="A234" s="10">
        <v>45021.0</v>
      </c>
      <c r="B234" s="11">
        <v>4.932088081E9</v>
      </c>
      <c r="C234" s="12" t="s">
        <v>298</v>
      </c>
      <c r="D234" s="11">
        <v>7086550.0</v>
      </c>
      <c r="E234" s="10">
        <v>45028.0</v>
      </c>
      <c r="F234" s="9" t="s">
        <v>69</v>
      </c>
      <c r="G234" s="13">
        <v>1.0</v>
      </c>
      <c r="H234" s="9" t="s">
        <v>116</v>
      </c>
      <c r="I234" s="9" t="s">
        <v>71</v>
      </c>
      <c r="J234" s="9" t="s">
        <v>98</v>
      </c>
      <c r="K234" s="9" t="s">
        <v>73</v>
      </c>
    </row>
    <row r="235" ht="15.75" customHeight="1">
      <c r="A235" s="10">
        <v>45021.0</v>
      </c>
      <c r="B235" s="11">
        <v>2.061657732E9</v>
      </c>
      <c r="C235" s="12" t="s">
        <v>299</v>
      </c>
      <c r="D235" s="11">
        <v>2.2877491E7</v>
      </c>
      <c r="E235" s="10">
        <v>45028.0</v>
      </c>
      <c r="F235" s="9" t="s">
        <v>76</v>
      </c>
      <c r="G235" s="13">
        <v>1.0</v>
      </c>
      <c r="H235" s="9" t="s">
        <v>70</v>
      </c>
      <c r="I235" s="9" t="s">
        <v>71</v>
      </c>
      <c r="J235" s="9" t="s">
        <v>98</v>
      </c>
      <c r="K235" s="9" t="s">
        <v>73</v>
      </c>
    </row>
    <row r="236" ht="15.75" customHeight="1">
      <c r="A236" s="10">
        <v>45021.0</v>
      </c>
      <c r="B236" s="11">
        <v>8.663145724E9</v>
      </c>
      <c r="C236" s="12" t="s">
        <v>300</v>
      </c>
      <c r="D236" s="11">
        <v>4.5667846E7</v>
      </c>
      <c r="E236" s="10">
        <v>45028.0</v>
      </c>
      <c r="F236" s="9" t="s">
        <v>69</v>
      </c>
      <c r="G236" s="13">
        <v>1.0</v>
      </c>
      <c r="H236" s="9" t="s">
        <v>70</v>
      </c>
      <c r="I236" s="9" t="s">
        <v>71</v>
      </c>
      <c r="J236" s="9" t="s">
        <v>98</v>
      </c>
      <c r="K236" s="9" t="s">
        <v>73</v>
      </c>
    </row>
    <row r="237" ht="15.75" customHeight="1">
      <c r="A237" s="10">
        <v>45026.0</v>
      </c>
      <c r="B237" s="11">
        <v>4.727163744E9</v>
      </c>
      <c r="C237" s="12" t="s">
        <v>297</v>
      </c>
      <c r="D237" s="11">
        <v>2.9666845E7</v>
      </c>
      <c r="E237" s="10">
        <v>45028.0</v>
      </c>
      <c r="F237" s="9" t="s">
        <v>69</v>
      </c>
      <c r="G237" s="13">
        <v>2.0</v>
      </c>
      <c r="H237" s="9" t="s">
        <v>70</v>
      </c>
      <c r="I237" s="9" t="s">
        <v>71</v>
      </c>
      <c r="J237" s="9" t="s">
        <v>98</v>
      </c>
      <c r="K237" s="9" t="s">
        <v>73</v>
      </c>
    </row>
    <row r="238" ht="15.75" customHeight="1">
      <c r="A238" s="10">
        <v>45026.0</v>
      </c>
      <c r="B238" s="11">
        <v>8.482407371E9</v>
      </c>
      <c r="C238" s="12" t="s">
        <v>297</v>
      </c>
      <c r="D238" s="11">
        <v>2.9666845E7</v>
      </c>
      <c r="E238" s="10">
        <v>45028.0</v>
      </c>
      <c r="F238" s="9" t="s">
        <v>76</v>
      </c>
      <c r="G238" s="13">
        <v>2.0</v>
      </c>
      <c r="H238" s="9" t="s">
        <v>70</v>
      </c>
      <c r="I238" s="9" t="s">
        <v>71</v>
      </c>
      <c r="J238" s="9" t="s">
        <v>83</v>
      </c>
      <c r="K238" s="9" t="s">
        <v>73</v>
      </c>
    </row>
    <row r="239" ht="15.75" customHeight="1">
      <c r="A239" s="10">
        <v>45027.0</v>
      </c>
      <c r="B239" s="11">
        <v>6.09845733E9</v>
      </c>
      <c r="C239" s="12" t="s">
        <v>301</v>
      </c>
      <c r="D239" s="11">
        <v>1.3848282E7</v>
      </c>
      <c r="E239" s="10">
        <v>45028.0</v>
      </c>
      <c r="F239" s="9" t="s">
        <v>69</v>
      </c>
      <c r="G239" s="13">
        <v>3.0</v>
      </c>
      <c r="H239" s="9" t="s">
        <v>70</v>
      </c>
      <c r="I239" s="9" t="s">
        <v>71</v>
      </c>
      <c r="J239" s="9" t="s">
        <v>83</v>
      </c>
      <c r="K239" s="9" t="s">
        <v>99</v>
      </c>
    </row>
    <row r="240" ht="15.75" customHeight="1">
      <c r="A240" s="10">
        <v>45027.0</v>
      </c>
      <c r="B240" s="11">
        <v>6.098478245E9</v>
      </c>
      <c r="C240" s="12" t="s">
        <v>302</v>
      </c>
      <c r="D240" s="11">
        <v>2.6782176E7</v>
      </c>
      <c r="E240" s="10">
        <v>45028.0</v>
      </c>
      <c r="F240" s="9" t="s">
        <v>69</v>
      </c>
      <c r="G240" s="13">
        <v>1.0</v>
      </c>
      <c r="H240" s="9" t="s">
        <v>70</v>
      </c>
      <c r="I240" s="9" t="s">
        <v>77</v>
      </c>
      <c r="J240" s="9" t="s">
        <v>83</v>
      </c>
      <c r="K240" s="9" t="s">
        <v>99</v>
      </c>
    </row>
    <row r="241" ht="15.75" customHeight="1">
      <c r="A241" s="10">
        <v>45027.0</v>
      </c>
      <c r="B241" s="11">
        <v>8.242209205E9</v>
      </c>
      <c r="C241" s="12" t="s">
        <v>302</v>
      </c>
      <c r="D241" s="11">
        <v>2.6782176E7</v>
      </c>
      <c r="E241" s="10">
        <v>45028.0</v>
      </c>
      <c r="F241" s="9" t="s">
        <v>69</v>
      </c>
      <c r="G241" s="13">
        <v>3.0</v>
      </c>
      <c r="H241" s="9" t="s">
        <v>70</v>
      </c>
      <c r="I241" s="9" t="s">
        <v>77</v>
      </c>
      <c r="J241" s="9" t="s">
        <v>83</v>
      </c>
      <c r="K241" s="9" t="s">
        <v>99</v>
      </c>
    </row>
    <row r="242" ht="15.75" customHeight="1">
      <c r="A242" s="10">
        <v>45027.0</v>
      </c>
      <c r="B242" s="11">
        <v>8.198588554E9</v>
      </c>
      <c r="C242" s="12" t="s">
        <v>303</v>
      </c>
      <c r="D242" s="11">
        <v>2.0433157E7</v>
      </c>
      <c r="E242" s="10">
        <v>45028.0</v>
      </c>
      <c r="F242" s="9" t="s">
        <v>69</v>
      </c>
      <c r="G242" s="13">
        <v>2.0</v>
      </c>
      <c r="H242" s="9" t="s">
        <v>70</v>
      </c>
      <c r="I242" s="9" t="s">
        <v>77</v>
      </c>
      <c r="J242" s="9" t="s">
        <v>83</v>
      </c>
      <c r="K242" s="9" t="s">
        <v>99</v>
      </c>
    </row>
    <row r="243" ht="15.75" customHeight="1">
      <c r="A243" s="10">
        <v>45027.0</v>
      </c>
      <c r="B243" s="11">
        <v>1.170049613E9</v>
      </c>
      <c r="C243" s="12" t="s">
        <v>304</v>
      </c>
      <c r="D243" s="11">
        <v>1.2148895E7</v>
      </c>
      <c r="E243" s="10">
        <v>45028.0</v>
      </c>
      <c r="F243" s="9" t="s">
        <v>76</v>
      </c>
      <c r="G243" s="13">
        <v>1.0</v>
      </c>
      <c r="H243" s="9" t="s">
        <v>70</v>
      </c>
      <c r="I243" s="9" t="s">
        <v>77</v>
      </c>
      <c r="J243" s="9" t="s">
        <v>83</v>
      </c>
      <c r="K243" s="9" t="s">
        <v>99</v>
      </c>
    </row>
    <row r="244" ht="15.75" customHeight="1">
      <c r="A244" s="10">
        <v>45028.0</v>
      </c>
      <c r="B244" s="11">
        <v>9.50757332E9</v>
      </c>
      <c r="C244" s="12" t="s">
        <v>305</v>
      </c>
      <c r="D244" s="11">
        <v>4.0697876E7</v>
      </c>
      <c r="E244" s="10">
        <v>45029.0</v>
      </c>
      <c r="F244" s="9" t="s">
        <v>76</v>
      </c>
      <c r="G244" s="13">
        <v>1.0</v>
      </c>
      <c r="H244" s="9" t="s">
        <v>70</v>
      </c>
      <c r="I244" s="9" t="s">
        <v>77</v>
      </c>
      <c r="J244" s="9" t="s">
        <v>98</v>
      </c>
      <c r="K244" s="9" t="s">
        <v>99</v>
      </c>
    </row>
    <row r="245" ht="15.75" customHeight="1">
      <c r="A245" s="10">
        <v>45028.0</v>
      </c>
      <c r="B245" s="11">
        <v>4.077071666E9</v>
      </c>
      <c r="C245" s="12" t="s">
        <v>306</v>
      </c>
      <c r="D245" s="11">
        <v>3.2144059E7</v>
      </c>
      <c r="E245" s="10">
        <v>45029.0</v>
      </c>
      <c r="F245" s="9" t="s">
        <v>76</v>
      </c>
      <c r="G245" s="13">
        <v>1.0</v>
      </c>
      <c r="H245" s="9" t="s">
        <v>70</v>
      </c>
      <c r="I245" s="9" t="s">
        <v>88</v>
      </c>
      <c r="J245" s="9" t="s">
        <v>98</v>
      </c>
      <c r="K245" s="9" t="s">
        <v>73</v>
      </c>
    </row>
    <row r="246" ht="15.75" customHeight="1">
      <c r="A246" s="10">
        <v>45029.0</v>
      </c>
      <c r="B246" s="11">
        <v>4.575224474E9</v>
      </c>
      <c r="C246" s="12" t="s">
        <v>307</v>
      </c>
      <c r="D246" s="11">
        <v>4.3771031E7</v>
      </c>
      <c r="E246" s="10">
        <v>45029.0</v>
      </c>
      <c r="F246" s="9" t="s">
        <v>76</v>
      </c>
      <c r="G246" s="13">
        <v>2.0</v>
      </c>
      <c r="H246" s="9" t="s">
        <v>70</v>
      </c>
      <c r="I246" s="9" t="s">
        <v>88</v>
      </c>
      <c r="J246" s="9" t="s">
        <v>98</v>
      </c>
      <c r="K246" s="9" t="s">
        <v>73</v>
      </c>
    </row>
    <row r="247" ht="15.75" customHeight="1">
      <c r="A247" s="10">
        <v>45026.0</v>
      </c>
      <c r="B247" s="11">
        <v>3.72484581E9</v>
      </c>
      <c r="C247" s="12" t="s">
        <v>308</v>
      </c>
      <c r="D247" s="11">
        <v>1.78597E7</v>
      </c>
      <c r="E247" s="10">
        <v>45030.0</v>
      </c>
      <c r="F247" s="9" t="s">
        <v>76</v>
      </c>
      <c r="G247" s="13">
        <v>1.0</v>
      </c>
      <c r="H247" s="9" t="s">
        <v>70</v>
      </c>
      <c r="I247" s="9" t="s">
        <v>88</v>
      </c>
      <c r="J247" s="9" t="s">
        <v>98</v>
      </c>
      <c r="K247" s="9" t="s">
        <v>73</v>
      </c>
    </row>
    <row r="248" ht="15.75" customHeight="1">
      <c r="A248" s="10">
        <v>45027.0</v>
      </c>
      <c r="B248" s="11">
        <v>4.56948709E9</v>
      </c>
      <c r="C248" s="12" t="s">
        <v>309</v>
      </c>
      <c r="D248" s="11">
        <v>1.3895548E7</v>
      </c>
      <c r="E248" s="10">
        <v>45030.0</v>
      </c>
      <c r="F248" s="9" t="s">
        <v>76</v>
      </c>
      <c r="G248" s="13">
        <v>3.0</v>
      </c>
      <c r="H248" s="9" t="s">
        <v>70</v>
      </c>
      <c r="I248" s="9" t="s">
        <v>88</v>
      </c>
      <c r="J248" s="9" t="s">
        <v>98</v>
      </c>
      <c r="K248" s="9" t="s">
        <v>73</v>
      </c>
    </row>
    <row r="249" ht="15.75" customHeight="1">
      <c r="A249" s="10">
        <v>45027.0</v>
      </c>
      <c r="B249" s="11">
        <v>8.198591682E9</v>
      </c>
      <c r="C249" s="12" t="s">
        <v>309</v>
      </c>
      <c r="D249" s="11">
        <v>1.3895548E7</v>
      </c>
      <c r="E249" s="10">
        <v>45030.0</v>
      </c>
      <c r="F249" s="9" t="s">
        <v>76</v>
      </c>
      <c r="G249" s="13">
        <v>1.0</v>
      </c>
      <c r="H249" s="9" t="s">
        <v>70</v>
      </c>
      <c r="I249" s="9" t="s">
        <v>88</v>
      </c>
      <c r="J249" s="9" t="s">
        <v>98</v>
      </c>
      <c r="K249" s="9" t="s">
        <v>73</v>
      </c>
    </row>
    <row r="250" ht="15.75" customHeight="1">
      <c r="A250" s="10">
        <v>45028.0</v>
      </c>
      <c r="B250" s="11">
        <v>4.07704899E9</v>
      </c>
      <c r="C250" s="12" t="s">
        <v>310</v>
      </c>
      <c r="D250" s="11">
        <v>3.1893573E7</v>
      </c>
      <c r="E250" s="10">
        <v>45030.0</v>
      </c>
      <c r="F250" s="9" t="s">
        <v>69</v>
      </c>
      <c r="G250" s="13">
        <v>2.0</v>
      </c>
      <c r="H250" s="9" t="s">
        <v>70</v>
      </c>
      <c r="I250" s="9" t="s">
        <v>77</v>
      </c>
      <c r="J250" s="9" t="s">
        <v>98</v>
      </c>
      <c r="K250" s="9" t="s">
        <v>73</v>
      </c>
    </row>
    <row r="251" ht="15.75" customHeight="1">
      <c r="A251" s="10">
        <v>45028.0</v>
      </c>
      <c r="B251" s="11">
        <v>2.39799504E9</v>
      </c>
      <c r="C251" s="12" t="s">
        <v>308</v>
      </c>
      <c r="D251" s="11">
        <v>1.78597E7</v>
      </c>
      <c r="E251" s="10">
        <v>45030.0</v>
      </c>
      <c r="F251" s="9" t="s">
        <v>69</v>
      </c>
      <c r="G251" s="13">
        <v>2.0</v>
      </c>
      <c r="H251" s="9" t="s">
        <v>70</v>
      </c>
      <c r="I251" s="9" t="s">
        <v>77</v>
      </c>
      <c r="J251" s="9" t="s">
        <v>72</v>
      </c>
      <c r="K251" s="9" t="s">
        <v>73</v>
      </c>
    </row>
    <row r="252" ht="15.75" customHeight="1">
      <c r="A252" s="10">
        <v>45028.0</v>
      </c>
      <c r="B252" s="11">
        <v>9.507590621E9</v>
      </c>
      <c r="C252" s="12" t="s">
        <v>310</v>
      </c>
      <c r="D252" s="11">
        <v>3.1893573E7</v>
      </c>
      <c r="E252" s="10">
        <v>45030.0</v>
      </c>
      <c r="F252" s="9" t="s">
        <v>69</v>
      </c>
      <c r="G252" s="13">
        <v>1.0</v>
      </c>
      <c r="H252" s="9" t="s">
        <v>70</v>
      </c>
      <c r="I252" s="9" t="s">
        <v>77</v>
      </c>
      <c r="J252" s="9" t="s">
        <v>72</v>
      </c>
      <c r="K252" s="9" t="s">
        <v>73</v>
      </c>
    </row>
    <row r="253" ht="15.75" customHeight="1">
      <c r="A253" s="10">
        <v>45020.0</v>
      </c>
      <c r="B253" s="11">
        <v>5.401384203E9</v>
      </c>
      <c r="C253" s="12" t="s">
        <v>311</v>
      </c>
      <c r="D253" s="11">
        <v>4.5514837E7</v>
      </c>
      <c r="E253" s="10">
        <v>45033.0</v>
      </c>
      <c r="F253" s="9" t="s">
        <v>69</v>
      </c>
      <c r="G253" s="13">
        <v>1.0</v>
      </c>
      <c r="H253" s="9" t="s">
        <v>70</v>
      </c>
      <c r="I253" s="9" t="s">
        <v>77</v>
      </c>
      <c r="J253" s="9" t="s">
        <v>72</v>
      </c>
      <c r="K253" s="9" t="s">
        <v>73</v>
      </c>
    </row>
    <row r="254" ht="15.75" customHeight="1">
      <c r="A254" s="10">
        <v>45027.0</v>
      </c>
      <c r="B254" s="11">
        <v>2.996789176E9</v>
      </c>
      <c r="C254" s="12" t="s">
        <v>312</v>
      </c>
      <c r="D254" s="11">
        <v>2.9997624E7</v>
      </c>
      <c r="E254" s="10">
        <v>45033.0</v>
      </c>
      <c r="F254" s="9" t="s">
        <v>69</v>
      </c>
      <c r="G254" s="13">
        <v>2.0</v>
      </c>
      <c r="H254" s="9" t="s">
        <v>70</v>
      </c>
      <c r="I254" s="9" t="s">
        <v>77</v>
      </c>
      <c r="J254" s="9" t="s">
        <v>72</v>
      </c>
      <c r="K254" s="9" t="s">
        <v>73</v>
      </c>
    </row>
    <row r="255" ht="15.75" customHeight="1">
      <c r="A255" s="10">
        <v>45028.0</v>
      </c>
      <c r="B255" s="11">
        <v>6.282426102E9</v>
      </c>
      <c r="C255" s="12" t="s">
        <v>313</v>
      </c>
      <c r="D255" s="11">
        <v>1.0791321E7</v>
      </c>
      <c r="E255" s="10">
        <v>45033.0</v>
      </c>
      <c r="F255" s="9" t="s">
        <v>76</v>
      </c>
      <c r="G255" s="13">
        <v>2.0</v>
      </c>
      <c r="H255" s="9" t="s">
        <v>70</v>
      </c>
      <c r="I255" s="9" t="s">
        <v>71</v>
      </c>
      <c r="J255" s="9" t="s">
        <v>72</v>
      </c>
      <c r="K255" s="9" t="s">
        <v>73</v>
      </c>
    </row>
    <row r="256" ht="15.75" customHeight="1">
      <c r="A256" s="10">
        <v>45028.0</v>
      </c>
      <c r="B256" s="11">
        <v>9.507590002E9</v>
      </c>
      <c r="C256" s="12" t="s">
        <v>314</v>
      </c>
      <c r="D256" s="11">
        <v>4.760621E7</v>
      </c>
      <c r="E256" s="10">
        <v>45033.0</v>
      </c>
      <c r="F256" s="9" t="s">
        <v>69</v>
      </c>
      <c r="G256" s="13">
        <v>1.0</v>
      </c>
      <c r="H256" s="9" t="s">
        <v>70</v>
      </c>
      <c r="I256" s="9" t="s">
        <v>71</v>
      </c>
      <c r="J256" s="9" t="s">
        <v>72</v>
      </c>
      <c r="K256" s="9" t="s">
        <v>73</v>
      </c>
    </row>
    <row r="257" ht="15.75" customHeight="1">
      <c r="A257" s="10">
        <v>45030.0</v>
      </c>
      <c r="B257" s="11">
        <v>3.183000575E9</v>
      </c>
      <c r="C257" s="12" t="s">
        <v>315</v>
      </c>
      <c r="D257" s="11">
        <v>3.4764281E7</v>
      </c>
      <c r="E257" s="10">
        <v>45033.0</v>
      </c>
      <c r="F257" s="9" t="s">
        <v>69</v>
      </c>
      <c r="G257" s="13">
        <v>3.0</v>
      </c>
      <c r="H257" s="9" t="s">
        <v>70</v>
      </c>
      <c r="I257" s="9" t="s">
        <v>71</v>
      </c>
      <c r="J257" s="9" t="s">
        <v>72</v>
      </c>
      <c r="K257" s="9" t="s">
        <v>103</v>
      </c>
    </row>
    <row r="258" ht="15.75" customHeight="1">
      <c r="A258" s="10">
        <v>45016.0</v>
      </c>
      <c r="B258" s="11">
        <v>9.062481783E9</v>
      </c>
      <c r="C258" s="12" t="s">
        <v>316</v>
      </c>
      <c r="D258" s="11">
        <v>2.0219841E7</v>
      </c>
      <c r="E258" s="10">
        <v>45034.0</v>
      </c>
      <c r="F258" s="9" t="s">
        <v>69</v>
      </c>
      <c r="G258" s="13">
        <v>3.0</v>
      </c>
      <c r="H258" s="9" t="s">
        <v>70</v>
      </c>
      <c r="I258" s="9" t="s">
        <v>71</v>
      </c>
      <c r="J258" s="9" t="s">
        <v>72</v>
      </c>
      <c r="K258" s="9" t="s">
        <v>103</v>
      </c>
    </row>
    <row r="259" ht="15.75" customHeight="1">
      <c r="A259" s="10">
        <v>45020.0</v>
      </c>
      <c r="B259" s="11">
        <v>2.414141855E9</v>
      </c>
      <c r="C259" s="12" t="s">
        <v>317</v>
      </c>
      <c r="D259" s="11">
        <v>1.6637085E7</v>
      </c>
      <c r="E259" s="10">
        <v>45034.0</v>
      </c>
      <c r="F259" s="9" t="s">
        <v>69</v>
      </c>
      <c r="G259" s="13">
        <v>2.0</v>
      </c>
      <c r="H259" s="9" t="s">
        <v>70</v>
      </c>
      <c r="I259" s="9" t="s">
        <v>71</v>
      </c>
      <c r="J259" s="9" t="s">
        <v>72</v>
      </c>
      <c r="K259" s="9" t="s">
        <v>103</v>
      </c>
    </row>
    <row r="260" ht="15.75" customHeight="1">
      <c r="A260" s="10">
        <v>45020.0</v>
      </c>
      <c r="B260" s="11">
        <v>2.41417603E9</v>
      </c>
      <c r="C260" s="12" t="s">
        <v>317</v>
      </c>
      <c r="D260" s="11">
        <v>1.6637085E7</v>
      </c>
      <c r="E260" s="10">
        <v>45034.0</v>
      </c>
      <c r="F260" s="9" t="s">
        <v>76</v>
      </c>
      <c r="G260" s="13">
        <v>1.0</v>
      </c>
      <c r="H260" s="9" t="s">
        <v>112</v>
      </c>
      <c r="I260" s="9" t="s">
        <v>71</v>
      </c>
      <c r="J260" s="9" t="s">
        <v>72</v>
      </c>
      <c r="K260" s="9" t="s">
        <v>103</v>
      </c>
    </row>
    <row r="261" ht="15.75" customHeight="1">
      <c r="A261" s="10">
        <v>45020.0</v>
      </c>
      <c r="B261" s="11">
        <v>8.913898405E9</v>
      </c>
      <c r="C261" s="12" t="s">
        <v>317</v>
      </c>
      <c r="D261" s="11">
        <v>1.6637085E7</v>
      </c>
      <c r="E261" s="10">
        <v>45034.0</v>
      </c>
      <c r="F261" s="9" t="s">
        <v>69</v>
      </c>
      <c r="G261" s="13">
        <v>1.0</v>
      </c>
      <c r="H261" s="9" t="s">
        <v>112</v>
      </c>
      <c r="I261" s="9" t="s">
        <v>71</v>
      </c>
      <c r="J261" s="9" t="s">
        <v>318</v>
      </c>
      <c r="K261" s="9" t="s">
        <v>103</v>
      </c>
    </row>
    <row r="262" ht="15.75" customHeight="1">
      <c r="A262" s="10">
        <v>45030.0</v>
      </c>
      <c r="B262" s="11">
        <v>3.183005906E9</v>
      </c>
      <c r="C262" s="12" t="s">
        <v>319</v>
      </c>
      <c r="D262" s="11">
        <v>3.8185016E7</v>
      </c>
      <c r="E262" s="10">
        <v>45034.0</v>
      </c>
      <c r="F262" s="9" t="s">
        <v>69</v>
      </c>
      <c r="G262" s="13">
        <v>1.0</v>
      </c>
      <c r="H262" s="9" t="s">
        <v>112</v>
      </c>
      <c r="I262" s="9" t="s">
        <v>71</v>
      </c>
      <c r="J262" s="9" t="s">
        <v>318</v>
      </c>
      <c r="K262" s="9" t="s">
        <v>103</v>
      </c>
    </row>
    <row r="263" ht="15.75" customHeight="1">
      <c r="A263" s="10">
        <v>45026.0</v>
      </c>
      <c r="B263" s="11">
        <v>5.39612465E9</v>
      </c>
      <c r="C263" s="12" t="s">
        <v>320</v>
      </c>
      <c r="D263" s="11">
        <v>2.701755E7</v>
      </c>
      <c r="E263" s="10">
        <v>45035.0</v>
      </c>
      <c r="F263" s="9" t="s">
        <v>69</v>
      </c>
      <c r="G263" s="13">
        <v>2.0</v>
      </c>
      <c r="H263" s="9" t="s">
        <v>112</v>
      </c>
      <c r="I263" s="9" t="s">
        <v>71</v>
      </c>
      <c r="J263" s="9" t="s">
        <v>318</v>
      </c>
      <c r="K263" s="9" t="s">
        <v>103</v>
      </c>
    </row>
    <row r="264" ht="15.75" customHeight="1">
      <c r="A264" s="10">
        <v>45030.0</v>
      </c>
      <c r="B264" s="11">
        <v>9.673498822E9</v>
      </c>
      <c r="C264" s="12" t="s">
        <v>321</v>
      </c>
      <c r="D264" s="11">
        <v>3.7191514E7</v>
      </c>
      <c r="E264" s="10">
        <v>45035.0</v>
      </c>
      <c r="F264" s="9" t="s">
        <v>69</v>
      </c>
      <c r="G264" s="13">
        <v>2.0</v>
      </c>
      <c r="H264" s="9" t="s">
        <v>81</v>
      </c>
      <c r="I264" s="9" t="s">
        <v>71</v>
      </c>
      <c r="J264" s="9" t="s">
        <v>318</v>
      </c>
      <c r="K264" s="9" t="s">
        <v>103</v>
      </c>
    </row>
    <row r="265" ht="15.75" customHeight="1">
      <c r="A265" s="10">
        <v>45028.0</v>
      </c>
      <c r="B265" s="11">
        <v>6.369047661E9</v>
      </c>
      <c r="C265" s="12" t="s">
        <v>322</v>
      </c>
      <c r="D265" s="11">
        <v>2.6486034E7</v>
      </c>
      <c r="E265" s="10">
        <v>45036.0</v>
      </c>
      <c r="F265" s="9" t="s">
        <v>69</v>
      </c>
      <c r="G265" s="13">
        <v>1.0</v>
      </c>
      <c r="H265" s="9" t="s">
        <v>81</v>
      </c>
      <c r="I265" s="9" t="s">
        <v>71</v>
      </c>
      <c r="J265" s="9" t="s">
        <v>318</v>
      </c>
      <c r="K265" s="9" t="s">
        <v>103</v>
      </c>
    </row>
    <row r="266" ht="15.75" customHeight="1">
      <c r="A266" s="10">
        <v>45028.0</v>
      </c>
      <c r="B266" s="11">
        <v>7.390951654E9</v>
      </c>
      <c r="C266" s="12" t="s">
        <v>322</v>
      </c>
      <c r="D266" s="11">
        <v>2.6486034E7</v>
      </c>
      <c r="E266" s="10">
        <v>45036.0</v>
      </c>
      <c r="F266" s="9" t="s">
        <v>69</v>
      </c>
      <c r="G266" s="13">
        <v>2.0</v>
      </c>
      <c r="H266" s="9" t="s">
        <v>81</v>
      </c>
      <c r="I266" s="9" t="s">
        <v>71</v>
      </c>
      <c r="J266" s="9" t="s">
        <v>318</v>
      </c>
      <c r="K266" s="9" t="s">
        <v>90</v>
      </c>
    </row>
    <row r="267" ht="15.75" customHeight="1">
      <c r="A267" s="10">
        <v>45028.0</v>
      </c>
      <c r="B267" s="11">
        <v>9.507628771E9</v>
      </c>
      <c r="C267" s="12" t="s">
        <v>322</v>
      </c>
      <c r="D267" s="11">
        <v>2.6486034E7</v>
      </c>
      <c r="E267" s="10">
        <v>45036.0</v>
      </c>
      <c r="F267" s="9" t="s">
        <v>69</v>
      </c>
      <c r="G267" s="13">
        <v>2.0</v>
      </c>
      <c r="H267" s="9" t="s">
        <v>81</v>
      </c>
      <c r="I267" s="9" t="s">
        <v>71</v>
      </c>
      <c r="J267" s="9" t="s">
        <v>318</v>
      </c>
      <c r="K267" s="9" t="s">
        <v>90</v>
      </c>
    </row>
    <row r="268" ht="15.75" customHeight="1">
      <c r="A268" s="10">
        <v>45034.0</v>
      </c>
      <c r="B268" s="11">
        <v>8.227436711E9</v>
      </c>
      <c r="C268" s="12" t="s">
        <v>323</v>
      </c>
      <c r="D268" s="11">
        <v>2.3554519E7</v>
      </c>
      <c r="E268" s="10">
        <v>45036.0</v>
      </c>
      <c r="F268" s="9" t="s">
        <v>69</v>
      </c>
      <c r="G268" s="13">
        <v>2.0</v>
      </c>
      <c r="H268" s="9" t="s">
        <v>81</v>
      </c>
      <c r="I268" s="9" t="s">
        <v>77</v>
      </c>
      <c r="J268" s="9" t="s">
        <v>318</v>
      </c>
      <c r="K268" s="9" t="s">
        <v>90</v>
      </c>
    </row>
    <row r="269" ht="15.75" customHeight="1">
      <c r="A269" s="10">
        <v>45021.0</v>
      </c>
      <c r="B269" s="11">
        <v>6.067973402E9</v>
      </c>
      <c r="C269" s="12" t="s">
        <v>324</v>
      </c>
      <c r="D269" s="11">
        <v>4.8486551E7</v>
      </c>
      <c r="E269" s="10">
        <v>45037.0</v>
      </c>
      <c r="F269" s="9" t="s">
        <v>69</v>
      </c>
      <c r="G269" s="13">
        <v>11.0</v>
      </c>
      <c r="H269" s="9" t="s">
        <v>92</v>
      </c>
      <c r="I269" s="9" t="s">
        <v>77</v>
      </c>
      <c r="J269" s="9" t="s">
        <v>83</v>
      </c>
      <c r="K269" s="9" t="s">
        <v>90</v>
      </c>
    </row>
    <row r="270" ht="15.75" customHeight="1">
      <c r="A270" s="10">
        <v>45030.0</v>
      </c>
      <c r="B270" s="11">
        <v>7.702559174E9</v>
      </c>
      <c r="C270" s="12" t="s">
        <v>325</v>
      </c>
      <c r="D270" s="11">
        <v>1.7077001E7</v>
      </c>
      <c r="E270" s="10">
        <v>45037.0</v>
      </c>
      <c r="F270" s="9" t="s">
        <v>69</v>
      </c>
      <c r="G270" s="13">
        <v>1.0</v>
      </c>
      <c r="H270" s="9" t="s">
        <v>92</v>
      </c>
      <c r="I270" s="9" t="s">
        <v>77</v>
      </c>
      <c r="J270" s="9" t="s">
        <v>83</v>
      </c>
      <c r="K270" s="9" t="s">
        <v>90</v>
      </c>
    </row>
    <row r="271" ht="15.75" customHeight="1">
      <c r="A271" s="10">
        <v>45035.0</v>
      </c>
      <c r="B271" s="11">
        <v>1.151993651E9</v>
      </c>
      <c r="C271" s="12" t="s">
        <v>326</v>
      </c>
      <c r="D271" s="11">
        <v>2.7962271E7</v>
      </c>
      <c r="E271" s="10">
        <v>45037.0</v>
      </c>
      <c r="F271" s="9" t="s">
        <v>69</v>
      </c>
      <c r="G271" s="13">
        <v>1.0</v>
      </c>
      <c r="H271" s="9" t="s">
        <v>92</v>
      </c>
      <c r="I271" s="9" t="s">
        <v>77</v>
      </c>
      <c r="J271" s="9" t="s">
        <v>83</v>
      </c>
      <c r="K271" s="9" t="s">
        <v>217</v>
      </c>
    </row>
    <row r="272" ht="15.75" customHeight="1">
      <c r="A272" s="10">
        <v>45035.0</v>
      </c>
      <c r="B272" s="11">
        <v>4.744055116E9</v>
      </c>
      <c r="C272" s="12" t="s">
        <v>327</v>
      </c>
      <c r="D272" s="11">
        <v>2.434051E7</v>
      </c>
      <c r="E272" s="10">
        <v>45037.0</v>
      </c>
      <c r="F272" s="9" t="s">
        <v>69</v>
      </c>
      <c r="G272" s="13">
        <v>2.0</v>
      </c>
      <c r="H272" s="9" t="s">
        <v>92</v>
      </c>
      <c r="I272" s="9" t="s">
        <v>77</v>
      </c>
      <c r="J272" s="9" t="s">
        <v>83</v>
      </c>
      <c r="K272" s="9" t="s">
        <v>217</v>
      </c>
    </row>
    <row r="273" ht="15.75" customHeight="1">
      <c r="A273" s="10">
        <v>45036.0</v>
      </c>
      <c r="B273" s="11">
        <v>2.911360642E9</v>
      </c>
      <c r="C273" s="12" t="s">
        <v>328</v>
      </c>
      <c r="D273" s="11">
        <v>3.0597761E7</v>
      </c>
      <c r="E273" s="10">
        <v>45037.0</v>
      </c>
      <c r="F273" s="9" t="s">
        <v>69</v>
      </c>
      <c r="G273" s="13">
        <v>2.0</v>
      </c>
      <c r="H273" s="9" t="s">
        <v>92</v>
      </c>
      <c r="I273" s="9" t="s">
        <v>77</v>
      </c>
      <c r="J273" s="9" t="s">
        <v>83</v>
      </c>
      <c r="K273" s="9" t="s">
        <v>217</v>
      </c>
    </row>
    <row r="274" ht="15.75" customHeight="1">
      <c r="A274" s="10">
        <v>45034.0</v>
      </c>
      <c r="B274" s="11">
        <v>1.508364826E9</v>
      </c>
      <c r="C274" s="12" t="s">
        <v>329</v>
      </c>
      <c r="D274" s="11">
        <v>2.0433465E7</v>
      </c>
      <c r="E274" s="10">
        <v>45040.0</v>
      </c>
      <c r="F274" s="9" t="s">
        <v>69</v>
      </c>
      <c r="G274" s="13">
        <v>1.0</v>
      </c>
      <c r="H274" s="9" t="s">
        <v>92</v>
      </c>
      <c r="I274" s="9" t="s">
        <v>77</v>
      </c>
      <c r="J274" s="9" t="s">
        <v>318</v>
      </c>
      <c r="K274" s="9" t="s">
        <v>73</v>
      </c>
    </row>
    <row r="275" ht="15.75" customHeight="1">
      <c r="A275" s="10">
        <v>45035.0</v>
      </c>
      <c r="B275" s="11">
        <v>2.418266465E9</v>
      </c>
      <c r="C275" s="12" t="s">
        <v>330</v>
      </c>
      <c r="D275" s="11">
        <v>4.0953034E7</v>
      </c>
      <c r="E275" s="10">
        <v>45040.0</v>
      </c>
      <c r="F275" s="9" t="s">
        <v>69</v>
      </c>
      <c r="G275" s="13">
        <v>1.0</v>
      </c>
      <c r="H275" s="9" t="s">
        <v>92</v>
      </c>
      <c r="I275" s="9" t="s">
        <v>77</v>
      </c>
      <c r="J275" s="9" t="s">
        <v>318</v>
      </c>
      <c r="K275" s="9" t="s">
        <v>73</v>
      </c>
    </row>
    <row r="276" ht="15.75" customHeight="1">
      <c r="A276" s="10">
        <v>45036.0</v>
      </c>
      <c r="B276" s="11">
        <v>5.878787364E9</v>
      </c>
      <c r="C276" s="12" t="s">
        <v>331</v>
      </c>
      <c r="D276" s="11">
        <v>2.9766947E7</v>
      </c>
      <c r="E276" s="10">
        <v>45040.0</v>
      </c>
      <c r="F276" s="9" t="s">
        <v>69</v>
      </c>
      <c r="G276" s="13">
        <v>1.0</v>
      </c>
      <c r="H276" s="9" t="s">
        <v>92</v>
      </c>
      <c r="I276" s="9" t="s">
        <v>77</v>
      </c>
      <c r="J276" s="9" t="s">
        <v>318</v>
      </c>
      <c r="K276" s="9" t="s">
        <v>73</v>
      </c>
    </row>
    <row r="277" ht="15.75" customHeight="1">
      <c r="A277" s="10">
        <v>45036.0</v>
      </c>
      <c r="B277" s="11">
        <v>8.552573131E9</v>
      </c>
      <c r="C277" s="12" t="s">
        <v>332</v>
      </c>
      <c r="D277" s="11">
        <v>3.1038055E7</v>
      </c>
      <c r="E277" s="10">
        <v>45040.0</v>
      </c>
      <c r="F277" s="9" t="s">
        <v>69</v>
      </c>
      <c r="G277" s="13">
        <v>1.0</v>
      </c>
      <c r="H277" s="9" t="s">
        <v>92</v>
      </c>
      <c r="I277" s="9" t="s">
        <v>77</v>
      </c>
      <c r="J277" s="9" t="s">
        <v>318</v>
      </c>
      <c r="K277" s="9" t="s">
        <v>73</v>
      </c>
    </row>
    <row r="278" ht="15.75" customHeight="1">
      <c r="A278" s="10">
        <v>45020.0</v>
      </c>
      <c r="B278" s="11">
        <v>4.875171943E9</v>
      </c>
      <c r="C278" s="12" t="s">
        <v>333</v>
      </c>
      <c r="D278" s="11">
        <v>4.0086058E7</v>
      </c>
      <c r="E278" s="10">
        <v>45041.0</v>
      </c>
      <c r="F278" s="9" t="s">
        <v>69</v>
      </c>
      <c r="G278" s="13">
        <v>1.0</v>
      </c>
      <c r="H278" s="9" t="s">
        <v>92</v>
      </c>
      <c r="I278" s="9" t="s">
        <v>77</v>
      </c>
      <c r="J278" s="9" t="s">
        <v>318</v>
      </c>
      <c r="K278" s="9" t="s">
        <v>73</v>
      </c>
    </row>
    <row r="279" ht="15.75" customHeight="1">
      <c r="A279" s="10">
        <v>45035.0</v>
      </c>
      <c r="B279" s="11">
        <v>2.82086602E9</v>
      </c>
      <c r="C279" s="12" t="s">
        <v>334</v>
      </c>
      <c r="D279" s="11">
        <v>3.2412233E7</v>
      </c>
      <c r="E279" s="10">
        <v>45041.0</v>
      </c>
      <c r="F279" s="9" t="s">
        <v>69</v>
      </c>
      <c r="G279" s="13">
        <v>1.0</v>
      </c>
      <c r="H279" s="9" t="s">
        <v>92</v>
      </c>
      <c r="I279" s="9" t="s">
        <v>77</v>
      </c>
      <c r="J279" s="9" t="s">
        <v>318</v>
      </c>
      <c r="K279" s="9" t="s">
        <v>73</v>
      </c>
    </row>
    <row r="280" ht="15.75" customHeight="1">
      <c r="A280" s="10">
        <v>45035.0</v>
      </c>
      <c r="B280" s="11">
        <v>6.178725475E9</v>
      </c>
      <c r="C280" s="12" t="s">
        <v>335</v>
      </c>
      <c r="D280" s="11">
        <v>3.2109986E7</v>
      </c>
      <c r="E280" s="10">
        <v>45041.0</v>
      </c>
      <c r="F280" s="9" t="s">
        <v>76</v>
      </c>
      <c r="G280" s="13">
        <v>1.0</v>
      </c>
      <c r="H280" s="9" t="s">
        <v>92</v>
      </c>
      <c r="I280" s="9" t="s">
        <v>77</v>
      </c>
      <c r="J280" s="9" t="s">
        <v>318</v>
      </c>
      <c r="K280" s="9" t="s">
        <v>84</v>
      </c>
    </row>
    <row r="281" ht="15.75" customHeight="1">
      <c r="A281" s="10">
        <v>45037.0</v>
      </c>
      <c r="B281" s="11">
        <v>2.503917172E9</v>
      </c>
      <c r="C281" s="12" t="s">
        <v>336</v>
      </c>
      <c r="D281" s="11">
        <v>3.0758906E7</v>
      </c>
      <c r="E281" s="10">
        <v>45041.0</v>
      </c>
      <c r="F281" s="9" t="s">
        <v>69</v>
      </c>
      <c r="G281" s="13">
        <v>2.0</v>
      </c>
      <c r="H281" s="9" t="s">
        <v>92</v>
      </c>
      <c r="I281" s="9" t="s">
        <v>77</v>
      </c>
      <c r="J281" s="9" t="s">
        <v>318</v>
      </c>
      <c r="K281" s="9" t="s">
        <v>84</v>
      </c>
    </row>
    <row r="282" ht="15.75" customHeight="1">
      <c r="A282" s="10">
        <v>45041.0</v>
      </c>
      <c r="B282" s="11">
        <v>6.64711425E9</v>
      </c>
      <c r="C282" s="12" t="s">
        <v>337</v>
      </c>
      <c r="D282" s="11">
        <v>1.3338785E7</v>
      </c>
      <c r="E282" s="10">
        <v>45041.0</v>
      </c>
      <c r="F282" s="9" t="s">
        <v>69</v>
      </c>
      <c r="G282" s="13">
        <v>2.0</v>
      </c>
      <c r="H282" s="9" t="s">
        <v>106</v>
      </c>
      <c r="I282" s="9" t="s">
        <v>77</v>
      </c>
      <c r="J282" s="9" t="s">
        <v>72</v>
      </c>
      <c r="K282" s="9" t="s">
        <v>84</v>
      </c>
    </row>
    <row r="283" ht="15.75" customHeight="1">
      <c r="A283" s="10">
        <v>45041.0</v>
      </c>
      <c r="B283" s="11">
        <v>4.973345042E9</v>
      </c>
      <c r="C283" s="12" t="s">
        <v>338</v>
      </c>
      <c r="D283" s="11">
        <v>4986523.0</v>
      </c>
      <c r="E283" s="10">
        <v>45041.0</v>
      </c>
      <c r="F283" s="9" t="s">
        <v>69</v>
      </c>
      <c r="G283" s="13">
        <v>2.0</v>
      </c>
      <c r="H283" s="9" t="s">
        <v>106</v>
      </c>
      <c r="I283" s="9" t="s">
        <v>77</v>
      </c>
      <c r="J283" s="9" t="s">
        <v>72</v>
      </c>
      <c r="K283" s="9" t="s">
        <v>84</v>
      </c>
    </row>
    <row r="284" ht="15.75" customHeight="1">
      <c r="A284" s="10">
        <v>45041.0</v>
      </c>
      <c r="B284" s="11">
        <v>5.001800053E9</v>
      </c>
      <c r="C284" s="12" t="s">
        <v>339</v>
      </c>
      <c r="D284" s="11">
        <v>3.7957293E7</v>
      </c>
      <c r="E284" s="10">
        <v>45041.0</v>
      </c>
      <c r="F284" s="9" t="s">
        <v>69</v>
      </c>
      <c r="G284" s="13">
        <v>2.0</v>
      </c>
      <c r="H284" s="9" t="s">
        <v>106</v>
      </c>
      <c r="I284" s="9" t="s">
        <v>77</v>
      </c>
      <c r="J284" s="9" t="s">
        <v>72</v>
      </c>
      <c r="K284" s="9" t="s">
        <v>84</v>
      </c>
    </row>
    <row r="285" ht="15.75" customHeight="1">
      <c r="A285" s="10">
        <v>45041.0</v>
      </c>
      <c r="B285" s="11">
        <v>3.268010071E9</v>
      </c>
      <c r="C285" s="12" t="s">
        <v>340</v>
      </c>
      <c r="D285" s="11">
        <v>3.1644462E7</v>
      </c>
      <c r="E285" s="10">
        <v>45041.0</v>
      </c>
      <c r="F285" s="9" t="s">
        <v>76</v>
      </c>
      <c r="G285" s="13">
        <v>3.0</v>
      </c>
      <c r="H285" s="9" t="s">
        <v>106</v>
      </c>
      <c r="I285" s="9" t="s">
        <v>77</v>
      </c>
      <c r="J285" s="9" t="s">
        <v>72</v>
      </c>
      <c r="K285" s="9" t="s">
        <v>84</v>
      </c>
    </row>
    <row r="286" ht="15.75" customHeight="1">
      <c r="A286" s="10">
        <v>45030.0</v>
      </c>
      <c r="B286" s="11">
        <v>1.249784281E9</v>
      </c>
      <c r="C286" s="12" t="s">
        <v>341</v>
      </c>
      <c r="D286" s="11">
        <v>3.9356745E7</v>
      </c>
      <c r="E286" s="10">
        <v>45042.0</v>
      </c>
      <c r="F286" s="9" t="s">
        <v>76</v>
      </c>
      <c r="G286" s="13">
        <v>3.0</v>
      </c>
      <c r="H286" s="9" t="s">
        <v>70</v>
      </c>
      <c r="I286" s="9" t="s">
        <v>77</v>
      </c>
      <c r="J286" s="9" t="s">
        <v>72</v>
      </c>
      <c r="K286" s="9" t="s">
        <v>84</v>
      </c>
    </row>
    <row r="287" ht="15.75" customHeight="1">
      <c r="A287" s="10">
        <v>45034.0</v>
      </c>
      <c r="B287" s="11">
        <v>7.157262276E9</v>
      </c>
      <c r="C287" s="12" t="s">
        <v>342</v>
      </c>
      <c r="D287" s="11">
        <v>1.2193993E7</v>
      </c>
      <c r="E287" s="10">
        <v>45042.0</v>
      </c>
      <c r="F287" s="9" t="s">
        <v>76</v>
      </c>
      <c r="G287" s="13">
        <v>2.0</v>
      </c>
      <c r="H287" s="9" t="s">
        <v>70</v>
      </c>
      <c r="I287" s="9" t="s">
        <v>77</v>
      </c>
      <c r="J287" s="9" t="s">
        <v>72</v>
      </c>
      <c r="K287" s="9" t="s">
        <v>84</v>
      </c>
    </row>
    <row r="288" ht="15.75" customHeight="1">
      <c r="A288" s="10">
        <v>45034.0</v>
      </c>
      <c r="B288" s="11">
        <v>8.475398492E9</v>
      </c>
      <c r="C288" s="12" t="s">
        <v>343</v>
      </c>
      <c r="D288" s="11">
        <v>3.0357831E7</v>
      </c>
      <c r="E288" s="10">
        <v>45042.0</v>
      </c>
      <c r="F288" s="9" t="s">
        <v>76</v>
      </c>
      <c r="G288" s="13">
        <v>2.0</v>
      </c>
      <c r="H288" s="9" t="s">
        <v>70</v>
      </c>
      <c r="I288" s="9" t="s">
        <v>77</v>
      </c>
      <c r="J288" s="9" t="s">
        <v>72</v>
      </c>
      <c r="K288" s="9" t="s">
        <v>84</v>
      </c>
    </row>
    <row r="289" ht="15.75" customHeight="1">
      <c r="A289" s="10">
        <v>45041.0</v>
      </c>
      <c r="B289" s="11">
        <v>6.647088092E9</v>
      </c>
      <c r="C289" s="12" t="s">
        <v>344</v>
      </c>
      <c r="D289" s="11">
        <v>2.8182412E7</v>
      </c>
      <c r="E289" s="10">
        <v>45042.0</v>
      </c>
      <c r="F289" s="9" t="s">
        <v>76</v>
      </c>
      <c r="G289" s="13">
        <v>1.0</v>
      </c>
      <c r="H289" s="9" t="s">
        <v>70</v>
      </c>
      <c r="I289" s="9" t="s">
        <v>77</v>
      </c>
      <c r="J289" s="9" t="s">
        <v>72</v>
      </c>
      <c r="K289" s="9" t="s">
        <v>84</v>
      </c>
    </row>
    <row r="290" ht="15.75" customHeight="1">
      <c r="A290" s="10">
        <v>45041.0</v>
      </c>
      <c r="B290" s="11">
        <v>3.395732642E9</v>
      </c>
      <c r="C290" s="12" t="s">
        <v>345</v>
      </c>
      <c r="D290" s="11">
        <v>2.2583251E7</v>
      </c>
      <c r="E290" s="10">
        <v>45042.0</v>
      </c>
      <c r="F290" s="9" t="s">
        <v>69</v>
      </c>
      <c r="G290" s="13">
        <v>1.0</v>
      </c>
      <c r="H290" s="9" t="s">
        <v>70</v>
      </c>
      <c r="I290" s="9" t="s">
        <v>77</v>
      </c>
      <c r="J290" s="9" t="s">
        <v>72</v>
      </c>
      <c r="K290" s="9" t="s">
        <v>84</v>
      </c>
    </row>
    <row r="291" ht="15.75" customHeight="1">
      <c r="A291" s="10">
        <v>45041.0</v>
      </c>
      <c r="B291" s="11">
        <v>5.734089712E9</v>
      </c>
      <c r="C291" s="12" t="s">
        <v>346</v>
      </c>
      <c r="D291" s="11">
        <v>3.3978234E7</v>
      </c>
      <c r="E291" s="10">
        <v>45042.0</v>
      </c>
      <c r="F291" s="9" t="s">
        <v>69</v>
      </c>
      <c r="G291" s="13">
        <v>1.0</v>
      </c>
      <c r="H291" s="9" t="s">
        <v>70</v>
      </c>
      <c r="I291" s="9" t="s">
        <v>77</v>
      </c>
      <c r="J291" s="9" t="s">
        <v>79</v>
      </c>
      <c r="K291" s="9" t="s">
        <v>84</v>
      </c>
    </row>
    <row r="292" ht="15.75" customHeight="1">
      <c r="A292" s="10">
        <v>45041.0</v>
      </c>
      <c r="B292" s="11">
        <v>4.973331075E9</v>
      </c>
      <c r="C292" s="12" t="s">
        <v>347</v>
      </c>
      <c r="D292" s="11">
        <v>1.1239216E7</v>
      </c>
      <c r="E292" s="10">
        <v>45042.0</v>
      </c>
      <c r="F292" s="9" t="s">
        <v>69</v>
      </c>
      <c r="G292" s="13">
        <v>21.0</v>
      </c>
      <c r="H292" s="9" t="s">
        <v>70</v>
      </c>
      <c r="I292" s="9" t="s">
        <v>77</v>
      </c>
      <c r="J292" s="9" t="s">
        <v>79</v>
      </c>
      <c r="K292" s="9" t="s">
        <v>84</v>
      </c>
    </row>
    <row r="293" ht="15.75" customHeight="1">
      <c r="A293" s="10">
        <v>45041.0</v>
      </c>
      <c r="B293" s="11">
        <v>9.86430123E9</v>
      </c>
      <c r="C293" s="12" t="s">
        <v>346</v>
      </c>
      <c r="D293" s="11">
        <v>3.3978234E7</v>
      </c>
      <c r="E293" s="10">
        <v>45042.0</v>
      </c>
      <c r="F293" s="9" t="s">
        <v>69</v>
      </c>
      <c r="G293" s="13">
        <v>2.0</v>
      </c>
      <c r="H293" s="9" t="s">
        <v>70</v>
      </c>
      <c r="I293" s="9" t="s">
        <v>77</v>
      </c>
      <c r="J293" s="9" t="s">
        <v>79</v>
      </c>
      <c r="K293" s="9" t="s">
        <v>84</v>
      </c>
    </row>
    <row r="294" ht="15.75" customHeight="1">
      <c r="A294" s="10">
        <v>45041.0</v>
      </c>
      <c r="B294" s="11">
        <v>9.86429766E9</v>
      </c>
      <c r="C294" s="12" t="s">
        <v>348</v>
      </c>
      <c r="D294" s="11">
        <v>2.4982226E7</v>
      </c>
      <c r="E294" s="10">
        <v>45042.0</v>
      </c>
      <c r="F294" s="9" t="s">
        <v>69</v>
      </c>
      <c r="G294" s="13">
        <v>2.0</v>
      </c>
      <c r="H294" s="9" t="s">
        <v>70</v>
      </c>
      <c r="I294" s="9" t="s">
        <v>77</v>
      </c>
      <c r="J294" s="9" t="s">
        <v>79</v>
      </c>
      <c r="K294" s="9" t="s">
        <v>84</v>
      </c>
    </row>
    <row r="295" ht="15.75" customHeight="1">
      <c r="A295" s="10">
        <v>45041.0</v>
      </c>
      <c r="B295" s="11">
        <v>1.3653437E9</v>
      </c>
      <c r="C295" s="12" t="s">
        <v>349</v>
      </c>
      <c r="D295" s="11">
        <v>3.6281367E7</v>
      </c>
      <c r="E295" s="10">
        <v>45042.0</v>
      </c>
      <c r="F295" s="9" t="s">
        <v>69</v>
      </c>
      <c r="G295" s="13">
        <v>1.0</v>
      </c>
      <c r="H295" s="9" t="s">
        <v>70</v>
      </c>
      <c r="I295" s="9" t="s">
        <v>77</v>
      </c>
      <c r="J295" s="9" t="s">
        <v>79</v>
      </c>
      <c r="K295" s="9" t="s">
        <v>84</v>
      </c>
    </row>
    <row r="296" ht="15.75" customHeight="1">
      <c r="A296" s="10">
        <v>45041.0</v>
      </c>
      <c r="B296" s="11">
        <v>3.453691382E9</v>
      </c>
      <c r="C296" s="12" t="s">
        <v>344</v>
      </c>
      <c r="D296" s="11">
        <v>2.8182412E7</v>
      </c>
      <c r="E296" s="10">
        <v>45042.0</v>
      </c>
      <c r="F296" s="9" t="s">
        <v>69</v>
      </c>
      <c r="G296" s="13">
        <v>1.0</v>
      </c>
      <c r="H296" s="9" t="s">
        <v>70</v>
      </c>
      <c r="I296" s="9" t="s">
        <v>88</v>
      </c>
      <c r="J296" s="9" t="s">
        <v>79</v>
      </c>
      <c r="K296" s="9" t="s">
        <v>84</v>
      </c>
    </row>
    <row r="297" ht="15.75" customHeight="1">
      <c r="A297" s="10">
        <v>45041.0</v>
      </c>
      <c r="B297" s="11">
        <v>5.325658494E9</v>
      </c>
      <c r="C297" s="12" t="s">
        <v>350</v>
      </c>
      <c r="D297" s="11">
        <v>4277307.0</v>
      </c>
      <c r="E297" s="10">
        <v>45042.0</v>
      </c>
      <c r="F297" s="9" t="s">
        <v>69</v>
      </c>
      <c r="G297" s="13">
        <v>1.0</v>
      </c>
      <c r="H297" s="9" t="s">
        <v>112</v>
      </c>
      <c r="I297" s="9" t="s">
        <v>88</v>
      </c>
      <c r="J297" s="9" t="s">
        <v>79</v>
      </c>
      <c r="K297" s="9" t="s">
        <v>84</v>
      </c>
    </row>
    <row r="298" ht="15.75" customHeight="1">
      <c r="A298" s="10">
        <v>45042.0</v>
      </c>
      <c r="B298" s="11">
        <v>8.3641614E9</v>
      </c>
      <c r="C298" s="12" t="s">
        <v>351</v>
      </c>
      <c r="D298" s="11">
        <v>2.0284114E7</v>
      </c>
      <c r="E298" s="10">
        <v>45042.0</v>
      </c>
      <c r="F298" s="9" t="s">
        <v>69</v>
      </c>
      <c r="G298" s="13">
        <v>1.0</v>
      </c>
      <c r="H298" s="9" t="s">
        <v>112</v>
      </c>
      <c r="I298" s="9" t="s">
        <v>88</v>
      </c>
      <c r="J298" s="9" t="s">
        <v>79</v>
      </c>
      <c r="K298" s="9" t="s">
        <v>84</v>
      </c>
    </row>
    <row r="299" ht="15.75" customHeight="1">
      <c r="A299" s="10">
        <v>45015.0</v>
      </c>
      <c r="B299" s="11">
        <v>9.651014995E9</v>
      </c>
      <c r="C299" s="12" t="s">
        <v>352</v>
      </c>
      <c r="D299" s="11">
        <v>3.5239652E7</v>
      </c>
      <c r="E299" s="10">
        <v>45043.0</v>
      </c>
      <c r="F299" s="9" t="s">
        <v>69</v>
      </c>
      <c r="G299" s="13">
        <v>2.0</v>
      </c>
      <c r="H299" s="9" t="s">
        <v>81</v>
      </c>
      <c r="I299" s="9" t="s">
        <v>88</v>
      </c>
      <c r="J299" s="9" t="s">
        <v>79</v>
      </c>
      <c r="K299" s="9" t="s">
        <v>73</v>
      </c>
    </row>
    <row r="300" ht="15.75" customHeight="1">
      <c r="A300" s="10">
        <v>45015.0</v>
      </c>
      <c r="B300" s="11">
        <v>1.214056911E9</v>
      </c>
      <c r="C300" s="12" t="s">
        <v>352</v>
      </c>
      <c r="D300" s="11">
        <v>3.5239652E7</v>
      </c>
      <c r="E300" s="10">
        <v>45043.0</v>
      </c>
      <c r="F300" s="9" t="s">
        <v>76</v>
      </c>
      <c r="G300" s="13">
        <v>2.0</v>
      </c>
      <c r="H300" s="9" t="s">
        <v>81</v>
      </c>
      <c r="I300" s="9" t="s">
        <v>88</v>
      </c>
      <c r="J300" s="9" t="s">
        <v>79</v>
      </c>
      <c r="K300" s="9" t="s">
        <v>73</v>
      </c>
    </row>
    <row r="301" ht="15.75" customHeight="1">
      <c r="A301" s="10">
        <v>45041.0</v>
      </c>
      <c r="B301" s="11">
        <v>5.667223903E9</v>
      </c>
      <c r="C301" s="12" t="s">
        <v>353</v>
      </c>
      <c r="D301" s="11">
        <v>2.4803624E7</v>
      </c>
      <c r="E301" s="10">
        <v>45043.0</v>
      </c>
      <c r="F301" s="9" t="s">
        <v>76</v>
      </c>
      <c r="G301" s="13">
        <v>2.0</v>
      </c>
      <c r="H301" s="9" t="s">
        <v>81</v>
      </c>
      <c r="I301" s="9" t="s">
        <v>88</v>
      </c>
      <c r="J301" s="9" t="s">
        <v>98</v>
      </c>
      <c r="K301" s="9" t="s">
        <v>73</v>
      </c>
    </row>
    <row r="302" ht="15.75" customHeight="1">
      <c r="A302" s="10">
        <v>45041.0</v>
      </c>
      <c r="B302" s="11">
        <v>2.63642407E9</v>
      </c>
      <c r="C302" s="12" t="s">
        <v>354</v>
      </c>
      <c r="D302" s="11">
        <v>2.7961427E7</v>
      </c>
      <c r="E302" s="10">
        <v>45043.0</v>
      </c>
      <c r="F302" s="9" t="s">
        <v>76</v>
      </c>
      <c r="G302" s="13">
        <v>1.0</v>
      </c>
      <c r="H302" s="9" t="s">
        <v>81</v>
      </c>
      <c r="I302" s="9" t="s">
        <v>88</v>
      </c>
      <c r="J302" s="9" t="s">
        <v>98</v>
      </c>
      <c r="K302" s="9" t="s">
        <v>73</v>
      </c>
    </row>
    <row r="303" ht="15.75" customHeight="1">
      <c r="A303" s="10">
        <v>45041.0</v>
      </c>
      <c r="B303" s="11">
        <v>2.27137078E9</v>
      </c>
      <c r="C303" s="12" t="s">
        <v>355</v>
      </c>
      <c r="D303" s="11">
        <v>3.2750068E7</v>
      </c>
      <c r="E303" s="10">
        <v>45043.0</v>
      </c>
      <c r="F303" s="9" t="s">
        <v>76</v>
      </c>
      <c r="G303" s="13">
        <v>1.0</v>
      </c>
      <c r="H303" s="9" t="s">
        <v>81</v>
      </c>
      <c r="I303" s="9" t="s">
        <v>88</v>
      </c>
      <c r="J303" s="9" t="s">
        <v>98</v>
      </c>
      <c r="K303" s="9" t="s">
        <v>73</v>
      </c>
    </row>
    <row r="304" ht="15.75" customHeight="1">
      <c r="A304" s="10">
        <v>45041.0</v>
      </c>
      <c r="B304" s="11">
        <v>5.66717249E9</v>
      </c>
      <c r="C304" s="12" t="s">
        <v>356</v>
      </c>
      <c r="D304" s="11">
        <v>3.6049892E7</v>
      </c>
      <c r="E304" s="10">
        <v>45043.0</v>
      </c>
      <c r="F304" s="9" t="s">
        <v>76</v>
      </c>
      <c r="G304" s="13">
        <v>1.0</v>
      </c>
      <c r="H304" s="9" t="s">
        <v>81</v>
      </c>
      <c r="I304" s="9" t="s">
        <v>77</v>
      </c>
      <c r="J304" s="9" t="s">
        <v>98</v>
      </c>
      <c r="K304" s="9" t="s">
        <v>73</v>
      </c>
    </row>
    <row r="305" ht="15.75" customHeight="1">
      <c r="A305" s="10">
        <v>45041.0</v>
      </c>
      <c r="B305" s="11">
        <v>5.001802761E9</v>
      </c>
      <c r="C305" s="12" t="s">
        <v>357</v>
      </c>
      <c r="D305" s="11">
        <v>2.4340545E7</v>
      </c>
      <c r="E305" s="10">
        <v>45043.0</v>
      </c>
      <c r="F305" s="9" t="s">
        <v>76</v>
      </c>
      <c r="G305" s="13">
        <v>1.0</v>
      </c>
      <c r="H305" s="9" t="s">
        <v>81</v>
      </c>
      <c r="I305" s="9" t="s">
        <v>77</v>
      </c>
      <c r="J305" s="9" t="s">
        <v>98</v>
      </c>
      <c r="K305" s="9" t="s">
        <v>73</v>
      </c>
    </row>
    <row r="306" ht="15.75" customHeight="1">
      <c r="A306" s="10">
        <v>45041.0</v>
      </c>
      <c r="B306" s="11">
        <v>5.001805141E9</v>
      </c>
      <c r="C306" s="12" t="s">
        <v>353</v>
      </c>
      <c r="D306" s="11">
        <v>2.4803624E7</v>
      </c>
      <c r="E306" s="10">
        <v>45043.0</v>
      </c>
      <c r="F306" s="9" t="s">
        <v>76</v>
      </c>
      <c r="G306" s="13">
        <v>1.0</v>
      </c>
      <c r="H306" s="9" t="s">
        <v>116</v>
      </c>
      <c r="I306" s="9" t="s">
        <v>77</v>
      </c>
      <c r="J306" s="9" t="s">
        <v>98</v>
      </c>
      <c r="K306" s="9" t="s">
        <v>103</v>
      </c>
    </row>
    <row r="307" ht="15.75" customHeight="1">
      <c r="A307" s="10">
        <v>45042.0</v>
      </c>
      <c r="B307" s="11">
        <v>1.874327291E9</v>
      </c>
      <c r="C307" s="12" t="s">
        <v>358</v>
      </c>
      <c r="D307" s="11">
        <v>2.1328858E7</v>
      </c>
      <c r="E307" s="10">
        <v>45043.0</v>
      </c>
      <c r="F307" s="9" t="s">
        <v>76</v>
      </c>
      <c r="G307" s="13">
        <v>2.0</v>
      </c>
      <c r="H307" s="9" t="s">
        <v>116</v>
      </c>
      <c r="I307" s="9" t="s">
        <v>77</v>
      </c>
      <c r="J307" s="9" t="s">
        <v>318</v>
      </c>
      <c r="K307" s="9" t="s">
        <v>103</v>
      </c>
    </row>
    <row r="308" ht="15.75" customHeight="1">
      <c r="A308" s="10">
        <v>45042.0</v>
      </c>
      <c r="B308" s="11">
        <v>1.87433232E9</v>
      </c>
      <c r="C308" s="12" t="s">
        <v>359</v>
      </c>
      <c r="D308" s="11">
        <v>3.1644339E7</v>
      </c>
      <c r="E308" s="10">
        <v>45043.0</v>
      </c>
      <c r="F308" s="9" t="s">
        <v>76</v>
      </c>
      <c r="G308" s="13">
        <v>3.0</v>
      </c>
      <c r="H308" s="9" t="s">
        <v>116</v>
      </c>
      <c r="I308" s="9" t="s">
        <v>77</v>
      </c>
      <c r="J308" s="9" t="s">
        <v>318</v>
      </c>
      <c r="K308" s="9" t="s">
        <v>103</v>
      </c>
    </row>
    <row r="309" ht="15.75" customHeight="1">
      <c r="A309" s="10">
        <v>45042.0</v>
      </c>
      <c r="B309" s="11">
        <v>1.564503076E9</v>
      </c>
      <c r="C309" s="12" t="s">
        <v>358</v>
      </c>
      <c r="D309" s="11">
        <v>2.1328858E7</v>
      </c>
      <c r="E309" s="10">
        <v>45043.0</v>
      </c>
      <c r="F309" s="9" t="s">
        <v>69</v>
      </c>
      <c r="G309" s="13">
        <v>3.0</v>
      </c>
      <c r="H309" s="9" t="s">
        <v>116</v>
      </c>
      <c r="I309" s="9" t="s">
        <v>77</v>
      </c>
      <c r="J309" s="9" t="s">
        <v>318</v>
      </c>
      <c r="K309" s="9" t="s">
        <v>103</v>
      </c>
    </row>
    <row r="310" ht="15.75" customHeight="1">
      <c r="A310" s="10">
        <v>45041.0</v>
      </c>
      <c r="B310" s="11">
        <v>2.271372176E9</v>
      </c>
      <c r="C310" s="12" t="s">
        <v>360</v>
      </c>
      <c r="D310" s="11">
        <v>2.8849608E7</v>
      </c>
      <c r="E310" s="10">
        <v>45044.0</v>
      </c>
      <c r="F310" s="9" t="s">
        <v>69</v>
      </c>
      <c r="G310" s="13">
        <v>2.0</v>
      </c>
      <c r="H310" s="9" t="s">
        <v>116</v>
      </c>
      <c r="I310" s="9" t="s">
        <v>77</v>
      </c>
      <c r="J310" s="9" t="s">
        <v>318</v>
      </c>
      <c r="K310" s="9" t="s">
        <v>107</v>
      </c>
    </row>
    <row r="311" ht="15.75" customHeight="1">
      <c r="A311" s="10">
        <v>45041.0</v>
      </c>
      <c r="B311" s="11">
        <v>9.864275175E9</v>
      </c>
      <c r="C311" s="12" t="s">
        <v>361</v>
      </c>
      <c r="D311" s="11">
        <v>3.3755451E7</v>
      </c>
      <c r="E311" s="10">
        <v>45044.0</v>
      </c>
      <c r="F311" s="9" t="s">
        <v>69</v>
      </c>
      <c r="G311" s="13">
        <v>1.0</v>
      </c>
      <c r="H311" s="9" t="s">
        <v>116</v>
      </c>
      <c r="I311" s="9" t="s">
        <v>77</v>
      </c>
      <c r="J311" s="9" t="s">
        <v>318</v>
      </c>
      <c r="K311" s="9" t="s">
        <v>107</v>
      </c>
    </row>
    <row r="312" ht="15.75" customHeight="1">
      <c r="A312" s="10">
        <v>45042.0</v>
      </c>
      <c r="B312" s="11">
        <v>1.581103591E9</v>
      </c>
      <c r="C312" s="12" t="s">
        <v>362</v>
      </c>
      <c r="D312" s="11">
        <v>4.370619E7</v>
      </c>
      <c r="E312" s="10">
        <v>45044.0</v>
      </c>
      <c r="F312" s="9" t="s">
        <v>69</v>
      </c>
      <c r="G312" s="13">
        <v>2.0</v>
      </c>
      <c r="H312" s="9" t="s">
        <v>116</v>
      </c>
      <c r="I312" s="9" t="s">
        <v>77</v>
      </c>
      <c r="J312" s="9" t="s">
        <v>318</v>
      </c>
      <c r="K312" s="9" t="s">
        <v>107</v>
      </c>
    </row>
    <row r="313" ht="15.75" customHeight="1">
      <c r="A313" s="10">
        <v>45043.0</v>
      </c>
      <c r="B313" s="11">
        <v>1.253222784E9</v>
      </c>
      <c r="C313" s="12" t="s">
        <v>363</v>
      </c>
      <c r="D313" s="11">
        <v>6634001.0</v>
      </c>
      <c r="E313" s="10">
        <v>45044.0</v>
      </c>
      <c r="F313" s="9" t="s">
        <v>69</v>
      </c>
      <c r="G313" s="13">
        <v>1.0</v>
      </c>
      <c r="H313" s="9" t="s">
        <v>116</v>
      </c>
      <c r="I313" s="9" t="s">
        <v>77</v>
      </c>
      <c r="J313" s="9" t="s">
        <v>318</v>
      </c>
      <c r="K313" s="9" t="s">
        <v>107</v>
      </c>
    </row>
    <row r="314" ht="15.75" customHeight="1">
      <c r="A314" s="10">
        <v>45044.0</v>
      </c>
      <c r="B314" s="11">
        <v>7.436963251E9</v>
      </c>
      <c r="C314" s="12" t="s">
        <v>364</v>
      </c>
      <c r="D314" s="11">
        <v>3.4096416E7</v>
      </c>
      <c r="E314" s="10">
        <v>45044.0</v>
      </c>
      <c r="F314" s="9" t="s">
        <v>69</v>
      </c>
      <c r="G314" s="13">
        <v>1.0</v>
      </c>
      <c r="H314" s="9" t="s">
        <v>116</v>
      </c>
      <c r="I314" s="9" t="s">
        <v>77</v>
      </c>
      <c r="J314" s="9" t="s">
        <v>98</v>
      </c>
      <c r="K314" s="9" t="s">
        <v>99</v>
      </c>
    </row>
    <row r="315" ht="15.75" customHeight="1">
      <c r="A315" s="10">
        <v>45044.0</v>
      </c>
      <c r="B315" s="11">
        <v>1.102558774E9</v>
      </c>
      <c r="C315" s="12" t="s">
        <v>362</v>
      </c>
      <c r="D315" s="11">
        <v>4.370619E7</v>
      </c>
      <c r="E315" s="10">
        <v>45044.0</v>
      </c>
      <c r="F315" s="9" t="s">
        <v>69</v>
      </c>
      <c r="G315" s="13">
        <v>1.0</v>
      </c>
      <c r="H315" s="9" t="s">
        <v>116</v>
      </c>
      <c r="I315" s="9" t="s">
        <v>77</v>
      </c>
      <c r="J315" s="9" t="s">
        <v>98</v>
      </c>
      <c r="K315" s="9" t="s">
        <v>99</v>
      </c>
    </row>
    <row r="316" ht="15.75" customHeight="1">
      <c r="A316" s="10">
        <v>45044.0</v>
      </c>
      <c r="B316" s="11">
        <v>2.692715421E9</v>
      </c>
      <c r="C316" s="12" t="s">
        <v>362</v>
      </c>
      <c r="D316" s="11">
        <v>4.370619E7</v>
      </c>
      <c r="E316" s="10">
        <v>45044.0</v>
      </c>
      <c r="F316" s="9" t="s">
        <v>69</v>
      </c>
      <c r="G316" s="13">
        <v>2.0</v>
      </c>
      <c r="H316" s="9" t="s">
        <v>116</v>
      </c>
      <c r="I316" s="9" t="s">
        <v>77</v>
      </c>
      <c r="J316" s="9" t="s">
        <v>98</v>
      </c>
      <c r="K316" s="9" t="s">
        <v>99</v>
      </c>
    </row>
    <row r="317" ht="15.75" customHeight="1">
      <c r="A317" s="10">
        <v>45041.0</v>
      </c>
      <c r="B317" s="11">
        <v>9.864348653E9</v>
      </c>
      <c r="C317" s="12" t="s">
        <v>365</v>
      </c>
      <c r="D317" s="11">
        <v>4.1649293E7</v>
      </c>
      <c r="E317" s="10">
        <v>45048.0</v>
      </c>
      <c r="F317" s="9" t="s">
        <v>69</v>
      </c>
      <c r="G317" s="13">
        <v>2.0</v>
      </c>
      <c r="H317" s="9" t="s">
        <v>116</v>
      </c>
      <c r="I317" s="9" t="s">
        <v>77</v>
      </c>
      <c r="J317" s="9" t="s">
        <v>98</v>
      </c>
      <c r="K317" s="9" t="s">
        <v>99</v>
      </c>
    </row>
    <row r="318" ht="15.75" customHeight="1">
      <c r="A318" s="10">
        <v>45041.0</v>
      </c>
      <c r="B318" s="11">
        <v>5.534232152E9</v>
      </c>
      <c r="C318" s="12" t="s">
        <v>366</v>
      </c>
      <c r="D318" s="11">
        <v>3.9138559E7</v>
      </c>
      <c r="E318" s="10">
        <v>45048.0</v>
      </c>
      <c r="F318" s="9" t="s">
        <v>69</v>
      </c>
      <c r="G318" s="13">
        <v>2.0</v>
      </c>
      <c r="H318" s="9" t="s">
        <v>116</v>
      </c>
      <c r="I318" s="9" t="s">
        <v>77</v>
      </c>
      <c r="J318" s="9" t="s">
        <v>98</v>
      </c>
      <c r="K318" s="9" t="s">
        <v>99</v>
      </c>
    </row>
    <row r="319" ht="15.75" customHeight="1">
      <c r="A319" s="10">
        <v>45041.0</v>
      </c>
      <c r="B319" s="11">
        <v>5.32566664E9</v>
      </c>
      <c r="C319" s="12" t="s">
        <v>367</v>
      </c>
      <c r="D319" s="11">
        <v>3.3755695E7</v>
      </c>
      <c r="E319" s="10">
        <v>45048.0</v>
      </c>
      <c r="F319" s="9" t="s">
        <v>69</v>
      </c>
      <c r="G319" s="13">
        <v>2.0</v>
      </c>
      <c r="H319" s="9" t="s">
        <v>116</v>
      </c>
      <c r="I319" s="9" t="s">
        <v>71</v>
      </c>
      <c r="J319" s="9" t="s">
        <v>98</v>
      </c>
      <c r="K319" s="9" t="s">
        <v>99</v>
      </c>
    </row>
    <row r="320" ht="15.75" customHeight="1">
      <c r="A320" s="10">
        <v>45041.0</v>
      </c>
      <c r="B320" s="11">
        <v>5.667179092E9</v>
      </c>
      <c r="C320" s="12" t="s">
        <v>368</v>
      </c>
      <c r="D320" s="11">
        <v>3.3372792E7</v>
      </c>
      <c r="E320" s="10">
        <v>45048.0</v>
      </c>
      <c r="F320" s="9" t="s">
        <v>76</v>
      </c>
      <c r="G320" s="13">
        <v>3.0</v>
      </c>
      <c r="H320" s="9" t="s">
        <v>116</v>
      </c>
      <c r="I320" s="9" t="s">
        <v>71</v>
      </c>
      <c r="J320" s="9" t="s">
        <v>93</v>
      </c>
      <c r="K320" s="9" t="s">
        <v>99</v>
      </c>
    </row>
    <row r="321" ht="15.75" customHeight="1">
      <c r="A321" s="10">
        <v>45041.0</v>
      </c>
      <c r="B321" s="11">
        <v>1.365358046E9</v>
      </c>
      <c r="C321" s="12" t="s">
        <v>369</v>
      </c>
      <c r="D321" s="11">
        <v>6535825.0</v>
      </c>
      <c r="E321" s="10">
        <v>45048.0</v>
      </c>
      <c r="F321" s="9" t="s">
        <v>69</v>
      </c>
      <c r="G321" s="13">
        <v>3.0</v>
      </c>
      <c r="H321" s="9" t="s">
        <v>116</v>
      </c>
      <c r="I321" s="9" t="s">
        <v>71</v>
      </c>
      <c r="J321" s="9" t="s">
        <v>93</v>
      </c>
      <c r="K321" s="9" t="s">
        <v>73</v>
      </c>
    </row>
    <row r="322" ht="15.75" customHeight="1">
      <c r="A322" s="10">
        <v>45041.0</v>
      </c>
      <c r="B322" s="11">
        <v>9.782492506E9</v>
      </c>
      <c r="C322" s="12" t="s">
        <v>370</v>
      </c>
      <c r="D322" s="11">
        <v>3.3755144E7</v>
      </c>
      <c r="E322" s="10">
        <v>45048.0</v>
      </c>
      <c r="F322" s="9" t="s">
        <v>69</v>
      </c>
      <c r="G322" s="13">
        <v>2.0</v>
      </c>
      <c r="H322" s="9" t="s">
        <v>70</v>
      </c>
      <c r="I322" s="9" t="s">
        <v>71</v>
      </c>
      <c r="J322" s="9" t="s">
        <v>93</v>
      </c>
      <c r="K322" s="9" t="s">
        <v>73</v>
      </c>
    </row>
    <row r="323" ht="15.75" customHeight="1">
      <c r="A323" s="10">
        <v>45042.0</v>
      </c>
      <c r="B323" s="11">
        <v>1.581102655E9</v>
      </c>
      <c r="C323" s="12" t="s">
        <v>371</v>
      </c>
      <c r="D323" s="11">
        <v>3.9977132E7</v>
      </c>
      <c r="E323" s="10">
        <v>45048.0</v>
      </c>
      <c r="F323" s="9" t="s">
        <v>76</v>
      </c>
      <c r="G323" s="13">
        <v>2.0</v>
      </c>
      <c r="H323" s="9" t="s">
        <v>70</v>
      </c>
      <c r="I323" s="9" t="s">
        <v>71</v>
      </c>
      <c r="J323" s="9" t="s">
        <v>93</v>
      </c>
      <c r="K323" s="9" t="s">
        <v>73</v>
      </c>
    </row>
    <row r="324" ht="15.75" customHeight="1">
      <c r="A324" s="10">
        <v>45042.0</v>
      </c>
      <c r="B324" s="11">
        <v>8.364173882E9</v>
      </c>
      <c r="C324" s="12" t="s">
        <v>372</v>
      </c>
      <c r="D324" s="11">
        <v>1.3847175E7</v>
      </c>
      <c r="E324" s="10">
        <v>45048.0</v>
      </c>
      <c r="F324" s="9" t="s">
        <v>69</v>
      </c>
      <c r="G324" s="13">
        <v>2.0</v>
      </c>
      <c r="H324" s="9" t="s">
        <v>70</v>
      </c>
      <c r="I324" s="9" t="s">
        <v>71</v>
      </c>
      <c r="J324" s="9" t="s">
        <v>93</v>
      </c>
      <c r="K324" s="9" t="s">
        <v>73</v>
      </c>
    </row>
    <row r="325" ht="15.75" customHeight="1">
      <c r="A325" s="10">
        <v>45042.0</v>
      </c>
      <c r="B325" s="11">
        <v>9.164721241E9</v>
      </c>
      <c r="C325" s="12" t="s">
        <v>373</v>
      </c>
      <c r="D325" s="11">
        <v>3.8743889E7</v>
      </c>
      <c r="E325" s="10">
        <v>45048.0</v>
      </c>
      <c r="F325" s="9" t="s">
        <v>76</v>
      </c>
      <c r="G325" s="13">
        <v>1.0</v>
      </c>
      <c r="H325" s="9" t="s">
        <v>70</v>
      </c>
      <c r="I325" s="9" t="s">
        <v>71</v>
      </c>
      <c r="J325" s="9" t="s">
        <v>83</v>
      </c>
      <c r="K325" s="9" t="s">
        <v>73</v>
      </c>
    </row>
    <row r="326" ht="15.75" customHeight="1">
      <c r="A326" s="10">
        <v>45043.0</v>
      </c>
      <c r="B326" s="11">
        <v>8.610053314E9</v>
      </c>
      <c r="C326" s="12" t="s">
        <v>372</v>
      </c>
      <c r="D326" s="11">
        <v>1.3847175E7</v>
      </c>
      <c r="E326" s="10">
        <v>45048.0</v>
      </c>
      <c r="F326" s="9" t="s">
        <v>69</v>
      </c>
      <c r="G326" s="13">
        <v>1.0</v>
      </c>
      <c r="H326" s="9" t="s">
        <v>70</v>
      </c>
      <c r="I326" s="9" t="s">
        <v>71</v>
      </c>
      <c r="J326" s="9" t="s">
        <v>83</v>
      </c>
      <c r="K326" s="9" t="s">
        <v>73</v>
      </c>
    </row>
    <row r="327" ht="15.75" customHeight="1">
      <c r="A327" s="10">
        <v>45043.0</v>
      </c>
      <c r="B327" s="11">
        <v>2.006490813E9</v>
      </c>
      <c r="C327" s="12" t="s">
        <v>374</v>
      </c>
      <c r="D327" s="11">
        <v>1.6469415E7</v>
      </c>
      <c r="E327" s="10">
        <v>45048.0</v>
      </c>
      <c r="F327" s="9" t="s">
        <v>69</v>
      </c>
      <c r="G327" s="13">
        <v>1.0</v>
      </c>
      <c r="H327" s="9" t="s">
        <v>70</v>
      </c>
      <c r="I327" s="9" t="s">
        <v>71</v>
      </c>
      <c r="J327" s="9" t="s">
        <v>83</v>
      </c>
      <c r="K327" s="9" t="s">
        <v>73</v>
      </c>
    </row>
    <row r="328" ht="15.75" customHeight="1">
      <c r="A328" s="10">
        <v>45043.0</v>
      </c>
      <c r="B328" s="11">
        <v>2.766714915E9</v>
      </c>
      <c r="C328" s="12" t="s">
        <v>375</v>
      </c>
      <c r="D328" s="11">
        <v>2.0285423E7</v>
      </c>
      <c r="E328" s="10">
        <v>45048.0</v>
      </c>
      <c r="F328" s="9" t="s">
        <v>76</v>
      </c>
      <c r="G328" s="13">
        <v>1.0</v>
      </c>
      <c r="H328" s="9" t="s">
        <v>70</v>
      </c>
      <c r="I328" s="9" t="s">
        <v>71</v>
      </c>
      <c r="J328" s="9" t="s">
        <v>83</v>
      </c>
      <c r="K328" s="9" t="s">
        <v>73</v>
      </c>
    </row>
    <row r="329" ht="15.75" customHeight="1">
      <c r="A329" s="10">
        <v>45043.0</v>
      </c>
      <c r="B329" s="11">
        <v>5.534407126E9</v>
      </c>
      <c r="C329" s="12" t="s">
        <v>376</v>
      </c>
      <c r="D329" s="11">
        <v>5148363.0</v>
      </c>
      <c r="E329" s="10">
        <v>45048.0</v>
      </c>
      <c r="F329" s="9" t="s">
        <v>69</v>
      </c>
      <c r="G329" s="13">
        <v>1.0</v>
      </c>
      <c r="H329" s="9" t="s">
        <v>70</v>
      </c>
      <c r="I329" s="9" t="s">
        <v>71</v>
      </c>
      <c r="J329" s="9" t="s">
        <v>83</v>
      </c>
      <c r="K329" s="9" t="s">
        <v>99</v>
      </c>
    </row>
    <row r="330" ht="15.75" customHeight="1">
      <c r="A330" s="10">
        <v>45044.0</v>
      </c>
      <c r="B330" s="11">
        <v>5.55429532E9</v>
      </c>
      <c r="C330" s="12" t="s">
        <v>377</v>
      </c>
      <c r="D330" s="11">
        <v>1.6132551E7</v>
      </c>
      <c r="E330" s="10">
        <v>45048.0</v>
      </c>
      <c r="F330" s="9" t="s">
        <v>69</v>
      </c>
      <c r="G330" s="13">
        <v>2.0</v>
      </c>
      <c r="H330" s="9" t="s">
        <v>70</v>
      </c>
      <c r="I330" s="9" t="s">
        <v>77</v>
      </c>
      <c r="J330" s="9" t="s">
        <v>93</v>
      </c>
      <c r="K330" s="9" t="s">
        <v>99</v>
      </c>
    </row>
    <row r="331" ht="15.75" customHeight="1">
      <c r="A331" s="10">
        <v>45044.0</v>
      </c>
      <c r="B331" s="11">
        <v>1.102557702E9</v>
      </c>
      <c r="C331" s="12" t="s">
        <v>366</v>
      </c>
      <c r="D331" s="11">
        <v>3.9138559E7</v>
      </c>
      <c r="E331" s="10">
        <v>45048.0</v>
      </c>
      <c r="F331" s="9" t="s">
        <v>76</v>
      </c>
      <c r="G331" s="13">
        <v>2.0</v>
      </c>
      <c r="H331" s="9" t="s">
        <v>70</v>
      </c>
      <c r="I331" s="9" t="s">
        <v>77</v>
      </c>
      <c r="J331" s="9" t="s">
        <v>93</v>
      </c>
      <c r="K331" s="9" t="s">
        <v>99</v>
      </c>
    </row>
    <row r="332" ht="15.75" customHeight="1">
      <c r="A332" s="10">
        <v>45044.0</v>
      </c>
      <c r="B332" s="11">
        <v>3.825435526E9</v>
      </c>
      <c r="C332" s="12" t="s">
        <v>378</v>
      </c>
      <c r="D332" s="11">
        <v>3.8487681E7</v>
      </c>
      <c r="E332" s="10">
        <v>45048.0</v>
      </c>
      <c r="F332" s="9" t="s">
        <v>69</v>
      </c>
      <c r="G332" s="13">
        <v>2.0</v>
      </c>
      <c r="H332" s="9" t="s">
        <v>70</v>
      </c>
      <c r="I332" s="9" t="s">
        <v>77</v>
      </c>
      <c r="J332" s="9" t="s">
        <v>93</v>
      </c>
      <c r="K332" s="9" t="s">
        <v>99</v>
      </c>
    </row>
    <row r="333" ht="15.75" customHeight="1">
      <c r="A333" s="10">
        <v>45044.0</v>
      </c>
      <c r="B333" s="11">
        <v>7.95696069E9</v>
      </c>
      <c r="C333" s="12" t="s">
        <v>379</v>
      </c>
      <c r="D333" s="11">
        <v>2.20759162E8</v>
      </c>
      <c r="E333" s="10">
        <v>45048.0</v>
      </c>
      <c r="F333" s="9" t="s">
        <v>69</v>
      </c>
      <c r="G333" s="13">
        <v>2.0</v>
      </c>
      <c r="H333" s="9" t="s">
        <v>70</v>
      </c>
      <c r="I333" s="9" t="s">
        <v>77</v>
      </c>
      <c r="J333" s="9" t="s">
        <v>93</v>
      </c>
      <c r="K333" s="9" t="s">
        <v>84</v>
      </c>
    </row>
    <row r="334" ht="15.75" customHeight="1">
      <c r="A334" s="10">
        <v>45044.0</v>
      </c>
      <c r="B334" s="11">
        <v>6.647161964E9</v>
      </c>
      <c r="C334" s="12" t="s">
        <v>380</v>
      </c>
      <c r="D334" s="11">
        <v>1.2606942E7</v>
      </c>
      <c r="E334" s="10">
        <v>45048.0</v>
      </c>
      <c r="F334" s="9" t="s">
        <v>69</v>
      </c>
      <c r="G334" s="13">
        <v>3.0</v>
      </c>
      <c r="H334" s="9" t="s">
        <v>70</v>
      </c>
      <c r="I334" s="9" t="s">
        <v>77</v>
      </c>
      <c r="J334" s="9" t="s">
        <v>93</v>
      </c>
      <c r="K334" s="9" t="s">
        <v>84</v>
      </c>
    </row>
    <row r="335" ht="15.75" customHeight="1">
      <c r="A335" s="10">
        <v>45044.0</v>
      </c>
      <c r="B335" s="11">
        <v>6.647155992E9</v>
      </c>
      <c r="C335" s="12" t="s">
        <v>381</v>
      </c>
      <c r="D335" s="11">
        <v>3.6866337E7</v>
      </c>
      <c r="E335" s="10">
        <v>45048.0</v>
      </c>
      <c r="F335" s="9" t="s">
        <v>69</v>
      </c>
      <c r="G335" s="13">
        <v>3.0</v>
      </c>
      <c r="H335" s="9" t="s">
        <v>70</v>
      </c>
      <c r="I335" s="9" t="s">
        <v>77</v>
      </c>
      <c r="J335" s="9" t="s">
        <v>93</v>
      </c>
      <c r="K335" s="9" t="s">
        <v>84</v>
      </c>
    </row>
    <row r="336" ht="15.75" customHeight="1">
      <c r="A336" s="10">
        <v>45044.0</v>
      </c>
      <c r="B336" s="11">
        <v>2.006475074E9</v>
      </c>
      <c r="C336" s="12" t="s">
        <v>382</v>
      </c>
      <c r="D336" s="11">
        <v>2.1328507E7</v>
      </c>
      <c r="E336" s="10">
        <v>45048.0</v>
      </c>
      <c r="F336" s="9" t="s">
        <v>69</v>
      </c>
      <c r="G336" s="13">
        <v>3.0</v>
      </c>
      <c r="H336" s="9" t="s">
        <v>70</v>
      </c>
      <c r="I336" s="9" t="s">
        <v>77</v>
      </c>
      <c r="J336" s="9" t="s">
        <v>93</v>
      </c>
      <c r="K336" s="9" t="s">
        <v>84</v>
      </c>
    </row>
    <row r="337" ht="15.75" customHeight="1">
      <c r="A337" s="10">
        <v>45041.0</v>
      </c>
      <c r="B337" s="11">
        <v>2.271375116E9</v>
      </c>
      <c r="C337" s="12" t="s">
        <v>383</v>
      </c>
      <c r="D337" s="11">
        <v>2.758116E7</v>
      </c>
      <c r="E337" s="10">
        <v>45049.0</v>
      </c>
      <c r="F337" s="9" t="s">
        <v>69</v>
      </c>
      <c r="G337" s="13">
        <v>1.0</v>
      </c>
      <c r="H337" s="9" t="s">
        <v>70</v>
      </c>
      <c r="I337" s="9" t="s">
        <v>77</v>
      </c>
      <c r="J337" s="9" t="s">
        <v>93</v>
      </c>
      <c r="K337" s="9" t="s">
        <v>84</v>
      </c>
    </row>
    <row r="338" ht="15.75" customHeight="1">
      <c r="A338" s="10">
        <v>45042.0</v>
      </c>
      <c r="B338" s="11">
        <v>4.68559035E9</v>
      </c>
      <c r="C338" s="12" t="s">
        <v>384</v>
      </c>
      <c r="D338" s="11">
        <v>4.0699685E7</v>
      </c>
      <c r="E338" s="10">
        <v>45049.0</v>
      </c>
      <c r="F338" s="9" t="s">
        <v>69</v>
      </c>
      <c r="G338" s="13">
        <v>2.0</v>
      </c>
      <c r="H338" s="9" t="s">
        <v>70</v>
      </c>
      <c r="I338" s="9" t="s">
        <v>77</v>
      </c>
      <c r="J338" s="9" t="s">
        <v>93</v>
      </c>
      <c r="K338" s="9" t="s">
        <v>84</v>
      </c>
    </row>
    <row r="339" ht="15.75" customHeight="1">
      <c r="A339" s="10">
        <v>45044.0</v>
      </c>
      <c r="B339" s="11">
        <v>1.043981794E9</v>
      </c>
      <c r="C339" s="12" t="s">
        <v>385</v>
      </c>
      <c r="D339" s="11">
        <v>1.745835E7</v>
      </c>
      <c r="E339" s="10">
        <v>45049.0</v>
      </c>
      <c r="F339" s="9" t="s">
        <v>76</v>
      </c>
      <c r="G339" s="13">
        <v>2.0</v>
      </c>
      <c r="H339" s="9" t="s">
        <v>70</v>
      </c>
      <c r="I339" s="9" t="s">
        <v>77</v>
      </c>
      <c r="J339" s="9" t="s">
        <v>93</v>
      </c>
      <c r="K339" s="9" t="s">
        <v>84</v>
      </c>
    </row>
    <row r="340" ht="15.75" customHeight="1">
      <c r="A340" s="10">
        <v>45048.0</v>
      </c>
      <c r="B340" s="11">
        <v>7.698597815E9</v>
      </c>
      <c r="C340" s="12" t="s">
        <v>386</v>
      </c>
      <c r="D340" s="11">
        <v>1.1708323E7</v>
      </c>
      <c r="E340" s="10">
        <v>45049.0</v>
      </c>
      <c r="F340" s="9" t="s">
        <v>69</v>
      </c>
      <c r="G340" s="13">
        <v>3.0</v>
      </c>
      <c r="H340" s="9" t="s">
        <v>112</v>
      </c>
      <c r="I340" s="9" t="s">
        <v>77</v>
      </c>
      <c r="J340" s="9" t="s">
        <v>93</v>
      </c>
      <c r="K340" s="9" t="s">
        <v>84</v>
      </c>
    </row>
    <row r="341" ht="15.75" customHeight="1">
      <c r="A341" s="10">
        <v>45034.0</v>
      </c>
      <c r="B341" s="11">
        <v>1.30929372E9</v>
      </c>
      <c r="C341" s="12" t="s">
        <v>387</v>
      </c>
      <c r="D341" s="11">
        <v>3.6420864E7</v>
      </c>
      <c r="E341" s="10">
        <v>45050.0</v>
      </c>
      <c r="F341" s="9" t="s">
        <v>69</v>
      </c>
      <c r="G341" s="13">
        <v>3.0</v>
      </c>
      <c r="H341" s="9" t="s">
        <v>112</v>
      </c>
      <c r="I341" s="9" t="s">
        <v>77</v>
      </c>
      <c r="J341" s="9" t="s">
        <v>72</v>
      </c>
      <c r="K341" s="9" t="s">
        <v>217</v>
      </c>
    </row>
    <row r="342" ht="15.75" customHeight="1">
      <c r="A342" s="10">
        <v>45041.0</v>
      </c>
      <c r="B342" s="11">
        <v>5.66717746E9</v>
      </c>
      <c r="C342" s="12" t="s">
        <v>388</v>
      </c>
      <c r="D342" s="11">
        <v>3.3971077E7</v>
      </c>
      <c r="E342" s="10">
        <v>45050.0</v>
      </c>
      <c r="F342" s="9" t="s">
        <v>76</v>
      </c>
      <c r="G342" s="13">
        <v>3.0</v>
      </c>
      <c r="H342" s="9" t="s">
        <v>112</v>
      </c>
      <c r="I342" s="9" t="s">
        <v>77</v>
      </c>
      <c r="J342" s="9" t="s">
        <v>72</v>
      </c>
      <c r="K342" s="9" t="s">
        <v>217</v>
      </c>
    </row>
    <row r="343" ht="15.75" customHeight="1">
      <c r="A343" s="10">
        <v>45041.0</v>
      </c>
      <c r="B343" s="11">
        <v>9.782491305E9</v>
      </c>
      <c r="C343" s="12" t="s">
        <v>389</v>
      </c>
      <c r="D343" s="11">
        <v>3.3374294E7</v>
      </c>
      <c r="E343" s="10">
        <v>45050.0</v>
      </c>
      <c r="F343" s="9" t="s">
        <v>69</v>
      </c>
      <c r="G343" s="13">
        <v>1.0</v>
      </c>
      <c r="H343" s="9" t="s">
        <v>112</v>
      </c>
      <c r="I343" s="9" t="s">
        <v>77</v>
      </c>
      <c r="J343" s="9" t="s">
        <v>72</v>
      </c>
      <c r="K343" s="9" t="s">
        <v>217</v>
      </c>
    </row>
    <row r="344" ht="15.75" customHeight="1">
      <c r="A344" s="10">
        <v>45044.0</v>
      </c>
      <c r="B344" s="11">
        <v>3.825456714E9</v>
      </c>
      <c r="C344" s="12" t="s">
        <v>390</v>
      </c>
      <c r="D344" s="11">
        <v>4.3850278E7</v>
      </c>
      <c r="E344" s="10">
        <v>45050.0</v>
      </c>
      <c r="F344" s="9" t="s">
        <v>69</v>
      </c>
      <c r="G344" s="13">
        <v>4.0</v>
      </c>
      <c r="H344" s="9" t="s">
        <v>112</v>
      </c>
      <c r="I344" s="9" t="s">
        <v>77</v>
      </c>
      <c r="J344" s="9" t="s">
        <v>72</v>
      </c>
      <c r="K344" s="9" t="s">
        <v>84</v>
      </c>
    </row>
    <row r="345" ht="15.75" customHeight="1">
      <c r="A345" s="10">
        <v>45048.0</v>
      </c>
      <c r="B345" s="11">
        <v>4.064488805E9</v>
      </c>
      <c r="C345" s="12" t="s">
        <v>391</v>
      </c>
      <c r="D345" s="11">
        <v>3.7656711E7</v>
      </c>
      <c r="E345" s="10">
        <v>45050.0</v>
      </c>
      <c r="F345" s="9" t="s">
        <v>76</v>
      </c>
      <c r="G345" s="13">
        <v>4.0</v>
      </c>
      <c r="H345" s="9" t="s">
        <v>81</v>
      </c>
      <c r="I345" s="9" t="s">
        <v>71</v>
      </c>
      <c r="J345" s="9" t="s">
        <v>72</v>
      </c>
      <c r="K345" s="9" t="s">
        <v>84</v>
      </c>
    </row>
    <row r="346" ht="15.75" customHeight="1">
      <c r="A346" s="10">
        <v>45050.0</v>
      </c>
      <c r="B346" s="11">
        <v>4.34503328E9</v>
      </c>
      <c r="C346" s="12" t="s">
        <v>392</v>
      </c>
      <c r="D346" s="11">
        <v>3.2927144E7</v>
      </c>
      <c r="E346" s="10">
        <v>45050.0</v>
      </c>
      <c r="F346" s="9" t="s">
        <v>69</v>
      </c>
      <c r="G346" s="13">
        <v>3.0</v>
      </c>
      <c r="H346" s="9" t="s">
        <v>81</v>
      </c>
      <c r="I346" s="9" t="s">
        <v>71</v>
      </c>
      <c r="J346" s="9" t="s">
        <v>72</v>
      </c>
      <c r="K346" s="9" t="s">
        <v>84</v>
      </c>
    </row>
    <row r="347" ht="15.75" customHeight="1">
      <c r="A347" s="10">
        <v>45015.0</v>
      </c>
      <c r="B347" s="11">
        <v>9.941463416E9</v>
      </c>
      <c r="C347" s="12" t="s">
        <v>393</v>
      </c>
      <c r="D347" s="11">
        <v>2.3828321E7</v>
      </c>
      <c r="E347" s="10">
        <v>45051.0</v>
      </c>
      <c r="F347" s="9" t="s">
        <v>69</v>
      </c>
      <c r="G347" s="13">
        <v>2.0</v>
      </c>
      <c r="H347" s="9" t="s">
        <v>81</v>
      </c>
      <c r="I347" s="9" t="s">
        <v>71</v>
      </c>
      <c r="J347" s="9" t="s">
        <v>72</v>
      </c>
      <c r="K347" s="9" t="s">
        <v>84</v>
      </c>
    </row>
    <row r="348" ht="15.75" customHeight="1">
      <c r="A348" s="10">
        <v>45041.0</v>
      </c>
      <c r="B348" s="11">
        <v>3.395746955E9</v>
      </c>
      <c r="C348" s="12" t="s">
        <v>358</v>
      </c>
      <c r="D348" s="11">
        <v>3.6231262E7</v>
      </c>
      <c r="E348" s="10">
        <v>45051.0</v>
      </c>
      <c r="F348" s="9" t="s">
        <v>69</v>
      </c>
      <c r="G348" s="13">
        <v>2.0</v>
      </c>
      <c r="H348" s="9" t="s">
        <v>81</v>
      </c>
      <c r="I348" s="9" t="s">
        <v>71</v>
      </c>
      <c r="J348" s="9" t="s">
        <v>72</v>
      </c>
      <c r="K348" s="9" t="s">
        <v>84</v>
      </c>
    </row>
    <row r="349" ht="15.75" customHeight="1">
      <c r="A349" s="10">
        <v>45042.0</v>
      </c>
      <c r="B349" s="11">
        <v>7.47526521E9</v>
      </c>
      <c r="C349" s="12" t="s">
        <v>394</v>
      </c>
      <c r="D349" s="11">
        <v>4.3963614E7</v>
      </c>
      <c r="E349" s="10">
        <v>45051.0</v>
      </c>
      <c r="F349" s="9" t="s">
        <v>76</v>
      </c>
      <c r="G349" s="13">
        <v>2.0</v>
      </c>
      <c r="H349" s="9" t="s">
        <v>81</v>
      </c>
      <c r="I349" s="9" t="s">
        <v>71</v>
      </c>
      <c r="J349" s="9" t="s">
        <v>72</v>
      </c>
      <c r="K349" s="9" t="s">
        <v>84</v>
      </c>
    </row>
    <row r="350" ht="15.75" customHeight="1">
      <c r="A350" s="10">
        <v>45044.0</v>
      </c>
      <c r="B350" s="11">
        <v>5.559360494E9</v>
      </c>
      <c r="C350" s="12" t="s">
        <v>395</v>
      </c>
      <c r="D350" s="11">
        <v>3.604286E7</v>
      </c>
      <c r="E350" s="10">
        <v>45051.0</v>
      </c>
      <c r="F350" s="9" t="s">
        <v>69</v>
      </c>
      <c r="G350" s="13">
        <v>2.0</v>
      </c>
      <c r="H350" s="9" t="s">
        <v>81</v>
      </c>
      <c r="I350" s="9" t="s">
        <v>71</v>
      </c>
      <c r="J350" s="9" t="s">
        <v>72</v>
      </c>
      <c r="K350" s="9" t="s">
        <v>73</v>
      </c>
    </row>
    <row r="351" ht="15.75" customHeight="1">
      <c r="A351" s="10">
        <v>45044.0</v>
      </c>
      <c r="B351" s="11">
        <v>7.956952754E9</v>
      </c>
      <c r="C351" s="12" t="s">
        <v>396</v>
      </c>
      <c r="D351" s="11">
        <v>3.9571691E7</v>
      </c>
      <c r="E351" s="10">
        <v>45051.0</v>
      </c>
      <c r="F351" s="9" t="s">
        <v>69</v>
      </c>
      <c r="G351" s="13">
        <v>3.0</v>
      </c>
      <c r="H351" s="9" t="s">
        <v>81</v>
      </c>
      <c r="I351" s="9" t="s">
        <v>71</v>
      </c>
      <c r="J351" s="9" t="s">
        <v>98</v>
      </c>
      <c r="K351" s="9" t="s">
        <v>73</v>
      </c>
    </row>
    <row r="352" ht="15.75" customHeight="1">
      <c r="A352" s="10">
        <v>45050.0</v>
      </c>
      <c r="B352" s="11">
        <v>8.485059332E9</v>
      </c>
      <c r="C352" s="12" t="s">
        <v>397</v>
      </c>
      <c r="D352" s="11">
        <v>3.170603E7</v>
      </c>
      <c r="E352" s="10">
        <v>45051.0</v>
      </c>
      <c r="F352" s="9" t="s">
        <v>69</v>
      </c>
      <c r="G352" s="13">
        <v>4.0</v>
      </c>
      <c r="H352" s="9" t="s">
        <v>81</v>
      </c>
      <c r="I352" s="9" t="s">
        <v>71</v>
      </c>
      <c r="J352" s="9" t="s">
        <v>98</v>
      </c>
      <c r="K352" s="9" t="s">
        <v>73</v>
      </c>
    </row>
    <row r="353" ht="15.75" customHeight="1">
      <c r="A353" s="10">
        <v>45050.0</v>
      </c>
      <c r="B353" s="11">
        <v>3.718733152E9</v>
      </c>
      <c r="C353" s="12" t="s">
        <v>397</v>
      </c>
      <c r="D353" s="11">
        <v>3.170603E7</v>
      </c>
      <c r="E353" s="10">
        <v>45051.0</v>
      </c>
      <c r="F353" s="9" t="s">
        <v>69</v>
      </c>
      <c r="G353" s="13">
        <v>5.0</v>
      </c>
      <c r="H353" s="9" t="s">
        <v>81</v>
      </c>
      <c r="I353" s="9" t="s">
        <v>88</v>
      </c>
      <c r="J353" s="9" t="s">
        <v>98</v>
      </c>
      <c r="K353" s="9" t="s">
        <v>73</v>
      </c>
    </row>
    <row r="354" ht="15.75" customHeight="1">
      <c r="A354" s="10">
        <v>45050.0</v>
      </c>
      <c r="B354" s="11">
        <v>7.171699636E9</v>
      </c>
      <c r="C354" s="12" t="s">
        <v>398</v>
      </c>
      <c r="D354" s="11">
        <v>1.6278984E7</v>
      </c>
      <c r="E354" s="10">
        <v>45051.0</v>
      </c>
      <c r="F354" s="9" t="s">
        <v>69</v>
      </c>
      <c r="G354" s="13">
        <v>4.0</v>
      </c>
      <c r="H354" s="9" t="s">
        <v>81</v>
      </c>
      <c r="I354" s="9" t="s">
        <v>88</v>
      </c>
      <c r="J354" s="9" t="s">
        <v>98</v>
      </c>
      <c r="K354" s="9" t="s">
        <v>73</v>
      </c>
    </row>
    <row r="355" ht="15.75" customHeight="1">
      <c r="A355" s="10">
        <v>45050.0</v>
      </c>
      <c r="B355" s="11">
        <v>3.523443884E9</v>
      </c>
      <c r="C355" s="12" t="s">
        <v>397</v>
      </c>
      <c r="D355" s="11">
        <v>3.170603E7</v>
      </c>
      <c r="E355" s="10">
        <v>45051.0</v>
      </c>
      <c r="F355" s="9" t="s">
        <v>69</v>
      </c>
      <c r="G355" s="13">
        <v>3.0</v>
      </c>
      <c r="H355" s="9" t="s">
        <v>81</v>
      </c>
      <c r="I355" s="9" t="s">
        <v>88</v>
      </c>
      <c r="J355" s="9" t="s">
        <v>98</v>
      </c>
      <c r="K355" s="9" t="s">
        <v>73</v>
      </c>
    </row>
    <row r="356" ht="15.75" customHeight="1">
      <c r="A356" s="10">
        <v>45050.0</v>
      </c>
      <c r="B356" s="11">
        <v>5.231243522E9</v>
      </c>
      <c r="C356" s="12" t="s">
        <v>397</v>
      </c>
      <c r="D356" s="11">
        <v>3.170603E7</v>
      </c>
      <c r="E356" s="10">
        <v>45051.0</v>
      </c>
      <c r="F356" s="9" t="s">
        <v>69</v>
      </c>
      <c r="G356" s="13">
        <v>2.0</v>
      </c>
      <c r="H356" s="9" t="s">
        <v>106</v>
      </c>
      <c r="I356" s="9" t="s">
        <v>88</v>
      </c>
      <c r="J356" s="9" t="s">
        <v>98</v>
      </c>
      <c r="K356" s="9" t="s">
        <v>73</v>
      </c>
    </row>
    <row r="357" ht="15.75" customHeight="1">
      <c r="A357" s="10">
        <v>45050.0</v>
      </c>
      <c r="B357" s="11">
        <v>3.718747362E9</v>
      </c>
      <c r="C357" s="12" t="s">
        <v>399</v>
      </c>
      <c r="D357" s="11">
        <v>4.0530085E7</v>
      </c>
      <c r="E357" s="10">
        <v>45051.0</v>
      </c>
      <c r="F357" s="9" t="s">
        <v>69</v>
      </c>
      <c r="G357" s="13">
        <v>3.0</v>
      </c>
      <c r="H357" s="9" t="s">
        <v>106</v>
      </c>
      <c r="I357" s="9" t="s">
        <v>88</v>
      </c>
      <c r="J357" s="9" t="s">
        <v>98</v>
      </c>
      <c r="K357" s="9" t="s">
        <v>73</v>
      </c>
    </row>
    <row r="358" ht="15.75" customHeight="1">
      <c r="A358" s="10">
        <v>45050.0</v>
      </c>
      <c r="B358" s="11">
        <v>3.457829384E9</v>
      </c>
      <c r="C358" s="12" t="s">
        <v>400</v>
      </c>
      <c r="D358" s="11">
        <v>5779288.0</v>
      </c>
      <c r="E358" s="10">
        <v>45051.0</v>
      </c>
      <c r="F358" s="9" t="s">
        <v>69</v>
      </c>
      <c r="G358" s="13">
        <v>2.0</v>
      </c>
      <c r="H358" s="9" t="s">
        <v>106</v>
      </c>
      <c r="I358" s="9" t="s">
        <v>88</v>
      </c>
      <c r="J358" s="9" t="s">
        <v>98</v>
      </c>
      <c r="K358" s="9" t="s">
        <v>73</v>
      </c>
    </row>
    <row r="359" ht="15.75" customHeight="1">
      <c r="A359" s="10">
        <v>45050.0</v>
      </c>
      <c r="B359" s="11">
        <v>6.778434014E9</v>
      </c>
      <c r="C359" s="12" t="s">
        <v>397</v>
      </c>
      <c r="D359" s="11">
        <v>3.170603E7</v>
      </c>
      <c r="E359" s="10">
        <v>45051.0</v>
      </c>
      <c r="F359" s="9" t="s">
        <v>76</v>
      </c>
      <c r="G359" s="13">
        <v>2.0</v>
      </c>
      <c r="H359" s="9" t="s">
        <v>106</v>
      </c>
      <c r="I359" s="9" t="s">
        <v>88</v>
      </c>
      <c r="J359" s="9" t="s">
        <v>98</v>
      </c>
      <c r="K359" s="9" t="s">
        <v>73</v>
      </c>
    </row>
    <row r="360" ht="15.75" customHeight="1">
      <c r="A360" s="10">
        <v>45050.0</v>
      </c>
      <c r="B360" s="11">
        <v>2.456634213E9</v>
      </c>
      <c r="C360" s="12" t="s">
        <v>401</v>
      </c>
      <c r="D360" s="11">
        <v>3.1038055E7</v>
      </c>
      <c r="E360" s="10">
        <v>45051.0</v>
      </c>
      <c r="F360" s="9" t="s">
        <v>76</v>
      </c>
      <c r="G360" s="13">
        <v>2.0</v>
      </c>
      <c r="H360" s="9" t="s">
        <v>106</v>
      </c>
      <c r="I360" s="9" t="s">
        <v>88</v>
      </c>
      <c r="J360" s="9" t="s">
        <v>318</v>
      </c>
      <c r="K360" s="9" t="s">
        <v>73</v>
      </c>
    </row>
    <row r="361" ht="15.75" customHeight="1">
      <c r="A361" s="10">
        <v>45050.0</v>
      </c>
      <c r="B361" s="11">
        <v>6.561925532E9</v>
      </c>
      <c r="C361" s="12" t="s">
        <v>402</v>
      </c>
      <c r="D361" s="11">
        <v>1.7440831E7</v>
      </c>
      <c r="E361" s="10">
        <v>45051.0</v>
      </c>
      <c r="F361" s="9" t="s">
        <v>69</v>
      </c>
      <c r="G361" s="13">
        <v>2.0</v>
      </c>
      <c r="H361" s="9" t="s">
        <v>92</v>
      </c>
      <c r="I361" s="9" t="s">
        <v>88</v>
      </c>
      <c r="J361" s="9" t="s">
        <v>318</v>
      </c>
      <c r="K361" s="9" t="s">
        <v>73</v>
      </c>
    </row>
    <row r="362" ht="15.75" customHeight="1">
      <c r="A362" s="10">
        <v>45050.0</v>
      </c>
      <c r="B362" s="11">
        <v>3.52342949E9</v>
      </c>
      <c r="C362" s="12" t="s">
        <v>403</v>
      </c>
      <c r="D362" s="11">
        <v>3.7927848E7</v>
      </c>
      <c r="E362" s="10">
        <v>45051.0</v>
      </c>
      <c r="F362" s="9" t="s">
        <v>69</v>
      </c>
      <c r="G362" s="13">
        <v>3.0</v>
      </c>
      <c r="H362" s="9" t="s">
        <v>92</v>
      </c>
      <c r="I362" s="9" t="s">
        <v>88</v>
      </c>
      <c r="J362" s="9" t="s">
        <v>318</v>
      </c>
      <c r="K362" s="9" t="s">
        <v>73</v>
      </c>
    </row>
    <row r="363" ht="15.75" customHeight="1">
      <c r="A363" s="10">
        <v>45050.0</v>
      </c>
      <c r="B363" s="11">
        <v>3.15795683E9</v>
      </c>
      <c r="C363" s="14" t="s">
        <v>402</v>
      </c>
      <c r="D363" s="11">
        <v>1.7440831E7</v>
      </c>
      <c r="E363" s="10">
        <v>45051.0</v>
      </c>
      <c r="F363" s="9" t="s">
        <v>69</v>
      </c>
      <c r="G363" s="13">
        <v>4.0</v>
      </c>
      <c r="H363" s="9" t="s">
        <v>92</v>
      </c>
      <c r="I363" s="9" t="s">
        <v>88</v>
      </c>
      <c r="J363" s="9" t="s">
        <v>318</v>
      </c>
      <c r="K363" s="9" t="s">
        <v>73</v>
      </c>
    </row>
    <row r="364" ht="15.75" customHeight="1">
      <c r="A364" s="10">
        <v>45051.0</v>
      </c>
      <c r="B364" s="11">
        <v>3.656178761E9</v>
      </c>
      <c r="C364" s="12" t="s">
        <v>397</v>
      </c>
      <c r="D364" s="11">
        <v>3.170603E7</v>
      </c>
      <c r="E364" s="10">
        <v>45051.0</v>
      </c>
      <c r="F364" s="9" t="s">
        <v>69</v>
      </c>
      <c r="G364" s="13">
        <v>4.0</v>
      </c>
      <c r="H364" s="9" t="s">
        <v>92</v>
      </c>
      <c r="I364" s="9" t="s">
        <v>88</v>
      </c>
      <c r="J364" s="9" t="s">
        <v>318</v>
      </c>
      <c r="K364" s="9" t="s">
        <v>73</v>
      </c>
    </row>
    <row r="365" ht="15.75" customHeight="1">
      <c r="A365" s="10">
        <v>45051.0</v>
      </c>
      <c r="B365" s="11">
        <v>6.691274671E9</v>
      </c>
      <c r="C365" s="12" t="s">
        <v>397</v>
      </c>
      <c r="D365" s="11">
        <v>3.170603E7</v>
      </c>
      <c r="E365" s="10">
        <v>45051.0</v>
      </c>
      <c r="F365" s="9" t="s">
        <v>69</v>
      </c>
      <c r="G365" s="13">
        <v>4.0</v>
      </c>
      <c r="H365" s="9" t="s">
        <v>106</v>
      </c>
      <c r="I365" s="9" t="s">
        <v>71</v>
      </c>
      <c r="J365" s="9" t="s">
        <v>79</v>
      </c>
      <c r="K365" s="9" t="s">
        <v>73</v>
      </c>
    </row>
    <row r="366" ht="15.75" customHeight="1">
      <c r="A366" s="10">
        <v>45042.0</v>
      </c>
      <c r="B366" s="11">
        <v>1.87434877E9</v>
      </c>
      <c r="C366" s="12" t="s">
        <v>404</v>
      </c>
      <c r="D366" s="11">
        <v>4.544328E7</v>
      </c>
      <c r="E366" s="10">
        <v>45054.0</v>
      </c>
      <c r="F366" s="9" t="s">
        <v>69</v>
      </c>
      <c r="G366" s="13">
        <v>3.0</v>
      </c>
      <c r="H366" s="9" t="s">
        <v>106</v>
      </c>
      <c r="I366" s="9" t="s">
        <v>71</v>
      </c>
      <c r="J366" s="9" t="s">
        <v>79</v>
      </c>
      <c r="K366" s="9" t="s">
        <v>103</v>
      </c>
    </row>
    <row r="367" ht="15.75" customHeight="1">
      <c r="A367" s="10">
        <v>45043.0</v>
      </c>
      <c r="B367" s="11">
        <v>6.303539045E9</v>
      </c>
      <c r="C367" s="12" t="s">
        <v>405</v>
      </c>
      <c r="D367" s="11">
        <v>2.2127625E7</v>
      </c>
      <c r="E367" s="10">
        <v>45054.0</v>
      </c>
      <c r="F367" s="9" t="s">
        <v>69</v>
      </c>
      <c r="G367" s="13">
        <v>2.0</v>
      </c>
      <c r="H367" s="9" t="s">
        <v>106</v>
      </c>
      <c r="I367" s="9" t="s">
        <v>71</v>
      </c>
      <c r="J367" s="9" t="s">
        <v>79</v>
      </c>
      <c r="K367" s="9" t="s">
        <v>103</v>
      </c>
    </row>
    <row r="368" ht="15.75" customHeight="1">
      <c r="A368" s="10">
        <v>45044.0</v>
      </c>
      <c r="B368" s="11">
        <v>1.309740434E9</v>
      </c>
      <c r="C368" s="12" t="s">
        <v>406</v>
      </c>
      <c r="D368" s="11">
        <v>3.3416781E7</v>
      </c>
      <c r="E368" s="10">
        <v>45054.0</v>
      </c>
      <c r="F368" s="9" t="s">
        <v>69</v>
      </c>
      <c r="G368" s="13">
        <v>2.0</v>
      </c>
      <c r="H368" s="9" t="s">
        <v>106</v>
      </c>
      <c r="I368" s="9" t="s">
        <v>71</v>
      </c>
      <c r="J368" s="9" t="s">
        <v>79</v>
      </c>
      <c r="K368" s="9" t="s">
        <v>103</v>
      </c>
    </row>
    <row r="369" ht="15.75" customHeight="1">
      <c r="A369" s="10">
        <v>45044.0</v>
      </c>
      <c r="B369" s="11">
        <v>5.411435293E9</v>
      </c>
      <c r="C369" s="12" t="s">
        <v>407</v>
      </c>
      <c r="D369" s="11">
        <v>3.476421E7</v>
      </c>
      <c r="E369" s="10">
        <v>45054.0</v>
      </c>
      <c r="F369" s="9" t="s">
        <v>69</v>
      </c>
      <c r="G369" s="13">
        <v>2.0</v>
      </c>
      <c r="H369" s="9" t="s">
        <v>106</v>
      </c>
      <c r="I369" s="9" t="s">
        <v>71</v>
      </c>
      <c r="J369" s="9" t="s">
        <v>79</v>
      </c>
      <c r="K369" s="9" t="s">
        <v>103</v>
      </c>
    </row>
    <row r="370" ht="15.75" customHeight="1">
      <c r="A370" s="10">
        <v>45044.0</v>
      </c>
      <c r="B370" s="11">
        <v>5.559360354E9</v>
      </c>
      <c r="C370" s="12" t="s">
        <v>405</v>
      </c>
      <c r="D370" s="11">
        <v>2.2127625E7</v>
      </c>
      <c r="E370" s="10">
        <v>45054.0</v>
      </c>
      <c r="F370" s="9" t="s">
        <v>76</v>
      </c>
      <c r="G370" s="13">
        <v>2.0</v>
      </c>
      <c r="H370" s="9" t="s">
        <v>106</v>
      </c>
      <c r="I370" s="9" t="s">
        <v>71</v>
      </c>
      <c r="J370" s="9" t="s">
        <v>83</v>
      </c>
      <c r="K370" s="9" t="s">
        <v>103</v>
      </c>
    </row>
    <row r="371" ht="15.75" customHeight="1">
      <c r="A371" s="10">
        <v>45050.0</v>
      </c>
      <c r="B371" s="11">
        <v>7.032016051E9</v>
      </c>
      <c r="C371" s="12" t="s">
        <v>408</v>
      </c>
      <c r="D371" s="11">
        <v>3.1001726E7</v>
      </c>
      <c r="E371" s="10">
        <v>45054.0</v>
      </c>
      <c r="F371" s="9" t="s">
        <v>69</v>
      </c>
      <c r="G371" s="13">
        <v>2.0</v>
      </c>
      <c r="H371" s="9" t="s">
        <v>106</v>
      </c>
      <c r="I371" s="9" t="s">
        <v>71</v>
      </c>
      <c r="J371" s="9" t="s">
        <v>83</v>
      </c>
      <c r="K371" s="9" t="s">
        <v>103</v>
      </c>
    </row>
    <row r="372" ht="15.75" customHeight="1">
      <c r="A372" s="10">
        <v>45050.0</v>
      </c>
      <c r="B372" s="11">
        <v>7.171673692E9</v>
      </c>
      <c r="C372" s="12" t="s">
        <v>408</v>
      </c>
      <c r="D372" s="11">
        <v>3.1001726E7</v>
      </c>
      <c r="E372" s="10">
        <v>45054.0</v>
      </c>
      <c r="F372" s="9" t="s">
        <v>69</v>
      </c>
      <c r="G372" s="13">
        <v>3.0</v>
      </c>
      <c r="H372" s="9" t="s">
        <v>106</v>
      </c>
      <c r="I372" s="9" t="s">
        <v>71</v>
      </c>
      <c r="J372" s="9" t="s">
        <v>83</v>
      </c>
      <c r="K372" s="9" t="s">
        <v>103</v>
      </c>
    </row>
    <row r="373" ht="15.75" customHeight="1">
      <c r="A373" s="10">
        <v>45050.0</v>
      </c>
      <c r="B373" s="11">
        <v>8.72595878E9</v>
      </c>
      <c r="C373" s="12" t="s">
        <v>409</v>
      </c>
      <c r="D373" s="11">
        <v>2.0284816E7</v>
      </c>
      <c r="E373" s="10">
        <v>45054.0</v>
      </c>
      <c r="F373" s="9" t="s">
        <v>69</v>
      </c>
      <c r="G373" s="13">
        <v>1.0</v>
      </c>
      <c r="H373" s="9" t="s">
        <v>106</v>
      </c>
      <c r="I373" s="9" t="s">
        <v>71</v>
      </c>
      <c r="J373" s="9" t="s">
        <v>83</v>
      </c>
      <c r="K373" s="9" t="s">
        <v>103</v>
      </c>
    </row>
    <row r="374" ht="15.75" customHeight="1">
      <c r="A374" s="10">
        <v>45050.0</v>
      </c>
      <c r="B374" s="11">
        <v>6.281137004E9</v>
      </c>
      <c r="C374" s="12" t="s">
        <v>410</v>
      </c>
      <c r="D374" s="11">
        <v>2.2877086E7</v>
      </c>
      <c r="E374" s="10">
        <v>45054.0</v>
      </c>
      <c r="F374" s="9" t="s">
        <v>76</v>
      </c>
      <c r="G374" s="13">
        <v>4.0</v>
      </c>
      <c r="H374" s="9" t="s">
        <v>70</v>
      </c>
      <c r="I374" s="9" t="s">
        <v>71</v>
      </c>
      <c r="J374" s="9" t="s">
        <v>83</v>
      </c>
      <c r="K374" s="9" t="s">
        <v>103</v>
      </c>
    </row>
    <row r="375" ht="15.75" customHeight="1">
      <c r="A375" s="10">
        <v>45051.0</v>
      </c>
      <c r="B375" s="11">
        <v>3.656200973E9</v>
      </c>
      <c r="C375" s="12" t="s">
        <v>408</v>
      </c>
      <c r="D375" s="11">
        <v>3.1001726E7</v>
      </c>
      <c r="E375" s="10">
        <v>45054.0</v>
      </c>
      <c r="F375" s="9" t="s">
        <v>69</v>
      </c>
      <c r="G375" s="13">
        <v>1.0</v>
      </c>
      <c r="H375" s="9" t="s">
        <v>70</v>
      </c>
      <c r="I375" s="9" t="s">
        <v>71</v>
      </c>
      <c r="J375" s="9" t="s">
        <v>83</v>
      </c>
      <c r="K375" s="9" t="s">
        <v>103</v>
      </c>
    </row>
    <row r="376" ht="15.75" customHeight="1">
      <c r="A376" s="10">
        <v>45051.0</v>
      </c>
      <c r="B376" s="11">
        <v>9.605785803E9</v>
      </c>
      <c r="C376" s="12" t="s">
        <v>411</v>
      </c>
      <c r="D376" s="11">
        <v>3.5921491E7</v>
      </c>
      <c r="E376" s="10">
        <v>45054.0</v>
      </c>
      <c r="F376" s="9" t="s">
        <v>69</v>
      </c>
      <c r="G376" s="13">
        <v>4.0</v>
      </c>
      <c r="H376" s="9" t="s">
        <v>70</v>
      </c>
      <c r="I376" s="9" t="s">
        <v>71</v>
      </c>
      <c r="J376" s="9" t="s">
        <v>83</v>
      </c>
      <c r="K376" s="9" t="s">
        <v>90</v>
      </c>
    </row>
    <row r="377" ht="15.75" customHeight="1">
      <c r="A377" s="10">
        <v>45051.0</v>
      </c>
      <c r="B377" s="11">
        <v>8.526485376E9</v>
      </c>
      <c r="C377" s="12" t="s">
        <v>412</v>
      </c>
      <c r="D377" s="11">
        <v>3.2158239E7</v>
      </c>
      <c r="E377" s="10">
        <v>45054.0</v>
      </c>
      <c r="F377" s="9" t="s">
        <v>69</v>
      </c>
      <c r="G377" s="13">
        <v>4.0</v>
      </c>
      <c r="H377" s="9" t="s">
        <v>70</v>
      </c>
      <c r="I377" s="9" t="s">
        <v>71</v>
      </c>
      <c r="J377" s="9" t="s">
        <v>83</v>
      </c>
      <c r="K377" s="9" t="s">
        <v>90</v>
      </c>
    </row>
    <row r="378" ht="15.75" customHeight="1">
      <c r="A378" s="10">
        <v>45030.0</v>
      </c>
      <c r="B378" s="11">
        <v>7.702524944E9</v>
      </c>
      <c r="C378" s="12" t="s">
        <v>413</v>
      </c>
      <c r="D378" s="11">
        <v>4.5516779E7</v>
      </c>
      <c r="E378" s="10">
        <v>45055.0</v>
      </c>
      <c r="F378" s="9" t="s">
        <v>76</v>
      </c>
      <c r="G378" s="13">
        <v>4.0</v>
      </c>
      <c r="H378" s="9" t="s">
        <v>70</v>
      </c>
      <c r="I378" s="9" t="s">
        <v>71</v>
      </c>
      <c r="J378" s="9" t="s">
        <v>93</v>
      </c>
      <c r="K378" s="9" t="s">
        <v>90</v>
      </c>
    </row>
    <row r="379" ht="15.75" customHeight="1">
      <c r="A379" s="10">
        <v>45051.0</v>
      </c>
      <c r="B379" s="11">
        <v>3.054754076E9</v>
      </c>
      <c r="C379" s="12" t="s">
        <v>414</v>
      </c>
      <c r="D379" s="11">
        <v>3.1487671E7</v>
      </c>
      <c r="E379" s="10">
        <v>45055.0</v>
      </c>
      <c r="F379" s="9" t="s">
        <v>69</v>
      </c>
      <c r="G379" s="13">
        <v>3.0</v>
      </c>
      <c r="H379" s="9" t="s">
        <v>70</v>
      </c>
      <c r="I379" s="9" t="s">
        <v>71</v>
      </c>
      <c r="J379" s="9" t="s">
        <v>93</v>
      </c>
      <c r="K379" s="9" t="s">
        <v>90</v>
      </c>
    </row>
    <row r="380" ht="15.75" customHeight="1">
      <c r="A380" s="10">
        <v>45055.0</v>
      </c>
      <c r="B380" s="11">
        <v>2.211442866E9</v>
      </c>
      <c r="C380" s="12" t="s">
        <v>415</v>
      </c>
      <c r="D380" s="11">
        <v>4.4978092E7</v>
      </c>
      <c r="E380" s="10">
        <v>45055.0</v>
      </c>
      <c r="F380" s="9" t="s">
        <v>76</v>
      </c>
      <c r="G380" s="13">
        <v>3.0</v>
      </c>
      <c r="H380" s="9" t="s">
        <v>70</v>
      </c>
      <c r="I380" s="9" t="s">
        <v>71</v>
      </c>
      <c r="J380" s="9" t="s">
        <v>93</v>
      </c>
      <c r="K380" s="9" t="s">
        <v>90</v>
      </c>
    </row>
    <row r="381" ht="15.75" customHeight="1">
      <c r="A381" s="10">
        <v>45050.0</v>
      </c>
      <c r="B381" s="11">
        <v>6.175247901E9</v>
      </c>
      <c r="C381" s="12" t="s">
        <v>416</v>
      </c>
      <c r="D381" s="11">
        <v>2.2877643E7</v>
      </c>
      <c r="E381" s="10">
        <v>45056.0</v>
      </c>
      <c r="F381" s="9" t="s">
        <v>69</v>
      </c>
      <c r="G381" s="13">
        <v>3.0</v>
      </c>
      <c r="H381" s="9" t="s">
        <v>70</v>
      </c>
      <c r="I381" s="9" t="s">
        <v>77</v>
      </c>
      <c r="J381" s="9" t="s">
        <v>93</v>
      </c>
      <c r="K381" s="9" t="s">
        <v>217</v>
      </c>
    </row>
    <row r="382" ht="15.75" customHeight="1">
      <c r="A382" s="10">
        <v>45050.0</v>
      </c>
      <c r="B382" s="11">
        <v>3.899487255E9</v>
      </c>
      <c r="C382" s="12" t="s">
        <v>416</v>
      </c>
      <c r="D382" s="11">
        <v>2.2877643E7</v>
      </c>
      <c r="E382" s="10">
        <v>45056.0</v>
      </c>
      <c r="F382" s="9" t="s">
        <v>69</v>
      </c>
      <c r="G382" s="13">
        <v>3.0</v>
      </c>
      <c r="H382" s="9" t="s">
        <v>70</v>
      </c>
      <c r="I382" s="9" t="s">
        <v>77</v>
      </c>
      <c r="J382" s="9" t="s">
        <v>93</v>
      </c>
      <c r="K382" s="9" t="s">
        <v>217</v>
      </c>
    </row>
    <row r="383" ht="15.75" customHeight="1">
      <c r="A383" s="10">
        <v>45050.0</v>
      </c>
      <c r="B383" s="11">
        <v>3.281732123E9</v>
      </c>
      <c r="C383" s="12" t="s">
        <v>417</v>
      </c>
      <c r="D383" s="11">
        <v>4.3648586E7</v>
      </c>
      <c r="E383" s="10">
        <v>45056.0</v>
      </c>
      <c r="F383" s="9" t="s">
        <v>76</v>
      </c>
      <c r="G383" s="13">
        <v>1.0</v>
      </c>
      <c r="H383" s="9" t="s">
        <v>70</v>
      </c>
      <c r="I383" s="9" t="s">
        <v>77</v>
      </c>
      <c r="J383" s="9" t="s">
        <v>93</v>
      </c>
      <c r="K383" s="9" t="s">
        <v>217</v>
      </c>
    </row>
    <row r="384" ht="15.75" customHeight="1">
      <c r="A384" s="10">
        <v>45050.0</v>
      </c>
      <c r="B384" s="11">
        <v>4.172366516E9</v>
      </c>
      <c r="C384" s="12" t="s">
        <v>418</v>
      </c>
      <c r="D384" s="11">
        <v>4.5511707E7</v>
      </c>
      <c r="E384" s="10">
        <v>45056.0</v>
      </c>
      <c r="F384" s="9" t="s">
        <v>69</v>
      </c>
      <c r="G384" s="13">
        <v>2.0</v>
      </c>
      <c r="H384" s="9" t="s">
        <v>70</v>
      </c>
      <c r="I384" s="9" t="s">
        <v>77</v>
      </c>
      <c r="J384" s="9" t="s">
        <v>98</v>
      </c>
      <c r="K384" s="9" t="s">
        <v>73</v>
      </c>
    </row>
    <row r="385" ht="15.75" customHeight="1">
      <c r="A385" s="10">
        <v>45050.0</v>
      </c>
      <c r="B385" s="11">
        <v>3.624617732E9</v>
      </c>
      <c r="C385" s="12" t="s">
        <v>419</v>
      </c>
      <c r="D385" s="11">
        <v>2.5740841E7</v>
      </c>
      <c r="E385" s="10">
        <v>45056.0</v>
      </c>
      <c r="F385" s="9" t="s">
        <v>69</v>
      </c>
      <c r="G385" s="13">
        <v>2.0</v>
      </c>
      <c r="H385" s="9" t="s">
        <v>70</v>
      </c>
      <c r="I385" s="9" t="s">
        <v>77</v>
      </c>
      <c r="J385" s="9" t="s">
        <v>98</v>
      </c>
      <c r="K385" s="9" t="s">
        <v>73</v>
      </c>
    </row>
    <row r="386" ht="15.75" customHeight="1">
      <c r="A386" s="10">
        <v>45051.0</v>
      </c>
      <c r="B386" s="11">
        <v>4.104130623E9</v>
      </c>
      <c r="C386" s="12" t="s">
        <v>420</v>
      </c>
      <c r="D386" s="11">
        <v>3.5191835E7</v>
      </c>
      <c r="E386" s="10">
        <v>45056.0</v>
      </c>
      <c r="F386" s="9" t="s">
        <v>76</v>
      </c>
      <c r="G386" s="13">
        <v>2.0</v>
      </c>
      <c r="H386" s="9" t="s">
        <v>70</v>
      </c>
      <c r="I386" s="9" t="s">
        <v>77</v>
      </c>
      <c r="J386" s="9" t="s">
        <v>98</v>
      </c>
      <c r="K386" s="9" t="s">
        <v>73</v>
      </c>
    </row>
    <row r="387" ht="15.75" customHeight="1">
      <c r="A387" s="10">
        <v>45051.0</v>
      </c>
      <c r="B387" s="11">
        <v>3.50285894E9</v>
      </c>
      <c r="C387" s="12" t="s">
        <v>421</v>
      </c>
      <c r="D387" s="11">
        <v>2.6722548E7</v>
      </c>
      <c r="E387" s="10">
        <v>45056.0</v>
      </c>
      <c r="F387" s="9" t="s">
        <v>69</v>
      </c>
      <c r="G387" s="13">
        <v>1.0</v>
      </c>
      <c r="H387" s="9" t="s">
        <v>70</v>
      </c>
      <c r="I387" s="9" t="s">
        <v>77</v>
      </c>
      <c r="J387" s="9" t="s">
        <v>98</v>
      </c>
      <c r="K387" s="9" t="s">
        <v>73</v>
      </c>
    </row>
    <row r="388" ht="15.75" customHeight="1">
      <c r="A388" s="10">
        <v>45055.0</v>
      </c>
      <c r="B388" s="11">
        <v>4.630159446E9</v>
      </c>
      <c r="C388" s="12" t="s">
        <v>416</v>
      </c>
      <c r="D388" s="11">
        <v>2.2877643E7</v>
      </c>
      <c r="E388" s="10">
        <v>45056.0</v>
      </c>
      <c r="F388" s="9" t="s">
        <v>69</v>
      </c>
      <c r="G388" s="13">
        <v>1.0</v>
      </c>
      <c r="H388" s="9" t="s">
        <v>70</v>
      </c>
      <c r="I388" s="9" t="s">
        <v>88</v>
      </c>
      <c r="J388" s="9" t="s">
        <v>98</v>
      </c>
      <c r="K388" s="9" t="s">
        <v>73</v>
      </c>
    </row>
    <row r="389" ht="15.75" customHeight="1">
      <c r="A389" s="10">
        <v>45055.0</v>
      </c>
      <c r="B389" s="11">
        <v>4.829475442E9</v>
      </c>
      <c r="C389" s="12" t="s">
        <v>422</v>
      </c>
      <c r="D389" s="11">
        <v>1.4225586E7</v>
      </c>
      <c r="E389" s="10">
        <v>45056.0</v>
      </c>
      <c r="F389" s="9" t="s">
        <v>69</v>
      </c>
      <c r="G389" s="13">
        <v>1.0</v>
      </c>
      <c r="H389" s="9" t="s">
        <v>70</v>
      </c>
      <c r="I389" s="9" t="s">
        <v>88</v>
      </c>
      <c r="J389" s="9" t="s">
        <v>318</v>
      </c>
      <c r="K389" s="9" t="s">
        <v>73</v>
      </c>
    </row>
    <row r="390" ht="15.75" customHeight="1">
      <c r="A390" s="10">
        <v>45044.0</v>
      </c>
      <c r="B390" s="11">
        <v>3.782798331E9</v>
      </c>
      <c r="C390" s="12" t="s">
        <v>423</v>
      </c>
      <c r="D390" s="11">
        <v>3.9480571E7</v>
      </c>
      <c r="E390" s="10">
        <v>45057.0</v>
      </c>
      <c r="F390" s="9" t="s">
        <v>69</v>
      </c>
      <c r="G390" s="13">
        <v>1.0</v>
      </c>
      <c r="H390" s="9" t="s">
        <v>70</v>
      </c>
      <c r="I390" s="9" t="s">
        <v>88</v>
      </c>
      <c r="J390" s="9" t="s">
        <v>318</v>
      </c>
      <c r="K390" s="9" t="s">
        <v>73</v>
      </c>
    </row>
    <row r="391" ht="15.75" customHeight="1">
      <c r="A391" s="10">
        <v>45050.0</v>
      </c>
      <c r="B391" s="11">
        <v>9.882443292E9</v>
      </c>
      <c r="C391" s="12" t="s">
        <v>424</v>
      </c>
      <c r="D391" s="11">
        <v>4.3648586E7</v>
      </c>
      <c r="E391" s="10">
        <v>45057.0</v>
      </c>
      <c r="F391" s="9" t="s">
        <v>69</v>
      </c>
      <c r="G391" s="13">
        <v>2.0</v>
      </c>
      <c r="H391" s="9" t="s">
        <v>116</v>
      </c>
      <c r="I391" s="9" t="s">
        <v>88</v>
      </c>
      <c r="J391" s="9" t="s">
        <v>318</v>
      </c>
      <c r="K391" s="9" t="s">
        <v>73</v>
      </c>
    </row>
    <row r="392" ht="15.75" customHeight="1">
      <c r="A392" s="10">
        <v>45055.0</v>
      </c>
      <c r="B392" s="11">
        <v>6.18691458E9</v>
      </c>
      <c r="C392" s="12" t="s">
        <v>419</v>
      </c>
      <c r="D392" s="11">
        <v>2.5740481E7</v>
      </c>
      <c r="E392" s="10">
        <v>45057.0</v>
      </c>
      <c r="F392" s="9" t="s">
        <v>69</v>
      </c>
      <c r="G392" s="13">
        <v>2.0</v>
      </c>
      <c r="H392" s="9" t="s">
        <v>116</v>
      </c>
      <c r="I392" s="9" t="s">
        <v>71</v>
      </c>
      <c r="J392" s="9" t="s">
        <v>318</v>
      </c>
      <c r="K392" s="9" t="s">
        <v>73</v>
      </c>
    </row>
    <row r="393" ht="15.75" customHeight="1">
      <c r="A393" s="10">
        <v>45055.0</v>
      </c>
      <c r="B393" s="11">
        <v>2.486733325E9</v>
      </c>
      <c r="C393" s="12" t="s">
        <v>425</v>
      </c>
      <c r="D393" s="11">
        <v>2.4059001E7</v>
      </c>
      <c r="E393" s="10">
        <v>45057.0</v>
      </c>
      <c r="F393" s="9" t="s">
        <v>69</v>
      </c>
      <c r="G393" s="13">
        <v>2.0</v>
      </c>
      <c r="H393" s="9" t="s">
        <v>116</v>
      </c>
      <c r="I393" s="9" t="s">
        <v>71</v>
      </c>
      <c r="J393" s="9" t="s">
        <v>318</v>
      </c>
      <c r="K393" s="9" t="s">
        <v>73</v>
      </c>
    </row>
    <row r="394" ht="15.75" customHeight="1">
      <c r="A394" s="10">
        <v>45042.0</v>
      </c>
      <c r="B394" s="11">
        <v>7.475240382E9</v>
      </c>
      <c r="C394" s="12" t="s">
        <v>426</v>
      </c>
      <c r="D394" s="11">
        <v>2.9997572E7</v>
      </c>
      <c r="E394" s="10">
        <v>45058.0</v>
      </c>
      <c r="F394" s="9" t="s">
        <v>69</v>
      </c>
      <c r="G394" s="13">
        <v>2.0</v>
      </c>
      <c r="H394" s="9" t="s">
        <v>116</v>
      </c>
      <c r="I394" s="9" t="s">
        <v>71</v>
      </c>
      <c r="J394" s="9" t="s">
        <v>318</v>
      </c>
      <c r="K394" s="9" t="s">
        <v>73</v>
      </c>
    </row>
    <row r="395" ht="15.75" customHeight="1">
      <c r="A395" s="10">
        <v>45042.0</v>
      </c>
      <c r="B395" s="11">
        <v>1.58110869E9</v>
      </c>
      <c r="C395" s="12" t="s">
        <v>426</v>
      </c>
      <c r="D395" s="11">
        <v>2.9997572E7</v>
      </c>
      <c r="E395" s="10">
        <v>45058.0</v>
      </c>
      <c r="F395" s="9" t="s">
        <v>69</v>
      </c>
      <c r="G395" s="13">
        <v>2.0</v>
      </c>
      <c r="H395" s="9" t="s">
        <v>116</v>
      </c>
      <c r="I395" s="9" t="s">
        <v>71</v>
      </c>
      <c r="J395" s="9" t="s">
        <v>318</v>
      </c>
      <c r="K395" s="9" t="s">
        <v>73</v>
      </c>
    </row>
    <row r="396" ht="15.75" customHeight="1">
      <c r="A396" s="10">
        <v>45048.0</v>
      </c>
      <c r="B396" s="11">
        <v>5.771650286E9</v>
      </c>
      <c r="C396" s="12" t="s">
        <v>427</v>
      </c>
      <c r="D396" s="11">
        <v>4.3001543E7</v>
      </c>
      <c r="E396" s="10">
        <v>45058.0</v>
      </c>
      <c r="F396" s="9" t="s">
        <v>69</v>
      </c>
      <c r="G396" s="13">
        <v>1.0</v>
      </c>
      <c r="H396" s="9" t="s">
        <v>116</v>
      </c>
      <c r="I396" s="9" t="s">
        <v>71</v>
      </c>
      <c r="J396" s="9" t="s">
        <v>318</v>
      </c>
      <c r="K396" s="9" t="s">
        <v>73</v>
      </c>
    </row>
    <row r="397" ht="15.75" customHeight="1">
      <c r="A397" s="10">
        <v>45050.0</v>
      </c>
      <c r="B397" s="11">
        <v>6.561964673E9</v>
      </c>
      <c r="C397" s="12" t="s">
        <v>428</v>
      </c>
      <c r="D397" s="11">
        <v>4.2407131E7</v>
      </c>
      <c r="E397" s="10">
        <v>45058.0</v>
      </c>
      <c r="F397" s="9" t="s">
        <v>69</v>
      </c>
      <c r="G397" s="13">
        <v>1.0</v>
      </c>
      <c r="H397" s="9" t="s">
        <v>116</v>
      </c>
      <c r="I397" s="9" t="s">
        <v>71</v>
      </c>
      <c r="J397" s="9" t="s">
        <v>318</v>
      </c>
      <c r="K397" s="9" t="s">
        <v>73</v>
      </c>
    </row>
    <row r="398" ht="15.75" customHeight="1">
      <c r="A398" s="10">
        <v>45051.0</v>
      </c>
      <c r="B398" s="11">
        <v>3.50294952E9</v>
      </c>
      <c r="C398" s="12" t="s">
        <v>429</v>
      </c>
      <c r="D398" s="11">
        <v>3.9140888E7</v>
      </c>
      <c r="E398" s="10">
        <v>45058.0</v>
      </c>
      <c r="F398" s="9" t="s">
        <v>69</v>
      </c>
      <c r="G398" s="13">
        <v>1.0</v>
      </c>
      <c r="H398" s="9" t="s">
        <v>116</v>
      </c>
      <c r="I398" s="9" t="s">
        <v>71</v>
      </c>
      <c r="J398" s="9" t="s">
        <v>318</v>
      </c>
      <c r="K398" s="9" t="s">
        <v>73</v>
      </c>
    </row>
    <row r="399" ht="15.75" customHeight="1">
      <c r="A399" s="10">
        <v>45055.0</v>
      </c>
      <c r="B399" s="11">
        <v>1.922231006E9</v>
      </c>
      <c r="C399" s="12" t="s">
        <v>430</v>
      </c>
      <c r="D399" s="11">
        <v>1.8186068E7</v>
      </c>
      <c r="E399" s="10">
        <v>45058.0</v>
      </c>
      <c r="F399" s="9" t="s">
        <v>76</v>
      </c>
      <c r="G399" s="13">
        <v>1.0</v>
      </c>
      <c r="H399" s="9" t="s">
        <v>116</v>
      </c>
      <c r="I399" s="9" t="s">
        <v>71</v>
      </c>
      <c r="J399" s="9" t="s">
        <v>318</v>
      </c>
      <c r="K399" s="9" t="s">
        <v>73</v>
      </c>
    </row>
    <row r="400" ht="15.75" customHeight="1">
      <c r="A400" s="10">
        <v>45055.0</v>
      </c>
      <c r="B400" s="11">
        <v>1.274452804E9</v>
      </c>
      <c r="C400" s="12" t="s">
        <v>431</v>
      </c>
      <c r="D400" s="11">
        <v>2.5212907E7</v>
      </c>
      <c r="E400" s="10">
        <v>45058.0</v>
      </c>
      <c r="F400" s="9" t="s">
        <v>69</v>
      </c>
      <c r="G400" s="13">
        <v>1.0</v>
      </c>
      <c r="H400" s="9" t="s">
        <v>116</v>
      </c>
      <c r="I400" s="9" t="s">
        <v>71</v>
      </c>
      <c r="J400" s="9" t="s">
        <v>318</v>
      </c>
      <c r="K400" s="9" t="s">
        <v>73</v>
      </c>
    </row>
    <row r="401" ht="15.75" customHeight="1">
      <c r="A401" s="10">
        <v>45055.0</v>
      </c>
      <c r="B401" s="11">
        <v>2.906094332E9</v>
      </c>
      <c r="C401" s="12" t="s">
        <v>432</v>
      </c>
      <c r="D401" s="11">
        <v>1.2733492E7</v>
      </c>
      <c r="E401" s="10">
        <v>45058.0</v>
      </c>
      <c r="F401" s="9" t="s">
        <v>69</v>
      </c>
      <c r="G401" s="13">
        <v>1.0</v>
      </c>
      <c r="H401" s="9" t="s">
        <v>116</v>
      </c>
      <c r="I401" s="9" t="s">
        <v>71</v>
      </c>
      <c r="J401" s="9" t="s">
        <v>72</v>
      </c>
      <c r="K401" s="9" t="s">
        <v>84</v>
      </c>
    </row>
    <row r="402" ht="15.75" customHeight="1">
      <c r="A402" s="10">
        <v>45058.0</v>
      </c>
      <c r="B402" s="11">
        <v>9.52564795E9</v>
      </c>
      <c r="C402" s="12" t="s">
        <v>433</v>
      </c>
      <c r="D402" s="11">
        <v>1.7600371E7</v>
      </c>
      <c r="E402" s="10">
        <v>45058.0</v>
      </c>
      <c r="F402" s="9" t="s">
        <v>69</v>
      </c>
      <c r="G402" s="13">
        <v>1.0</v>
      </c>
      <c r="H402" s="9" t="s">
        <v>116</v>
      </c>
      <c r="I402" s="9" t="s">
        <v>71</v>
      </c>
      <c r="J402" s="9" t="s">
        <v>72</v>
      </c>
      <c r="K402" s="9" t="s">
        <v>84</v>
      </c>
    </row>
    <row r="403" ht="15.75" customHeight="1">
      <c r="A403" s="10">
        <v>45050.0</v>
      </c>
      <c r="B403" s="11">
        <v>2.838790776E9</v>
      </c>
      <c r="C403" s="12" t="s">
        <v>434</v>
      </c>
      <c r="D403" s="11">
        <v>1.422532E7</v>
      </c>
      <c r="E403" s="10">
        <v>45061.0</v>
      </c>
      <c r="F403" s="9" t="s">
        <v>69</v>
      </c>
      <c r="G403" s="13">
        <v>2.0</v>
      </c>
      <c r="H403" s="9" t="s">
        <v>116</v>
      </c>
      <c r="I403" s="9" t="s">
        <v>71</v>
      </c>
      <c r="J403" s="9" t="s">
        <v>72</v>
      </c>
      <c r="K403" s="9" t="s">
        <v>84</v>
      </c>
    </row>
    <row r="404" ht="15.75" customHeight="1">
      <c r="A404" s="10">
        <v>45050.0</v>
      </c>
      <c r="B404" s="11">
        <v>4.631990451E9</v>
      </c>
      <c r="C404" s="12" t="s">
        <v>435</v>
      </c>
      <c r="D404" s="11">
        <v>4.3026347E7</v>
      </c>
      <c r="E404" s="10">
        <v>45061.0</v>
      </c>
      <c r="F404" s="9" t="s">
        <v>69</v>
      </c>
      <c r="G404" s="13">
        <v>2.0</v>
      </c>
      <c r="H404" s="9" t="s">
        <v>116</v>
      </c>
      <c r="I404" s="9" t="s">
        <v>71</v>
      </c>
      <c r="J404" s="9" t="s">
        <v>72</v>
      </c>
      <c r="K404" s="9" t="s">
        <v>84</v>
      </c>
    </row>
    <row r="405" ht="15.75" customHeight="1">
      <c r="A405" s="10">
        <v>45050.0</v>
      </c>
      <c r="B405" s="11">
        <v>1.00532285E9</v>
      </c>
      <c r="C405" s="12" t="s">
        <v>435</v>
      </c>
      <c r="D405" s="11">
        <v>4.3026347E7</v>
      </c>
      <c r="E405" s="10">
        <v>45061.0</v>
      </c>
      <c r="F405" s="9" t="s">
        <v>69</v>
      </c>
      <c r="G405" s="13">
        <v>2.0</v>
      </c>
      <c r="H405" s="9" t="s">
        <v>116</v>
      </c>
      <c r="I405" s="9" t="s">
        <v>71</v>
      </c>
      <c r="J405" s="9" t="s">
        <v>72</v>
      </c>
      <c r="K405" s="9" t="s">
        <v>84</v>
      </c>
    </row>
    <row r="406" ht="15.75" customHeight="1">
      <c r="A406" s="10">
        <v>45051.0</v>
      </c>
      <c r="B406" s="11">
        <v>2.168635066E9</v>
      </c>
      <c r="C406" s="12" t="s">
        <v>436</v>
      </c>
      <c r="D406" s="11">
        <v>5775910.0</v>
      </c>
      <c r="E406" s="10">
        <v>45061.0</v>
      </c>
      <c r="F406" s="9" t="s">
        <v>76</v>
      </c>
      <c r="G406" s="13">
        <v>2.0</v>
      </c>
      <c r="H406" s="9" t="s">
        <v>112</v>
      </c>
      <c r="I406" s="9" t="s">
        <v>71</v>
      </c>
      <c r="J406" s="9" t="s">
        <v>72</v>
      </c>
      <c r="K406" s="9" t="s">
        <v>103</v>
      </c>
    </row>
    <row r="407" ht="15.75" customHeight="1">
      <c r="A407" s="10">
        <v>45051.0</v>
      </c>
      <c r="B407" s="11">
        <v>7.13814493E9</v>
      </c>
      <c r="C407" s="12" t="s">
        <v>437</v>
      </c>
      <c r="D407" s="11">
        <v>2.9877812E7</v>
      </c>
      <c r="E407" s="10">
        <v>45061.0</v>
      </c>
      <c r="F407" s="9" t="s">
        <v>69</v>
      </c>
      <c r="G407" s="13">
        <v>3.0</v>
      </c>
      <c r="H407" s="9" t="s">
        <v>112</v>
      </c>
      <c r="I407" s="9" t="s">
        <v>71</v>
      </c>
      <c r="J407" s="9" t="s">
        <v>72</v>
      </c>
      <c r="K407" s="9" t="s">
        <v>103</v>
      </c>
    </row>
    <row r="408" ht="15.75" customHeight="1">
      <c r="A408" s="10">
        <v>45055.0</v>
      </c>
      <c r="B408" s="11">
        <v>2.906088441E9</v>
      </c>
      <c r="C408" s="12" t="s">
        <v>437</v>
      </c>
      <c r="D408" s="11">
        <v>2.9877812E7</v>
      </c>
      <c r="E408" s="10">
        <v>45061.0</v>
      </c>
      <c r="F408" s="9" t="s">
        <v>69</v>
      </c>
      <c r="G408" s="13">
        <v>3.0</v>
      </c>
      <c r="H408" s="9" t="s">
        <v>112</v>
      </c>
      <c r="I408" s="9" t="s">
        <v>71</v>
      </c>
      <c r="J408" s="9" t="s">
        <v>72</v>
      </c>
      <c r="K408" s="9" t="s">
        <v>103</v>
      </c>
    </row>
    <row r="409" ht="15.75" customHeight="1">
      <c r="A409" s="10">
        <v>45055.0</v>
      </c>
      <c r="B409" s="11">
        <v>5.875215393E9</v>
      </c>
      <c r="C409" s="12" t="s">
        <v>438</v>
      </c>
      <c r="D409" s="11">
        <v>3.8023859E7</v>
      </c>
      <c r="E409" s="10">
        <v>45061.0</v>
      </c>
      <c r="F409" s="9" t="s">
        <v>69</v>
      </c>
      <c r="G409" s="13">
        <v>2.0</v>
      </c>
      <c r="H409" s="9" t="s">
        <v>112</v>
      </c>
      <c r="I409" s="9" t="s">
        <v>71</v>
      </c>
      <c r="J409" s="9" t="s">
        <v>72</v>
      </c>
      <c r="K409" s="9" t="s">
        <v>99</v>
      </c>
    </row>
    <row r="410" ht="15.75" customHeight="1">
      <c r="A410" s="10">
        <v>45055.0</v>
      </c>
      <c r="B410" s="11">
        <v>6.186912944E9</v>
      </c>
      <c r="C410" s="12" t="s">
        <v>439</v>
      </c>
      <c r="D410" s="11">
        <v>3.5921703E7</v>
      </c>
      <c r="E410" s="10">
        <v>45061.0</v>
      </c>
      <c r="F410" s="9" t="s">
        <v>69</v>
      </c>
      <c r="G410" s="13">
        <v>2.0</v>
      </c>
      <c r="H410" s="9" t="s">
        <v>112</v>
      </c>
      <c r="I410" s="9" t="s">
        <v>71</v>
      </c>
      <c r="J410" s="9" t="s">
        <v>72</v>
      </c>
      <c r="K410" s="9" t="s">
        <v>99</v>
      </c>
    </row>
    <row r="411" ht="15.75" customHeight="1">
      <c r="A411" s="10">
        <v>45057.0</v>
      </c>
      <c r="B411" s="11">
        <v>4.160562932E9</v>
      </c>
      <c r="C411" s="12" t="s">
        <v>440</v>
      </c>
      <c r="D411" s="11">
        <v>2.5510068E7</v>
      </c>
      <c r="E411" s="10">
        <v>45061.0</v>
      </c>
      <c r="F411" s="9" t="s">
        <v>69</v>
      </c>
      <c r="G411" s="13">
        <v>2.0</v>
      </c>
      <c r="H411" s="9" t="s">
        <v>112</v>
      </c>
      <c r="I411" s="9" t="s">
        <v>71</v>
      </c>
      <c r="J411" s="9" t="s">
        <v>72</v>
      </c>
      <c r="K411" s="9" t="s">
        <v>99</v>
      </c>
    </row>
    <row r="412" ht="15.75" customHeight="1">
      <c r="A412" s="10">
        <v>45058.0</v>
      </c>
      <c r="B412" s="11">
        <v>2.879824286E9</v>
      </c>
      <c r="C412" s="12" t="s">
        <v>441</v>
      </c>
      <c r="D412" s="11">
        <v>4.0727676E7</v>
      </c>
      <c r="E412" s="10">
        <v>45061.0</v>
      </c>
      <c r="F412" s="9" t="s">
        <v>69</v>
      </c>
      <c r="G412" s="13">
        <v>2.0</v>
      </c>
      <c r="H412" s="9" t="s">
        <v>112</v>
      </c>
      <c r="I412" s="9" t="s">
        <v>71</v>
      </c>
      <c r="J412" s="9" t="s">
        <v>72</v>
      </c>
      <c r="K412" s="9" t="s">
        <v>99</v>
      </c>
    </row>
    <row r="413" ht="15.75" customHeight="1">
      <c r="A413" s="10">
        <v>45058.0</v>
      </c>
      <c r="B413" s="11">
        <v>1.923874525E9</v>
      </c>
      <c r="C413" s="12" t="s">
        <v>442</v>
      </c>
      <c r="D413" s="11">
        <v>5260698.0</v>
      </c>
      <c r="E413" s="10">
        <v>45061.0</v>
      </c>
      <c r="F413" s="9" t="s">
        <v>69</v>
      </c>
      <c r="G413" s="13">
        <v>3.0</v>
      </c>
      <c r="H413" s="9" t="s">
        <v>92</v>
      </c>
      <c r="I413" s="9" t="s">
        <v>71</v>
      </c>
      <c r="J413" s="9" t="s">
        <v>72</v>
      </c>
      <c r="K413" s="9" t="s">
        <v>84</v>
      </c>
    </row>
    <row r="414" ht="15.75" customHeight="1">
      <c r="A414" s="10">
        <v>45042.0</v>
      </c>
      <c r="B414" s="11">
        <v>1.370198126E9</v>
      </c>
      <c r="C414" s="12" t="s">
        <v>443</v>
      </c>
      <c r="D414" s="11">
        <v>2.0219898E7</v>
      </c>
      <c r="E414" s="10">
        <v>45062.0</v>
      </c>
      <c r="F414" s="9" t="s">
        <v>69</v>
      </c>
      <c r="G414" s="13">
        <v>3.0</v>
      </c>
      <c r="H414" s="9" t="s">
        <v>92</v>
      </c>
      <c r="I414" s="9" t="s">
        <v>71</v>
      </c>
      <c r="J414" s="9" t="s">
        <v>72</v>
      </c>
      <c r="K414" s="9" t="s">
        <v>84</v>
      </c>
    </row>
    <row r="415" ht="15.75" customHeight="1">
      <c r="A415" s="10">
        <v>45055.0</v>
      </c>
      <c r="B415" s="11">
        <v>1.922190885E9</v>
      </c>
      <c r="C415" s="12" t="s">
        <v>444</v>
      </c>
      <c r="D415" s="11">
        <v>3.5921491E7</v>
      </c>
      <c r="E415" s="10">
        <v>45062.0</v>
      </c>
      <c r="F415" s="9" t="s">
        <v>76</v>
      </c>
      <c r="G415" s="13">
        <v>2.0</v>
      </c>
      <c r="H415" s="9" t="s">
        <v>92</v>
      </c>
      <c r="I415" s="9" t="s">
        <v>88</v>
      </c>
      <c r="J415" s="9" t="s">
        <v>72</v>
      </c>
      <c r="K415" s="9" t="s">
        <v>84</v>
      </c>
    </row>
    <row r="416" ht="15.75" customHeight="1">
      <c r="A416" s="10">
        <v>45055.0</v>
      </c>
      <c r="B416" s="11">
        <v>1.04172411E9</v>
      </c>
      <c r="C416" s="12" t="s">
        <v>444</v>
      </c>
      <c r="D416" s="11">
        <v>3.5921491E7</v>
      </c>
      <c r="E416" s="10">
        <v>45062.0</v>
      </c>
      <c r="F416" s="9" t="s">
        <v>69</v>
      </c>
      <c r="G416" s="13">
        <v>2.0</v>
      </c>
      <c r="H416" s="9" t="s">
        <v>92</v>
      </c>
      <c r="I416" s="9" t="s">
        <v>88</v>
      </c>
      <c r="J416" s="9" t="s">
        <v>83</v>
      </c>
      <c r="K416" s="9" t="s">
        <v>84</v>
      </c>
    </row>
    <row r="417" ht="15.75" customHeight="1">
      <c r="A417" s="10">
        <v>45055.0</v>
      </c>
      <c r="B417" s="11">
        <v>2.906023466E9</v>
      </c>
      <c r="C417" s="12" t="s">
        <v>445</v>
      </c>
      <c r="D417" s="11">
        <v>3.3609122E7</v>
      </c>
      <c r="E417" s="10">
        <v>45062.0</v>
      </c>
      <c r="F417" s="9" t="s">
        <v>76</v>
      </c>
      <c r="G417" s="13">
        <v>1.0</v>
      </c>
      <c r="H417" s="9" t="s">
        <v>92</v>
      </c>
      <c r="I417" s="9" t="s">
        <v>88</v>
      </c>
      <c r="J417" s="9" t="s">
        <v>83</v>
      </c>
      <c r="K417" s="9" t="s">
        <v>84</v>
      </c>
    </row>
    <row r="418" ht="15.75" customHeight="1">
      <c r="A418" s="10">
        <v>45055.0</v>
      </c>
      <c r="B418" s="11">
        <v>2.9060626E9</v>
      </c>
      <c r="C418" s="12" t="s">
        <v>446</v>
      </c>
      <c r="D418" s="11">
        <v>3.7725384E7</v>
      </c>
      <c r="E418" s="10">
        <v>45062.0</v>
      </c>
      <c r="F418" s="9" t="s">
        <v>69</v>
      </c>
      <c r="G418" s="13">
        <v>1.0</v>
      </c>
      <c r="H418" s="9" t="s">
        <v>92</v>
      </c>
      <c r="I418" s="9" t="s">
        <v>88</v>
      </c>
      <c r="J418" s="9" t="s">
        <v>83</v>
      </c>
      <c r="K418" s="9" t="s">
        <v>84</v>
      </c>
    </row>
    <row r="419" ht="15.75" customHeight="1">
      <c r="A419" s="10">
        <v>45058.0</v>
      </c>
      <c r="B419" s="11">
        <v>4.743595964E9</v>
      </c>
      <c r="C419" s="12" t="s">
        <v>447</v>
      </c>
      <c r="D419" s="11">
        <v>2.5881767E7</v>
      </c>
      <c r="E419" s="10">
        <v>45062.0</v>
      </c>
      <c r="F419" s="9" t="s">
        <v>76</v>
      </c>
      <c r="G419" s="13">
        <v>1.0</v>
      </c>
      <c r="H419" s="9" t="s">
        <v>106</v>
      </c>
      <c r="I419" s="9" t="s">
        <v>88</v>
      </c>
      <c r="J419" s="9" t="s">
        <v>83</v>
      </c>
      <c r="K419" s="9" t="s">
        <v>84</v>
      </c>
    </row>
    <row r="420" ht="15.75" customHeight="1">
      <c r="A420" s="10">
        <v>45058.0</v>
      </c>
      <c r="B420" s="11">
        <v>3.352797114E9</v>
      </c>
      <c r="C420" s="12" t="s">
        <v>448</v>
      </c>
      <c r="D420" s="11">
        <v>2.6137559E7</v>
      </c>
      <c r="E420" s="10">
        <v>45062.0</v>
      </c>
      <c r="F420" s="9" t="s">
        <v>76</v>
      </c>
      <c r="G420" s="13">
        <v>1.0</v>
      </c>
      <c r="H420" s="9" t="s">
        <v>106</v>
      </c>
      <c r="I420" s="9" t="s">
        <v>88</v>
      </c>
      <c r="J420" s="9" t="s">
        <v>83</v>
      </c>
      <c r="K420" s="9" t="s">
        <v>84</v>
      </c>
    </row>
    <row r="421" ht="15.75" customHeight="1">
      <c r="A421" s="10">
        <v>45058.0</v>
      </c>
      <c r="B421" s="11">
        <v>7.19408277E9</v>
      </c>
      <c r="C421" s="12" t="s">
        <v>449</v>
      </c>
      <c r="D421" s="11">
        <v>1.6933141E7</v>
      </c>
      <c r="E421" s="10">
        <v>45062.0</v>
      </c>
      <c r="F421" s="9" t="s">
        <v>76</v>
      </c>
      <c r="G421" s="13">
        <v>1.0</v>
      </c>
      <c r="H421" s="9" t="s">
        <v>106</v>
      </c>
      <c r="I421" s="9" t="s">
        <v>88</v>
      </c>
      <c r="J421" s="9" t="s">
        <v>83</v>
      </c>
      <c r="K421" s="9" t="s">
        <v>84</v>
      </c>
    </row>
    <row r="422" ht="15.75" customHeight="1">
      <c r="A422" s="10">
        <v>45058.0</v>
      </c>
      <c r="B422" s="11">
        <v>1.923874805E9</v>
      </c>
      <c r="C422" s="12" t="s">
        <v>450</v>
      </c>
      <c r="D422" s="11">
        <v>4.027452E7</v>
      </c>
      <c r="E422" s="10">
        <v>45062.0</v>
      </c>
      <c r="F422" s="9" t="s">
        <v>69</v>
      </c>
      <c r="G422" s="13">
        <v>2.0</v>
      </c>
      <c r="H422" s="9" t="s">
        <v>106</v>
      </c>
      <c r="I422" s="9" t="s">
        <v>71</v>
      </c>
      <c r="J422" s="9" t="s">
        <v>83</v>
      </c>
      <c r="K422" s="9" t="s">
        <v>84</v>
      </c>
    </row>
    <row r="423" ht="15.75" customHeight="1">
      <c r="A423" s="10">
        <v>45062.0</v>
      </c>
      <c r="B423" s="11">
        <v>9.026856053E9</v>
      </c>
      <c r="C423" s="12" t="s">
        <v>451</v>
      </c>
      <c r="D423" s="11">
        <v>1.3338766E7</v>
      </c>
      <c r="E423" s="10">
        <v>45062.0</v>
      </c>
      <c r="F423" s="9" t="s">
        <v>76</v>
      </c>
      <c r="G423" s="13">
        <v>2.0</v>
      </c>
      <c r="H423" s="9" t="s">
        <v>112</v>
      </c>
      <c r="I423" s="9" t="s">
        <v>71</v>
      </c>
      <c r="J423" s="9" t="s">
        <v>83</v>
      </c>
      <c r="K423" s="9" t="s">
        <v>84</v>
      </c>
    </row>
    <row r="424" ht="15.75" customHeight="1">
      <c r="A424" s="10">
        <v>45062.0</v>
      </c>
      <c r="B424" s="11">
        <v>2.404251916E9</v>
      </c>
      <c r="C424" s="12" t="s">
        <v>452</v>
      </c>
      <c r="D424" s="11">
        <v>3.3815883E7</v>
      </c>
      <c r="E424" s="10">
        <v>45062.0</v>
      </c>
      <c r="F424" s="9" t="s">
        <v>69</v>
      </c>
      <c r="G424" s="13">
        <v>3.0</v>
      </c>
      <c r="H424" s="9" t="s">
        <v>112</v>
      </c>
      <c r="I424" s="9" t="s">
        <v>71</v>
      </c>
      <c r="J424" s="9" t="s">
        <v>83</v>
      </c>
      <c r="K424" s="9" t="s">
        <v>73</v>
      </c>
    </row>
    <row r="425" ht="15.75" customHeight="1">
      <c r="A425" s="10">
        <v>45062.0</v>
      </c>
      <c r="B425" s="11">
        <v>4.2581742E9</v>
      </c>
      <c r="C425" s="12" t="s">
        <v>453</v>
      </c>
      <c r="D425" s="11">
        <v>3.7457036E7</v>
      </c>
      <c r="E425" s="10">
        <v>45062.0</v>
      </c>
      <c r="F425" s="9" t="s">
        <v>69</v>
      </c>
      <c r="G425" s="13">
        <v>3.0</v>
      </c>
      <c r="H425" s="9" t="s">
        <v>112</v>
      </c>
      <c r="I425" s="9" t="s">
        <v>71</v>
      </c>
      <c r="J425" s="9" t="s">
        <v>83</v>
      </c>
      <c r="K425" s="9" t="s">
        <v>73</v>
      </c>
    </row>
    <row r="426" ht="15.75" customHeight="1">
      <c r="A426" s="10">
        <v>45043.0</v>
      </c>
      <c r="B426" s="11">
        <v>6.303544085E9</v>
      </c>
      <c r="C426" s="12" t="s">
        <v>454</v>
      </c>
      <c r="D426" s="11">
        <v>2.5543745E7</v>
      </c>
      <c r="E426" s="10">
        <v>45063.0</v>
      </c>
      <c r="F426" s="9" t="s">
        <v>69</v>
      </c>
      <c r="G426" s="13">
        <v>1.0</v>
      </c>
      <c r="H426" s="9" t="s">
        <v>112</v>
      </c>
      <c r="I426" s="9" t="s">
        <v>71</v>
      </c>
      <c r="J426" s="9" t="s">
        <v>93</v>
      </c>
      <c r="K426" s="9" t="s">
        <v>73</v>
      </c>
    </row>
    <row r="427" ht="15.75" customHeight="1">
      <c r="A427" s="10">
        <v>45055.0</v>
      </c>
      <c r="B427" s="11">
        <v>6.46534168E9</v>
      </c>
      <c r="C427" s="12" t="s">
        <v>455</v>
      </c>
      <c r="D427" s="11">
        <v>2.8680584E7</v>
      </c>
      <c r="E427" s="10">
        <v>45063.0</v>
      </c>
      <c r="F427" s="9" t="s">
        <v>69</v>
      </c>
      <c r="G427" s="13">
        <v>1.0</v>
      </c>
      <c r="H427" s="9" t="s">
        <v>112</v>
      </c>
      <c r="I427" s="9" t="s">
        <v>71</v>
      </c>
      <c r="J427" s="9" t="s">
        <v>93</v>
      </c>
      <c r="K427" s="9" t="s">
        <v>73</v>
      </c>
    </row>
    <row r="428" ht="15.75" customHeight="1">
      <c r="A428" s="10">
        <v>45055.0</v>
      </c>
      <c r="B428" s="11">
        <v>8.662660985E9</v>
      </c>
      <c r="C428" s="12" t="s">
        <v>456</v>
      </c>
      <c r="D428" s="11">
        <v>2.4059389E7</v>
      </c>
      <c r="E428" s="10">
        <v>45063.0</v>
      </c>
      <c r="F428" s="9" t="s">
        <v>76</v>
      </c>
      <c r="G428" s="13">
        <v>3.0</v>
      </c>
      <c r="H428" s="9" t="s">
        <v>112</v>
      </c>
      <c r="I428" s="9" t="s">
        <v>71</v>
      </c>
      <c r="J428" s="9" t="s">
        <v>93</v>
      </c>
      <c r="K428" s="9" t="s">
        <v>73</v>
      </c>
    </row>
    <row r="429" ht="15.75" customHeight="1">
      <c r="A429" s="10">
        <v>45062.0</v>
      </c>
      <c r="B429" s="11">
        <v>5.813243155E9</v>
      </c>
      <c r="C429" s="12" t="s">
        <v>457</v>
      </c>
      <c r="D429" s="11">
        <v>3.3375793E7</v>
      </c>
      <c r="E429" s="10">
        <v>45063.0</v>
      </c>
      <c r="F429" s="9" t="s">
        <v>69</v>
      </c>
      <c r="G429" s="13">
        <v>3.0</v>
      </c>
      <c r="H429" s="9" t="s">
        <v>112</v>
      </c>
      <c r="I429" s="9" t="s">
        <v>77</v>
      </c>
      <c r="J429" s="9" t="s">
        <v>93</v>
      </c>
      <c r="K429" s="9" t="s">
        <v>73</v>
      </c>
    </row>
    <row r="430" ht="15.75" customHeight="1">
      <c r="A430" s="10">
        <v>45062.0</v>
      </c>
      <c r="B430" s="11">
        <v>7.515993903E9</v>
      </c>
      <c r="C430" s="12" t="s">
        <v>458</v>
      </c>
      <c r="D430" s="11">
        <v>3.1875189E7</v>
      </c>
      <c r="E430" s="10">
        <v>45063.0</v>
      </c>
      <c r="F430" s="9" t="s">
        <v>69</v>
      </c>
      <c r="G430" s="13">
        <v>2.0</v>
      </c>
      <c r="H430" s="9" t="s">
        <v>81</v>
      </c>
      <c r="I430" s="9" t="s">
        <v>77</v>
      </c>
      <c r="J430" s="9" t="s">
        <v>72</v>
      </c>
      <c r="K430" s="9" t="s">
        <v>73</v>
      </c>
    </row>
    <row r="431" ht="15.75" customHeight="1">
      <c r="A431" s="10">
        <v>45062.0</v>
      </c>
      <c r="B431" s="11">
        <v>2.696953044E9</v>
      </c>
      <c r="C431" s="12" t="s">
        <v>459</v>
      </c>
      <c r="D431" s="11">
        <v>2.8680418E7</v>
      </c>
      <c r="E431" s="10">
        <v>45063.0</v>
      </c>
      <c r="F431" s="9" t="s">
        <v>69</v>
      </c>
      <c r="G431" s="13">
        <v>1.0</v>
      </c>
      <c r="H431" s="9" t="s">
        <v>81</v>
      </c>
      <c r="I431" s="9" t="s">
        <v>77</v>
      </c>
      <c r="J431" s="9" t="s">
        <v>72</v>
      </c>
      <c r="K431" s="9" t="s">
        <v>73</v>
      </c>
    </row>
    <row r="432" ht="15.75" customHeight="1">
      <c r="A432" s="10">
        <v>45062.0</v>
      </c>
      <c r="B432" s="11">
        <v>1.454092076E9</v>
      </c>
      <c r="C432" s="12" t="s">
        <v>460</v>
      </c>
      <c r="D432" s="11">
        <v>1.6617295E7</v>
      </c>
      <c r="E432" s="10">
        <v>45063.0</v>
      </c>
      <c r="F432" s="9" t="s">
        <v>69</v>
      </c>
      <c r="G432" s="13">
        <v>1.0</v>
      </c>
      <c r="H432" s="9" t="s">
        <v>81</v>
      </c>
      <c r="I432" s="9" t="s">
        <v>77</v>
      </c>
      <c r="J432" s="9" t="s">
        <v>72</v>
      </c>
      <c r="K432" s="9" t="s">
        <v>73</v>
      </c>
    </row>
    <row r="433" ht="15.75" customHeight="1">
      <c r="A433" s="10">
        <v>45050.0</v>
      </c>
      <c r="B433" s="11">
        <v>7.887003784E9</v>
      </c>
      <c r="C433" s="12" t="s">
        <v>461</v>
      </c>
      <c r="D433" s="11">
        <v>2.4059761E7</v>
      </c>
      <c r="E433" s="10">
        <v>45064.0</v>
      </c>
      <c r="F433" s="9" t="s">
        <v>69</v>
      </c>
      <c r="G433" s="13">
        <v>1.0</v>
      </c>
      <c r="H433" s="9" t="s">
        <v>81</v>
      </c>
      <c r="I433" s="9" t="s">
        <v>77</v>
      </c>
      <c r="J433" s="9" t="s">
        <v>79</v>
      </c>
      <c r="K433" s="9" t="s">
        <v>217</v>
      </c>
    </row>
    <row r="434" ht="15.75" customHeight="1">
      <c r="A434" s="10">
        <v>45050.0</v>
      </c>
      <c r="B434" s="11">
        <v>7.886990252E9</v>
      </c>
      <c r="C434" s="12" t="s">
        <v>462</v>
      </c>
      <c r="D434" s="11">
        <v>3.7191253E7</v>
      </c>
      <c r="E434" s="10">
        <v>45064.0</v>
      </c>
      <c r="F434" s="9" t="s">
        <v>69</v>
      </c>
      <c r="G434" s="13">
        <v>1.0</v>
      </c>
      <c r="H434" s="9" t="s">
        <v>81</v>
      </c>
      <c r="I434" s="9" t="s">
        <v>77</v>
      </c>
      <c r="J434" s="9" t="s">
        <v>79</v>
      </c>
      <c r="K434" s="9" t="s">
        <v>217</v>
      </c>
    </row>
    <row r="435" ht="15.75" customHeight="1">
      <c r="A435" s="10">
        <v>45050.0</v>
      </c>
      <c r="B435" s="11">
        <v>8.725961893E9</v>
      </c>
      <c r="C435" s="12" t="s">
        <v>462</v>
      </c>
      <c r="D435" s="11">
        <v>3.7191253E7</v>
      </c>
      <c r="E435" s="10">
        <v>45064.0</v>
      </c>
      <c r="F435" s="9" t="s">
        <v>76</v>
      </c>
      <c r="G435" s="13">
        <v>1.0</v>
      </c>
      <c r="H435" s="9" t="s">
        <v>81</v>
      </c>
      <c r="I435" s="9" t="s">
        <v>77</v>
      </c>
      <c r="J435" s="9" t="s">
        <v>79</v>
      </c>
      <c r="K435" s="9" t="s">
        <v>217</v>
      </c>
    </row>
    <row r="436" ht="15.75" customHeight="1">
      <c r="A436" s="10">
        <v>45055.0</v>
      </c>
      <c r="B436" s="11">
        <v>6.186914285E9</v>
      </c>
      <c r="C436" s="12" t="s">
        <v>463</v>
      </c>
      <c r="D436" s="11">
        <v>2.1329654E7</v>
      </c>
      <c r="E436" s="10">
        <v>45064.0</v>
      </c>
      <c r="F436" s="9" t="s">
        <v>69</v>
      </c>
      <c r="G436" s="13">
        <v>1.0</v>
      </c>
      <c r="H436" s="9" t="s">
        <v>106</v>
      </c>
      <c r="I436" s="9" t="s">
        <v>77</v>
      </c>
      <c r="J436" s="9" t="s">
        <v>79</v>
      </c>
      <c r="K436" s="9" t="s">
        <v>217</v>
      </c>
    </row>
    <row r="437" ht="15.75" customHeight="1">
      <c r="A437" s="10">
        <v>45055.0</v>
      </c>
      <c r="B437" s="11">
        <v>2.906041946E9</v>
      </c>
      <c r="C437" s="12" t="s">
        <v>464</v>
      </c>
      <c r="D437" s="11">
        <v>1.8440532E7</v>
      </c>
      <c r="E437" s="10">
        <v>45064.0</v>
      </c>
      <c r="F437" s="9" t="s">
        <v>69</v>
      </c>
      <c r="G437" s="13">
        <v>1.0</v>
      </c>
      <c r="H437" s="9" t="s">
        <v>106</v>
      </c>
      <c r="I437" s="9" t="s">
        <v>88</v>
      </c>
      <c r="J437" s="9" t="s">
        <v>79</v>
      </c>
      <c r="K437" s="9" t="s">
        <v>217</v>
      </c>
    </row>
    <row r="438" ht="15.75" customHeight="1">
      <c r="A438" s="10">
        <v>45062.0</v>
      </c>
      <c r="B438" s="11">
        <v>3.542258661E9</v>
      </c>
      <c r="C438" s="12" t="s">
        <v>465</v>
      </c>
      <c r="D438" s="11">
        <v>4.5726584E7</v>
      </c>
      <c r="E438" s="10">
        <v>45064.0</v>
      </c>
      <c r="F438" s="9" t="s">
        <v>69</v>
      </c>
      <c r="G438" s="13">
        <v>2.0</v>
      </c>
      <c r="H438" s="9" t="s">
        <v>106</v>
      </c>
      <c r="I438" s="9" t="s">
        <v>88</v>
      </c>
      <c r="J438" s="9" t="s">
        <v>79</v>
      </c>
      <c r="K438" s="9" t="s">
        <v>73</v>
      </c>
    </row>
    <row r="439" ht="15.75" customHeight="1">
      <c r="A439" s="10">
        <v>45062.0</v>
      </c>
      <c r="B439" s="11">
        <v>5.813252911E9</v>
      </c>
      <c r="C439" s="12" t="s">
        <v>466</v>
      </c>
      <c r="D439" s="11">
        <v>2.1948243E7</v>
      </c>
      <c r="E439" s="10">
        <v>45064.0</v>
      </c>
      <c r="F439" s="9" t="s">
        <v>76</v>
      </c>
      <c r="G439" s="13">
        <v>2.0</v>
      </c>
      <c r="H439" s="9" t="s">
        <v>106</v>
      </c>
      <c r="I439" s="9" t="s">
        <v>88</v>
      </c>
      <c r="J439" s="9" t="s">
        <v>79</v>
      </c>
      <c r="K439" s="9" t="s">
        <v>73</v>
      </c>
    </row>
    <row r="440" ht="15.75" customHeight="1">
      <c r="A440" s="10">
        <v>45062.0</v>
      </c>
      <c r="B440" s="11">
        <v>9.026857453E9</v>
      </c>
      <c r="C440" s="12" t="s">
        <v>467</v>
      </c>
      <c r="D440" s="11">
        <v>2.0219727E7</v>
      </c>
      <c r="E440" s="10">
        <v>45064.0</v>
      </c>
      <c r="F440" s="9" t="s">
        <v>76</v>
      </c>
      <c r="G440" s="13">
        <v>3.0</v>
      </c>
      <c r="H440" s="9" t="s">
        <v>106</v>
      </c>
      <c r="I440" s="9" t="s">
        <v>88</v>
      </c>
      <c r="J440" s="9" t="s">
        <v>79</v>
      </c>
      <c r="K440" s="9" t="s">
        <v>73</v>
      </c>
    </row>
    <row r="441" ht="15.75" customHeight="1">
      <c r="A441" s="10">
        <v>45064.0</v>
      </c>
      <c r="B441" s="11">
        <v>7.768400544E9</v>
      </c>
      <c r="C441" s="12" t="s">
        <v>468</v>
      </c>
      <c r="D441" s="11">
        <v>3.3139255E7</v>
      </c>
      <c r="E441" s="10">
        <v>45064.0</v>
      </c>
      <c r="F441" s="9" t="s">
        <v>76</v>
      </c>
      <c r="G441" s="13">
        <v>2.0</v>
      </c>
      <c r="H441" s="9" t="s">
        <v>106</v>
      </c>
      <c r="I441" s="9" t="s">
        <v>88</v>
      </c>
      <c r="J441" s="9" t="s">
        <v>83</v>
      </c>
      <c r="K441" s="9" t="s">
        <v>73</v>
      </c>
    </row>
    <row r="442" ht="15.75" customHeight="1">
      <c r="A442" s="10">
        <v>45064.0</v>
      </c>
      <c r="B442" s="11">
        <v>6.226454146E9</v>
      </c>
      <c r="C442" s="12" t="s">
        <v>469</v>
      </c>
      <c r="D442" s="11">
        <v>1.1707875E7</v>
      </c>
      <c r="E442" s="10">
        <v>45065.0</v>
      </c>
      <c r="F442" s="9" t="s">
        <v>69</v>
      </c>
      <c r="G442" s="13">
        <v>2.0</v>
      </c>
      <c r="H442" s="9" t="s">
        <v>106</v>
      </c>
      <c r="I442" s="9" t="s">
        <v>88</v>
      </c>
      <c r="J442" s="9" t="s">
        <v>83</v>
      </c>
      <c r="K442" s="9" t="s">
        <v>73</v>
      </c>
    </row>
    <row r="443" ht="15.75" customHeight="1">
      <c r="A443" s="10">
        <v>45064.0</v>
      </c>
      <c r="B443" s="11">
        <v>2.722095854E9</v>
      </c>
      <c r="C443" s="12" t="s">
        <v>470</v>
      </c>
      <c r="D443" s="11">
        <v>2.798075E7</v>
      </c>
      <c r="E443" s="10">
        <v>45065.0</v>
      </c>
      <c r="F443" s="9" t="s">
        <v>69</v>
      </c>
      <c r="G443" s="13">
        <v>1.0</v>
      </c>
      <c r="H443" s="9" t="s">
        <v>116</v>
      </c>
      <c r="I443" s="9" t="s">
        <v>71</v>
      </c>
      <c r="J443" s="9" t="s">
        <v>83</v>
      </c>
      <c r="K443" s="9" t="s">
        <v>73</v>
      </c>
    </row>
    <row r="444" ht="15.75" customHeight="1">
      <c r="A444" s="10">
        <v>45062.0</v>
      </c>
      <c r="B444" s="11">
        <v>9.688772612E9</v>
      </c>
      <c r="C444" s="12" t="s">
        <v>425</v>
      </c>
      <c r="D444" s="11">
        <v>2.4059001E7</v>
      </c>
      <c r="E444" s="10">
        <v>45068.0</v>
      </c>
      <c r="F444" s="9" t="s">
        <v>69</v>
      </c>
      <c r="G444" s="13">
        <v>1.0</v>
      </c>
      <c r="H444" s="9" t="s">
        <v>116</v>
      </c>
      <c r="I444" s="9" t="s">
        <v>71</v>
      </c>
      <c r="J444" s="9" t="s">
        <v>83</v>
      </c>
      <c r="K444" s="9" t="s">
        <v>73</v>
      </c>
    </row>
    <row r="445" ht="15.75" customHeight="1">
      <c r="A445" s="10">
        <v>45062.0</v>
      </c>
      <c r="B445" s="11">
        <v>9.645582752E9</v>
      </c>
      <c r="C445" s="12" t="s">
        <v>471</v>
      </c>
      <c r="D445" s="11">
        <v>2.4227917E7</v>
      </c>
      <c r="E445" s="10">
        <v>45068.0</v>
      </c>
      <c r="F445" s="9" t="s">
        <v>76</v>
      </c>
      <c r="G445" s="13">
        <v>2.0</v>
      </c>
      <c r="H445" s="9" t="s">
        <v>116</v>
      </c>
      <c r="I445" s="9" t="s">
        <v>71</v>
      </c>
      <c r="J445" s="9" t="s">
        <v>83</v>
      </c>
      <c r="K445" s="9" t="s">
        <v>73</v>
      </c>
    </row>
    <row r="446" ht="15.75" customHeight="1">
      <c r="A446" s="10">
        <v>45062.0</v>
      </c>
      <c r="B446" s="11">
        <v>1.289967103E9</v>
      </c>
      <c r="C446" s="12" t="s">
        <v>472</v>
      </c>
      <c r="D446" s="11">
        <v>1.1826841E7</v>
      </c>
      <c r="E446" s="10">
        <v>45068.0</v>
      </c>
      <c r="F446" s="9" t="s">
        <v>76</v>
      </c>
      <c r="G446" s="13">
        <v>2.0</v>
      </c>
      <c r="H446" s="9" t="s">
        <v>116</v>
      </c>
      <c r="I446" s="9" t="s">
        <v>71</v>
      </c>
      <c r="J446" s="9" t="s">
        <v>83</v>
      </c>
      <c r="K446" s="9" t="s">
        <v>73</v>
      </c>
    </row>
    <row r="447" ht="15.75" customHeight="1">
      <c r="A447" s="10">
        <v>45064.0</v>
      </c>
      <c r="B447" s="11">
        <v>4.018520881E9</v>
      </c>
      <c r="C447" s="12" t="s">
        <v>473</v>
      </c>
      <c r="D447" s="11">
        <v>3.7097139E7</v>
      </c>
      <c r="E447" s="10">
        <v>45068.0</v>
      </c>
      <c r="F447" s="9" t="s">
        <v>76</v>
      </c>
      <c r="G447" s="13">
        <v>3.0</v>
      </c>
      <c r="H447" s="9" t="s">
        <v>116</v>
      </c>
      <c r="I447" s="9" t="s">
        <v>71</v>
      </c>
      <c r="J447" s="9" t="s">
        <v>83</v>
      </c>
      <c r="K447" s="9" t="s">
        <v>84</v>
      </c>
    </row>
    <row r="448" ht="15.75" customHeight="1">
      <c r="A448" s="10">
        <v>45065.0</v>
      </c>
      <c r="B448" s="11">
        <v>7.925380223E9</v>
      </c>
      <c r="C448" s="12" t="s">
        <v>474</v>
      </c>
      <c r="D448" s="11">
        <v>2.0433848E7</v>
      </c>
      <c r="E448" s="10">
        <v>45068.0</v>
      </c>
      <c r="F448" s="9" t="s">
        <v>69</v>
      </c>
      <c r="G448" s="13">
        <v>2.0</v>
      </c>
      <c r="H448" s="9" t="s">
        <v>116</v>
      </c>
      <c r="I448" s="9" t="s">
        <v>71</v>
      </c>
      <c r="J448" s="9" t="s">
        <v>79</v>
      </c>
      <c r="K448" s="9" t="s">
        <v>84</v>
      </c>
    </row>
    <row r="449" ht="15.75" customHeight="1">
      <c r="A449" s="10">
        <v>45065.0</v>
      </c>
      <c r="B449" s="11">
        <v>2.386668863E9</v>
      </c>
      <c r="C449" s="12" t="s">
        <v>475</v>
      </c>
      <c r="D449" s="11">
        <v>4.0217298E7</v>
      </c>
      <c r="E449" s="10">
        <v>45068.0</v>
      </c>
      <c r="F449" s="9" t="s">
        <v>69</v>
      </c>
      <c r="G449" s="13">
        <v>2.0</v>
      </c>
      <c r="H449" s="9" t="s">
        <v>116</v>
      </c>
      <c r="I449" s="9" t="s">
        <v>71</v>
      </c>
      <c r="J449" s="9" t="s">
        <v>79</v>
      </c>
      <c r="K449" s="9" t="s">
        <v>84</v>
      </c>
    </row>
    <row r="450" ht="15.75" customHeight="1">
      <c r="A450" s="10">
        <v>45065.0</v>
      </c>
      <c r="B450" s="11">
        <v>3.421884023E9</v>
      </c>
      <c r="C450" s="12" t="s">
        <v>476</v>
      </c>
      <c r="D450" s="11">
        <v>2.7016337E7</v>
      </c>
      <c r="E450" s="10">
        <v>45068.0</v>
      </c>
      <c r="F450" s="9" t="s">
        <v>76</v>
      </c>
      <c r="G450" s="13">
        <v>1.0</v>
      </c>
      <c r="H450" s="9" t="s">
        <v>116</v>
      </c>
      <c r="I450" s="9" t="s">
        <v>71</v>
      </c>
      <c r="J450" s="9" t="s">
        <v>79</v>
      </c>
      <c r="K450" s="9" t="s">
        <v>84</v>
      </c>
    </row>
    <row r="451" ht="15.75" customHeight="1">
      <c r="A451" s="10">
        <v>45050.0</v>
      </c>
      <c r="B451" s="11">
        <v>9.88243158E9</v>
      </c>
      <c r="C451" s="12" t="s">
        <v>477</v>
      </c>
      <c r="D451" s="11">
        <v>4.5512226E7</v>
      </c>
      <c r="E451" s="10">
        <v>45069.0</v>
      </c>
      <c r="F451" s="9" t="s">
        <v>69</v>
      </c>
      <c r="G451" s="13">
        <v>1.0</v>
      </c>
      <c r="H451" s="9" t="s">
        <v>116</v>
      </c>
      <c r="I451" s="9" t="s">
        <v>71</v>
      </c>
      <c r="J451" s="9" t="s">
        <v>79</v>
      </c>
      <c r="K451" s="9" t="s">
        <v>84</v>
      </c>
    </row>
    <row r="452" ht="15.75" customHeight="1">
      <c r="A452" s="10">
        <v>45055.0</v>
      </c>
      <c r="B452" s="11">
        <v>9.878487511E9</v>
      </c>
      <c r="C452" s="12" t="s">
        <v>478</v>
      </c>
      <c r="D452" s="11">
        <v>2.3584743E7</v>
      </c>
      <c r="E452" s="10">
        <v>45069.0</v>
      </c>
      <c r="F452" s="9" t="s">
        <v>69</v>
      </c>
      <c r="G452" s="13">
        <v>1.0</v>
      </c>
      <c r="H452" s="9" t="s">
        <v>116</v>
      </c>
      <c r="I452" s="9" t="s">
        <v>71</v>
      </c>
      <c r="J452" s="9" t="s">
        <v>79</v>
      </c>
      <c r="K452" s="9" t="s">
        <v>84</v>
      </c>
    </row>
    <row r="453" ht="15.75" customHeight="1">
      <c r="A453" s="10">
        <v>45064.0</v>
      </c>
      <c r="B453" s="11">
        <v>9.247055241E9</v>
      </c>
      <c r="C453" s="12" t="s">
        <v>479</v>
      </c>
      <c r="D453" s="11">
        <v>2.097712E7</v>
      </c>
      <c r="E453" s="10">
        <v>45069.0</v>
      </c>
      <c r="F453" s="9" t="s">
        <v>69</v>
      </c>
      <c r="G453" s="13">
        <v>1.0</v>
      </c>
      <c r="H453" s="9" t="s">
        <v>116</v>
      </c>
      <c r="I453" s="9" t="s">
        <v>71</v>
      </c>
      <c r="J453" s="9" t="s">
        <v>98</v>
      </c>
      <c r="K453" s="9" t="s">
        <v>84</v>
      </c>
    </row>
    <row r="454" ht="15.75" customHeight="1">
      <c r="A454" s="10">
        <v>45065.0</v>
      </c>
      <c r="B454" s="11">
        <v>1.08775331E9</v>
      </c>
      <c r="C454" s="12" t="s">
        <v>480</v>
      </c>
      <c r="D454" s="11">
        <v>3.2409209E7</v>
      </c>
      <c r="E454" s="10">
        <v>45069.0</v>
      </c>
      <c r="F454" s="9" t="s">
        <v>69</v>
      </c>
      <c r="G454" s="13">
        <v>2.0</v>
      </c>
      <c r="H454" s="9" t="s">
        <v>116</v>
      </c>
      <c r="I454" s="9" t="s">
        <v>71</v>
      </c>
      <c r="J454" s="9" t="s">
        <v>98</v>
      </c>
      <c r="K454" s="9" t="s">
        <v>84</v>
      </c>
    </row>
    <row r="455" ht="15.75" customHeight="1">
      <c r="A455" s="10">
        <v>45068.0</v>
      </c>
      <c r="B455" s="11">
        <v>1.670953421E9</v>
      </c>
      <c r="C455" s="12" t="s">
        <v>476</v>
      </c>
      <c r="D455" s="11">
        <v>2.7016337E7</v>
      </c>
      <c r="E455" s="10">
        <v>45069.0</v>
      </c>
      <c r="F455" s="9" t="s">
        <v>76</v>
      </c>
      <c r="G455" s="13">
        <v>2.0</v>
      </c>
      <c r="H455" s="9" t="s">
        <v>116</v>
      </c>
      <c r="I455" s="9" t="s">
        <v>71</v>
      </c>
      <c r="J455" s="9" t="s">
        <v>98</v>
      </c>
      <c r="K455" s="9" t="s">
        <v>84</v>
      </c>
    </row>
    <row r="456" ht="15.75" customHeight="1">
      <c r="A456" s="10">
        <v>45068.0</v>
      </c>
      <c r="B456" s="11">
        <v>3.568269725E9</v>
      </c>
      <c r="C456" s="12" t="s">
        <v>481</v>
      </c>
      <c r="D456" s="11">
        <v>3.7497985E7</v>
      </c>
      <c r="E456" s="10">
        <v>45069.0</v>
      </c>
      <c r="F456" s="9" t="s">
        <v>76</v>
      </c>
      <c r="G456" s="13">
        <v>2.0</v>
      </c>
      <c r="H456" s="9" t="s">
        <v>116</v>
      </c>
      <c r="I456" s="9" t="s">
        <v>71</v>
      </c>
      <c r="J456" s="9" t="s">
        <v>98</v>
      </c>
      <c r="K456" s="9" t="s">
        <v>84</v>
      </c>
    </row>
    <row r="457" ht="15.75" customHeight="1">
      <c r="A457" s="10">
        <v>45068.0</v>
      </c>
      <c r="B457" s="11">
        <v>5.987551113E9</v>
      </c>
      <c r="C457" s="12" t="s">
        <v>482</v>
      </c>
      <c r="D457" s="11">
        <v>2.7962465E7</v>
      </c>
      <c r="E457" s="10">
        <v>45069.0</v>
      </c>
      <c r="F457" s="9" t="s">
        <v>76</v>
      </c>
      <c r="G457" s="13">
        <v>2.0</v>
      </c>
      <c r="H457" s="9" t="s">
        <v>116</v>
      </c>
      <c r="I457" s="9" t="s">
        <v>71</v>
      </c>
      <c r="J457" s="9" t="s">
        <v>98</v>
      </c>
      <c r="K457" s="9" t="s">
        <v>84</v>
      </c>
    </row>
    <row r="458" ht="15.75" customHeight="1">
      <c r="A458" s="10">
        <v>45068.0</v>
      </c>
      <c r="B458" s="11">
        <v>1.267152095E9</v>
      </c>
      <c r="C458" s="12" t="s">
        <v>483</v>
      </c>
      <c r="D458" s="11">
        <v>1.6811486E7</v>
      </c>
      <c r="E458" s="10">
        <v>45069.0</v>
      </c>
      <c r="F458" s="9" t="s">
        <v>69</v>
      </c>
      <c r="G458" s="13">
        <v>2.0</v>
      </c>
      <c r="H458" s="9" t="s">
        <v>116</v>
      </c>
      <c r="I458" s="9" t="s">
        <v>71</v>
      </c>
      <c r="J458" s="9" t="s">
        <v>98</v>
      </c>
      <c r="K458" s="9" t="s">
        <v>90</v>
      </c>
    </row>
    <row r="459" ht="15.75" customHeight="1">
      <c r="A459" s="10">
        <v>45069.0</v>
      </c>
      <c r="B459" s="11">
        <v>7.504825425E9</v>
      </c>
      <c r="C459" s="12" t="s">
        <v>481</v>
      </c>
      <c r="D459" s="11">
        <v>3.7497985E7</v>
      </c>
      <c r="E459" s="10">
        <v>45069.0</v>
      </c>
      <c r="F459" s="9" t="s">
        <v>69</v>
      </c>
      <c r="G459" s="13">
        <v>2.0</v>
      </c>
      <c r="H459" s="9" t="s">
        <v>116</v>
      </c>
      <c r="I459" s="9" t="s">
        <v>71</v>
      </c>
      <c r="J459" s="9" t="s">
        <v>98</v>
      </c>
      <c r="K459" s="9" t="s">
        <v>90</v>
      </c>
    </row>
    <row r="460" ht="15.75" customHeight="1">
      <c r="A460" s="10">
        <v>45062.0</v>
      </c>
      <c r="B460" s="11">
        <v>8.600355072E9</v>
      </c>
      <c r="C460" s="12" t="s">
        <v>484</v>
      </c>
      <c r="D460" s="11">
        <v>2.2336753E7</v>
      </c>
      <c r="E460" s="10">
        <v>45070.0</v>
      </c>
      <c r="F460" s="9" t="s">
        <v>76</v>
      </c>
      <c r="G460" s="13">
        <v>2.0</v>
      </c>
      <c r="H460" s="9" t="s">
        <v>116</v>
      </c>
      <c r="I460" s="9" t="s">
        <v>71</v>
      </c>
      <c r="J460" s="9" t="s">
        <v>98</v>
      </c>
      <c r="K460" s="9" t="s">
        <v>90</v>
      </c>
    </row>
    <row r="461" ht="15.75" customHeight="1">
      <c r="A461" s="10">
        <v>45064.0</v>
      </c>
      <c r="B461" s="11">
        <v>6.781669856E9</v>
      </c>
      <c r="C461" s="12" t="s">
        <v>485</v>
      </c>
      <c r="D461" s="11">
        <v>3.7725276E7</v>
      </c>
      <c r="E461" s="10">
        <v>45070.0</v>
      </c>
      <c r="F461" s="9" t="s">
        <v>69</v>
      </c>
      <c r="G461" s="13">
        <v>2.0</v>
      </c>
      <c r="H461" s="9" t="s">
        <v>116</v>
      </c>
      <c r="I461" s="9" t="s">
        <v>71</v>
      </c>
      <c r="J461" s="9" t="s">
        <v>318</v>
      </c>
      <c r="K461" s="9" t="s">
        <v>90</v>
      </c>
    </row>
    <row r="462" ht="15.75" customHeight="1">
      <c r="A462" s="10">
        <v>45064.0</v>
      </c>
      <c r="B462" s="11">
        <v>8.474050675E9</v>
      </c>
      <c r="C462" s="12" t="s">
        <v>486</v>
      </c>
      <c r="D462" s="11">
        <v>2.1328619E7</v>
      </c>
      <c r="E462" s="10">
        <v>45070.0</v>
      </c>
      <c r="F462" s="9" t="s">
        <v>76</v>
      </c>
      <c r="G462" s="13">
        <v>2.0</v>
      </c>
      <c r="H462" s="9" t="s">
        <v>116</v>
      </c>
      <c r="I462" s="9" t="s">
        <v>71</v>
      </c>
      <c r="J462" s="9" t="s">
        <v>318</v>
      </c>
      <c r="K462" s="9" t="s">
        <v>90</v>
      </c>
    </row>
    <row r="463" ht="15.75" customHeight="1">
      <c r="A463" s="10">
        <v>45064.0</v>
      </c>
      <c r="B463" s="11">
        <v>6.071611173E9</v>
      </c>
      <c r="C463" s="12" t="s">
        <v>487</v>
      </c>
      <c r="D463" s="11">
        <v>4.3707553E7</v>
      </c>
      <c r="E463" s="10">
        <v>45070.0</v>
      </c>
      <c r="F463" s="9" t="s">
        <v>69</v>
      </c>
      <c r="G463" s="13">
        <v>1.0</v>
      </c>
      <c r="H463" s="9" t="s">
        <v>92</v>
      </c>
      <c r="I463" s="9" t="s">
        <v>77</v>
      </c>
      <c r="J463" s="9" t="s">
        <v>318</v>
      </c>
      <c r="K463" s="9" t="s">
        <v>90</v>
      </c>
    </row>
    <row r="464" ht="15.75" customHeight="1">
      <c r="A464" s="10">
        <v>45065.0</v>
      </c>
      <c r="B464" s="11">
        <v>5.554460413E9</v>
      </c>
      <c r="C464" s="12" t="s">
        <v>488</v>
      </c>
      <c r="D464" s="11">
        <v>4.127521E7</v>
      </c>
      <c r="E464" s="10">
        <v>45070.0</v>
      </c>
      <c r="F464" s="9" t="s">
        <v>69</v>
      </c>
      <c r="G464" s="13">
        <v>1.0</v>
      </c>
      <c r="H464" s="9" t="s">
        <v>92</v>
      </c>
      <c r="I464" s="9" t="s">
        <v>77</v>
      </c>
      <c r="J464" s="9" t="s">
        <v>318</v>
      </c>
      <c r="K464" s="9" t="s">
        <v>90</v>
      </c>
    </row>
    <row r="465" ht="15.75" customHeight="1">
      <c r="A465" s="10">
        <v>45065.0</v>
      </c>
      <c r="B465" s="11">
        <v>1.821350694E9</v>
      </c>
      <c r="C465" s="12" t="s">
        <v>489</v>
      </c>
      <c r="D465" s="11">
        <v>2.7210206E7</v>
      </c>
      <c r="E465" s="10">
        <v>45070.0</v>
      </c>
      <c r="F465" s="9" t="s">
        <v>69</v>
      </c>
      <c r="G465" s="13">
        <v>1.0</v>
      </c>
      <c r="H465" s="9" t="s">
        <v>92</v>
      </c>
      <c r="I465" s="9" t="s">
        <v>77</v>
      </c>
      <c r="J465" s="9" t="s">
        <v>318</v>
      </c>
      <c r="K465" s="9" t="s">
        <v>90</v>
      </c>
    </row>
    <row r="466" ht="15.75" customHeight="1">
      <c r="A466" s="10">
        <v>45068.0</v>
      </c>
      <c r="B466" s="11">
        <v>1.39538399E9</v>
      </c>
      <c r="C466" s="12" t="s">
        <v>489</v>
      </c>
      <c r="D466" s="11">
        <v>2.7210206E7</v>
      </c>
      <c r="E466" s="10">
        <v>45070.0</v>
      </c>
      <c r="F466" s="9" t="s">
        <v>69</v>
      </c>
      <c r="G466" s="13">
        <v>1.0</v>
      </c>
      <c r="H466" s="9" t="s">
        <v>92</v>
      </c>
      <c r="I466" s="9" t="s">
        <v>77</v>
      </c>
      <c r="J466" s="9" t="s">
        <v>318</v>
      </c>
      <c r="K466" s="9" t="s">
        <v>90</v>
      </c>
    </row>
    <row r="467" ht="15.75" customHeight="1">
      <c r="A467" s="10">
        <v>45068.0</v>
      </c>
      <c r="B467" s="11">
        <v>4.0994359E9</v>
      </c>
      <c r="C467" s="12" t="s">
        <v>490</v>
      </c>
      <c r="D467" s="11">
        <v>3.4132896E7</v>
      </c>
      <c r="E467" s="10">
        <v>45070.0</v>
      </c>
      <c r="F467" s="9" t="s">
        <v>69</v>
      </c>
      <c r="G467" s="13">
        <v>3.0</v>
      </c>
      <c r="H467" s="9" t="s">
        <v>106</v>
      </c>
      <c r="I467" s="9" t="s">
        <v>77</v>
      </c>
      <c r="J467" s="9" t="s">
        <v>318</v>
      </c>
      <c r="K467" s="9" t="s">
        <v>90</v>
      </c>
    </row>
    <row r="468" ht="15.75" customHeight="1">
      <c r="A468" s="10">
        <v>45068.0</v>
      </c>
      <c r="B468" s="11">
        <v>4.260079762E9</v>
      </c>
      <c r="C468" s="12" t="s">
        <v>491</v>
      </c>
      <c r="D468" s="11">
        <v>2.3021198E7</v>
      </c>
      <c r="E468" s="10">
        <v>45070.0</v>
      </c>
      <c r="F468" s="9" t="s">
        <v>69</v>
      </c>
      <c r="G468" s="13">
        <v>3.0</v>
      </c>
      <c r="H468" s="9" t="s">
        <v>106</v>
      </c>
      <c r="I468" s="9" t="s">
        <v>77</v>
      </c>
      <c r="J468" s="9" t="s">
        <v>318</v>
      </c>
      <c r="K468" s="9" t="s">
        <v>90</v>
      </c>
    </row>
    <row r="469" ht="15.75" customHeight="1">
      <c r="A469" s="10">
        <v>45068.0</v>
      </c>
      <c r="B469" s="11">
        <v>4.099474046E9</v>
      </c>
      <c r="C469" s="12" t="s">
        <v>492</v>
      </c>
      <c r="D469" s="11">
        <v>4.3967185E7</v>
      </c>
      <c r="E469" s="10">
        <v>45070.0</v>
      </c>
      <c r="F469" s="9" t="s">
        <v>69</v>
      </c>
      <c r="G469" s="13">
        <v>3.0</v>
      </c>
      <c r="H469" s="9" t="s">
        <v>106</v>
      </c>
      <c r="I469" s="9" t="s">
        <v>77</v>
      </c>
      <c r="J469" s="9" t="s">
        <v>72</v>
      </c>
      <c r="K469" s="9" t="s">
        <v>90</v>
      </c>
    </row>
    <row r="470" ht="15.75" customHeight="1">
      <c r="A470" s="10">
        <v>45069.0</v>
      </c>
      <c r="B470" s="11">
        <v>1.085397515E9</v>
      </c>
      <c r="C470" s="12" t="s">
        <v>493</v>
      </c>
      <c r="D470" s="11">
        <v>2.0366737E7</v>
      </c>
      <c r="E470" s="10">
        <v>45070.0</v>
      </c>
      <c r="F470" s="9" t="s">
        <v>69</v>
      </c>
      <c r="G470" s="13">
        <v>2.0</v>
      </c>
      <c r="H470" s="9" t="s">
        <v>106</v>
      </c>
      <c r="I470" s="9" t="s">
        <v>77</v>
      </c>
      <c r="J470" s="9" t="s">
        <v>72</v>
      </c>
      <c r="K470" s="9" t="s">
        <v>90</v>
      </c>
    </row>
    <row r="471" ht="15.75" customHeight="1">
      <c r="A471" s="10">
        <v>45062.0</v>
      </c>
      <c r="B471" s="11">
        <v>3.049617723E9</v>
      </c>
      <c r="C471" s="12" t="s">
        <v>494</v>
      </c>
      <c r="D471" s="11">
        <v>5293262.0</v>
      </c>
      <c r="E471" s="10">
        <v>45075.0</v>
      </c>
      <c r="F471" s="9" t="s">
        <v>69</v>
      </c>
      <c r="G471" s="13">
        <v>1.0</v>
      </c>
      <c r="H471" s="9" t="s">
        <v>106</v>
      </c>
      <c r="I471" s="9" t="s">
        <v>77</v>
      </c>
      <c r="J471" s="9" t="s">
        <v>72</v>
      </c>
      <c r="K471" s="9" t="s">
        <v>90</v>
      </c>
    </row>
    <row r="472" ht="15.75" customHeight="1">
      <c r="A472" s="10">
        <v>45065.0</v>
      </c>
      <c r="B472" s="11">
        <v>1.41675653E9</v>
      </c>
      <c r="C472" s="12" t="s">
        <v>495</v>
      </c>
      <c r="D472" s="11">
        <v>4.2936016E7</v>
      </c>
      <c r="E472" s="10">
        <v>45075.0</v>
      </c>
      <c r="F472" s="9" t="s">
        <v>69</v>
      </c>
      <c r="G472" s="13">
        <v>3.0</v>
      </c>
      <c r="H472" s="9" t="s">
        <v>106</v>
      </c>
      <c r="I472" s="9" t="s">
        <v>77</v>
      </c>
      <c r="J472" s="9" t="s">
        <v>72</v>
      </c>
      <c r="K472" s="9" t="s">
        <v>73</v>
      </c>
    </row>
    <row r="473" ht="15.75" customHeight="1">
      <c r="A473" s="10">
        <v>45069.0</v>
      </c>
      <c r="B473" s="11">
        <v>5.014407366E9</v>
      </c>
      <c r="C473" s="12" t="s">
        <v>496</v>
      </c>
      <c r="D473" s="11">
        <v>3.418597E7</v>
      </c>
      <c r="E473" s="10">
        <v>45075.0</v>
      </c>
      <c r="F473" s="9" t="s">
        <v>76</v>
      </c>
      <c r="G473" s="13">
        <v>1.0</v>
      </c>
      <c r="H473" s="9" t="s">
        <v>106</v>
      </c>
      <c r="I473" s="9" t="s">
        <v>77</v>
      </c>
      <c r="J473" s="9" t="s">
        <v>72</v>
      </c>
      <c r="K473" s="9" t="s">
        <v>73</v>
      </c>
    </row>
    <row r="474" ht="15.75" customHeight="1">
      <c r="A474" s="10">
        <v>45062.0</v>
      </c>
      <c r="B474" s="11">
        <v>3.049615796E9</v>
      </c>
      <c r="C474" s="12" t="s">
        <v>497</v>
      </c>
      <c r="D474" s="11">
        <v>1.2414866E7</v>
      </c>
      <c r="E474" s="10">
        <v>45076.0</v>
      </c>
      <c r="F474" s="9" t="s">
        <v>76</v>
      </c>
      <c r="G474" s="13">
        <v>1.0</v>
      </c>
      <c r="H474" s="9" t="s">
        <v>106</v>
      </c>
      <c r="I474" s="9" t="s">
        <v>77</v>
      </c>
      <c r="J474" s="9" t="s">
        <v>72</v>
      </c>
      <c r="K474" s="9" t="s">
        <v>73</v>
      </c>
    </row>
    <row r="475" ht="15.75" customHeight="1">
      <c r="A475" s="10">
        <v>45062.0</v>
      </c>
      <c r="B475" s="11">
        <v>6.110433766E9</v>
      </c>
      <c r="C475" s="12" t="s">
        <v>497</v>
      </c>
      <c r="D475" s="11">
        <v>1.2414866E7</v>
      </c>
      <c r="E475" s="10">
        <v>45076.0</v>
      </c>
      <c r="F475" s="9" t="s">
        <v>76</v>
      </c>
      <c r="G475" s="13">
        <v>3.0</v>
      </c>
      <c r="H475" s="9" t="s">
        <v>106</v>
      </c>
      <c r="I475" s="9" t="s">
        <v>77</v>
      </c>
      <c r="J475" s="9" t="s">
        <v>72</v>
      </c>
      <c r="K475" s="9" t="s">
        <v>73</v>
      </c>
    </row>
    <row r="476" ht="15.75" customHeight="1">
      <c r="A476" s="10">
        <v>45068.0</v>
      </c>
      <c r="B476" s="11">
        <v>4.099481492E9</v>
      </c>
      <c r="C476" s="12" t="s">
        <v>498</v>
      </c>
      <c r="D476" s="11">
        <v>1.8623485E7</v>
      </c>
      <c r="E476" s="10">
        <v>45076.0</v>
      </c>
      <c r="F476" s="9" t="s">
        <v>76</v>
      </c>
      <c r="G476" s="13">
        <v>4.0</v>
      </c>
      <c r="H476" s="9" t="s">
        <v>106</v>
      </c>
      <c r="I476" s="9" t="s">
        <v>77</v>
      </c>
      <c r="J476" s="9" t="s">
        <v>72</v>
      </c>
      <c r="K476" s="9" t="s">
        <v>73</v>
      </c>
    </row>
    <row r="477" ht="15.75" customHeight="1">
      <c r="A477" s="10">
        <v>45076.0</v>
      </c>
      <c r="B477" s="11">
        <v>9.8647619E9</v>
      </c>
      <c r="C477" s="12" t="s">
        <v>499</v>
      </c>
      <c r="D477" s="11">
        <v>1.6314375E7</v>
      </c>
      <c r="E477" s="10">
        <v>45076.0</v>
      </c>
      <c r="F477" s="9" t="s">
        <v>76</v>
      </c>
      <c r="G477" s="13">
        <v>1.0</v>
      </c>
      <c r="H477" s="9" t="s">
        <v>106</v>
      </c>
      <c r="I477" s="9" t="s">
        <v>77</v>
      </c>
      <c r="J477" s="9" t="s">
        <v>98</v>
      </c>
      <c r="K477" s="9" t="s">
        <v>73</v>
      </c>
    </row>
    <row r="478" ht="15.75" customHeight="1">
      <c r="A478" s="10">
        <v>45076.0</v>
      </c>
      <c r="B478" s="11">
        <v>3.795633446E9</v>
      </c>
      <c r="C478" s="12" t="s">
        <v>500</v>
      </c>
      <c r="D478" s="11">
        <v>1.1476996E7</v>
      </c>
      <c r="E478" s="10">
        <v>45076.0</v>
      </c>
      <c r="F478" s="9" t="s">
        <v>76</v>
      </c>
      <c r="G478" s="13">
        <v>6.0</v>
      </c>
      <c r="H478" s="9" t="s">
        <v>70</v>
      </c>
      <c r="I478" s="9" t="s">
        <v>77</v>
      </c>
      <c r="J478" s="9" t="s">
        <v>98</v>
      </c>
      <c r="K478" s="9" t="s">
        <v>73</v>
      </c>
    </row>
    <row r="479" ht="15.75" customHeight="1">
      <c r="A479" s="10">
        <v>45062.0</v>
      </c>
      <c r="B479" s="11">
        <v>8.055641296E9</v>
      </c>
      <c r="C479" s="12" t="s">
        <v>501</v>
      </c>
      <c r="D479" s="11">
        <v>3.8225893E7</v>
      </c>
      <c r="E479" s="10">
        <v>45077.0</v>
      </c>
      <c r="F479" s="9" t="s">
        <v>76</v>
      </c>
      <c r="G479" s="13">
        <v>6.0</v>
      </c>
      <c r="H479" s="9" t="s">
        <v>70</v>
      </c>
      <c r="I479" s="9" t="s">
        <v>88</v>
      </c>
      <c r="J479" s="9" t="s">
        <v>98</v>
      </c>
      <c r="K479" s="9" t="s">
        <v>73</v>
      </c>
    </row>
    <row r="480" ht="15.75" customHeight="1">
      <c r="A480" s="10">
        <v>45062.0</v>
      </c>
      <c r="B480" s="11">
        <v>4.726488255E9</v>
      </c>
      <c r="C480" s="12" t="s">
        <v>502</v>
      </c>
      <c r="D480" s="11">
        <v>2.4981243E7</v>
      </c>
      <c r="E480" s="10">
        <v>45077.0</v>
      </c>
      <c r="F480" s="9" t="s">
        <v>76</v>
      </c>
      <c r="G480" s="13">
        <v>5.0</v>
      </c>
      <c r="H480" s="9" t="s">
        <v>70</v>
      </c>
      <c r="I480" s="9" t="s">
        <v>88</v>
      </c>
      <c r="J480" s="9" t="s">
        <v>98</v>
      </c>
      <c r="K480" s="9" t="s">
        <v>73</v>
      </c>
    </row>
    <row r="481" ht="15.75" customHeight="1">
      <c r="A481" s="10">
        <v>45068.0</v>
      </c>
      <c r="B481" s="11">
        <v>1.453821456E9</v>
      </c>
      <c r="C481" s="12" t="s">
        <v>503</v>
      </c>
      <c r="D481" s="11">
        <v>3.7311645E7</v>
      </c>
      <c r="E481" s="10">
        <v>45077.0</v>
      </c>
      <c r="F481" s="9" t="s">
        <v>76</v>
      </c>
      <c r="G481" s="13">
        <v>1.0</v>
      </c>
      <c r="H481" s="9" t="s">
        <v>70</v>
      </c>
      <c r="I481" s="9" t="s">
        <v>88</v>
      </c>
      <c r="J481" s="9" t="s">
        <v>98</v>
      </c>
      <c r="K481" s="9" t="s">
        <v>99</v>
      </c>
    </row>
    <row r="482" ht="15.75" customHeight="1">
      <c r="A482" s="10">
        <v>45076.0</v>
      </c>
      <c r="B482" s="11">
        <v>3.412358902E9</v>
      </c>
      <c r="C482" s="12" t="s">
        <v>504</v>
      </c>
      <c r="D482" s="11">
        <v>1.8624787E7</v>
      </c>
      <c r="E482" s="10">
        <v>45077.0</v>
      </c>
      <c r="F482" s="9" t="s">
        <v>69</v>
      </c>
      <c r="G482" s="13">
        <v>1.0</v>
      </c>
      <c r="H482" s="9" t="s">
        <v>70</v>
      </c>
      <c r="I482" s="9" t="s">
        <v>88</v>
      </c>
      <c r="J482" s="9" t="s">
        <v>98</v>
      </c>
      <c r="K482" s="9" t="s">
        <v>99</v>
      </c>
    </row>
    <row r="483" ht="15.75" customHeight="1">
      <c r="A483" s="10">
        <v>45076.0</v>
      </c>
      <c r="B483" s="11">
        <v>3.037995741E9</v>
      </c>
      <c r="C483" s="12" t="s">
        <v>505</v>
      </c>
      <c r="D483" s="11">
        <v>8089521.0</v>
      </c>
      <c r="E483" s="10">
        <v>45077.0</v>
      </c>
      <c r="F483" s="9" t="s">
        <v>69</v>
      </c>
      <c r="G483" s="13">
        <v>1.0</v>
      </c>
      <c r="H483" s="9" t="s">
        <v>70</v>
      </c>
      <c r="I483" s="9" t="s">
        <v>88</v>
      </c>
      <c r="J483" s="9" t="s">
        <v>93</v>
      </c>
      <c r="K483" s="9" t="s">
        <v>99</v>
      </c>
    </row>
    <row r="484" ht="15.75" customHeight="1">
      <c r="A484" s="10">
        <v>45076.0</v>
      </c>
      <c r="B484" s="11">
        <v>3.824558441E9</v>
      </c>
      <c r="C484" s="12" t="s">
        <v>506</v>
      </c>
      <c r="D484" s="11">
        <v>1.2220632E7</v>
      </c>
      <c r="E484" s="10">
        <v>45077.0</v>
      </c>
      <c r="F484" s="9" t="s">
        <v>69</v>
      </c>
      <c r="G484" s="13">
        <v>3.0</v>
      </c>
      <c r="H484" s="9" t="s">
        <v>70</v>
      </c>
      <c r="I484" s="9" t="s">
        <v>88</v>
      </c>
      <c r="J484" s="9" t="s">
        <v>93</v>
      </c>
      <c r="K484" s="9" t="s">
        <v>99</v>
      </c>
    </row>
    <row r="485" ht="15.75" customHeight="1">
      <c r="A485" s="10">
        <v>45076.0</v>
      </c>
      <c r="B485" s="11">
        <v>7.297205613E9</v>
      </c>
      <c r="C485" s="12" t="s">
        <v>505</v>
      </c>
      <c r="D485" s="11">
        <v>8089521.0</v>
      </c>
      <c r="E485" s="10">
        <v>45077.0</v>
      </c>
      <c r="F485" s="9" t="s">
        <v>69</v>
      </c>
      <c r="G485" s="13">
        <v>1.0</v>
      </c>
      <c r="H485" s="9" t="s">
        <v>70</v>
      </c>
      <c r="I485" s="9" t="s">
        <v>88</v>
      </c>
      <c r="J485" s="9" t="s">
        <v>93</v>
      </c>
      <c r="K485" s="9" t="s">
        <v>99</v>
      </c>
    </row>
    <row r="486" ht="15.75" customHeight="1">
      <c r="A486" s="10">
        <v>45076.0</v>
      </c>
      <c r="B486" s="11">
        <v>4.90773983E9</v>
      </c>
      <c r="C486" s="12" t="s">
        <v>507</v>
      </c>
      <c r="D486" s="11">
        <v>3.1946933E7</v>
      </c>
      <c r="E486" s="10">
        <v>45077.0</v>
      </c>
      <c r="F486" s="9" t="s">
        <v>69</v>
      </c>
      <c r="G486" s="13">
        <v>4.0</v>
      </c>
      <c r="H486" s="9" t="s">
        <v>70</v>
      </c>
      <c r="I486" s="9" t="s">
        <v>88</v>
      </c>
      <c r="J486" s="9" t="s">
        <v>93</v>
      </c>
      <c r="K486" s="9" t="s">
        <v>103</v>
      </c>
    </row>
    <row r="487" ht="15.75" customHeight="1">
      <c r="A487" s="10">
        <v>45076.0</v>
      </c>
      <c r="B487" s="11">
        <v>9.52021308E9</v>
      </c>
      <c r="C487" s="12" t="s">
        <v>508</v>
      </c>
      <c r="D487" s="11">
        <v>8009498.0</v>
      </c>
      <c r="E487" s="10">
        <v>45077.0</v>
      </c>
      <c r="F487" s="9" t="s">
        <v>76</v>
      </c>
      <c r="G487" s="13">
        <v>1.0</v>
      </c>
      <c r="H487" s="9" t="s">
        <v>70</v>
      </c>
      <c r="I487" s="9" t="s">
        <v>88</v>
      </c>
      <c r="J487" s="9" t="s">
        <v>93</v>
      </c>
      <c r="K487" s="9" t="s">
        <v>103</v>
      </c>
    </row>
    <row r="488" ht="15.75" customHeight="1">
      <c r="A488" s="10">
        <v>45076.0</v>
      </c>
      <c r="B488" s="11">
        <v>4.938834876E9</v>
      </c>
      <c r="C488" s="12" t="s">
        <v>509</v>
      </c>
      <c r="D488" s="11">
        <v>3.91383E7</v>
      </c>
      <c r="E488" s="10">
        <v>45077.0</v>
      </c>
      <c r="F488" s="9" t="s">
        <v>76</v>
      </c>
      <c r="G488" s="13">
        <v>5.0</v>
      </c>
      <c r="H488" s="9" t="s">
        <v>70</v>
      </c>
      <c r="I488" s="9" t="s">
        <v>88</v>
      </c>
      <c r="J488" s="9" t="s">
        <v>93</v>
      </c>
      <c r="K488" s="9" t="s">
        <v>103</v>
      </c>
    </row>
    <row r="489" ht="15.75" customHeight="1">
      <c r="A489" s="10">
        <v>45076.0</v>
      </c>
      <c r="B489" s="11">
        <v>4.113219585E9</v>
      </c>
      <c r="C489" s="12" t="s">
        <v>510</v>
      </c>
      <c r="D489" s="11">
        <v>1.7526171E7</v>
      </c>
      <c r="E489" s="10">
        <v>45077.0</v>
      </c>
      <c r="F489" s="9" t="s">
        <v>69</v>
      </c>
      <c r="G489" s="13">
        <v>2.0</v>
      </c>
      <c r="H489" s="9" t="s">
        <v>70</v>
      </c>
      <c r="I489" s="9" t="s">
        <v>88</v>
      </c>
      <c r="J489" s="9" t="s">
        <v>93</v>
      </c>
      <c r="K489" s="9" t="s">
        <v>103</v>
      </c>
    </row>
    <row r="490" ht="15.75" customHeight="1">
      <c r="A490" s="10">
        <v>45076.0</v>
      </c>
      <c r="B490" s="11">
        <v>3.038014302E9</v>
      </c>
      <c r="C490" s="12" t="s">
        <v>511</v>
      </c>
      <c r="D490" s="11">
        <v>1.0012036E7</v>
      </c>
      <c r="E490" s="10">
        <v>45077.0</v>
      </c>
      <c r="F490" s="9" t="s">
        <v>69</v>
      </c>
      <c r="G490" s="13">
        <v>1.0</v>
      </c>
      <c r="H490" s="9" t="s">
        <v>70</v>
      </c>
      <c r="I490" s="9" t="s">
        <v>88</v>
      </c>
      <c r="J490" s="9" t="s">
        <v>93</v>
      </c>
      <c r="K490" s="9" t="s">
        <v>103</v>
      </c>
    </row>
    <row r="491" ht="15.75" customHeight="1">
      <c r="A491" s="10">
        <v>45076.0</v>
      </c>
      <c r="B491" s="11">
        <v>7.72927239E9</v>
      </c>
      <c r="C491" s="12" t="s">
        <v>512</v>
      </c>
      <c r="D491" s="11">
        <v>3.3703662E7</v>
      </c>
      <c r="E491" s="10">
        <v>45077.0</v>
      </c>
      <c r="F491" s="9" t="s">
        <v>69</v>
      </c>
      <c r="G491" s="13">
        <v>1.0</v>
      </c>
      <c r="H491" s="9" t="s">
        <v>70</v>
      </c>
      <c r="I491" s="9" t="s">
        <v>88</v>
      </c>
      <c r="J491" s="9" t="s">
        <v>93</v>
      </c>
      <c r="K491" s="9" t="s">
        <v>103</v>
      </c>
    </row>
    <row r="492" ht="15.75" customHeight="1">
      <c r="A492" s="10">
        <v>45076.0</v>
      </c>
      <c r="B492" s="11">
        <v>9.417192341E9</v>
      </c>
      <c r="C492" s="12" t="s">
        <v>513</v>
      </c>
      <c r="D492" s="11">
        <v>1.1085492E7</v>
      </c>
      <c r="E492" s="10">
        <v>45077.0</v>
      </c>
      <c r="F492" s="9" t="s">
        <v>76</v>
      </c>
      <c r="G492" s="13">
        <v>1.0</v>
      </c>
      <c r="H492" s="9" t="s">
        <v>70</v>
      </c>
      <c r="I492" s="9" t="s">
        <v>71</v>
      </c>
      <c r="J492" s="9" t="s">
        <v>93</v>
      </c>
      <c r="K492" s="9" t="s">
        <v>107</v>
      </c>
    </row>
    <row r="493" ht="15.75" customHeight="1">
      <c r="A493" s="10">
        <v>45076.0</v>
      </c>
      <c r="B493" s="11">
        <v>3.683570726E9</v>
      </c>
      <c r="C493" s="12" t="s">
        <v>513</v>
      </c>
      <c r="D493" s="11">
        <v>1.1085492E7</v>
      </c>
      <c r="E493" s="10">
        <v>45077.0</v>
      </c>
      <c r="F493" s="9" t="s">
        <v>76</v>
      </c>
      <c r="G493" s="13">
        <v>1.0</v>
      </c>
      <c r="H493" s="9" t="s">
        <v>70</v>
      </c>
      <c r="I493" s="9" t="s">
        <v>71</v>
      </c>
      <c r="J493" s="9" t="s">
        <v>93</v>
      </c>
      <c r="K493" s="9" t="s">
        <v>107</v>
      </c>
    </row>
    <row r="494" ht="15.75" customHeight="1">
      <c r="A494" s="10">
        <v>45076.0</v>
      </c>
      <c r="B494" s="11">
        <v>4.084592024E9</v>
      </c>
      <c r="C494" s="12" t="s">
        <v>514</v>
      </c>
      <c r="D494" s="11">
        <v>3.9358824E7</v>
      </c>
      <c r="E494" s="10">
        <v>45077.0</v>
      </c>
      <c r="F494" s="9" t="s">
        <v>76</v>
      </c>
      <c r="G494" s="13">
        <v>1.0</v>
      </c>
      <c r="H494" s="9" t="s">
        <v>70</v>
      </c>
      <c r="I494" s="9" t="s">
        <v>71</v>
      </c>
      <c r="J494" s="9" t="s">
        <v>93</v>
      </c>
      <c r="K494" s="9" t="s">
        <v>107</v>
      </c>
    </row>
    <row r="495" ht="15.75" customHeight="1">
      <c r="A495" s="10">
        <v>45077.0</v>
      </c>
      <c r="B495" s="11">
        <v>5.014534965E9</v>
      </c>
      <c r="C495" s="12" t="s">
        <v>515</v>
      </c>
      <c r="D495" s="11">
        <v>2.4802496E7</v>
      </c>
      <c r="E495" s="10">
        <v>45077.0</v>
      </c>
      <c r="F495" s="9" t="s">
        <v>76</v>
      </c>
      <c r="G495" s="13">
        <v>1.0</v>
      </c>
      <c r="H495" s="9" t="s">
        <v>70</v>
      </c>
      <c r="I495" s="9" t="s">
        <v>71</v>
      </c>
      <c r="J495" s="9" t="s">
        <v>93</v>
      </c>
      <c r="K495" s="9" t="s">
        <v>107</v>
      </c>
    </row>
    <row r="496" ht="15.75" customHeight="1">
      <c r="A496" s="10">
        <v>45077.0</v>
      </c>
      <c r="B496" s="11">
        <v>5.014516883E9</v>
      </c>
      <c r="C496" s="12" t="s">
        <v>510</v>
      </c>
      <c r="D496" s="11">
        <v>1.7526171E7</v>
      </c>
      <c r="E496" s="10">
        <v>45077.0</v>
      </c>
      <c r="F496" s="9" t="s">
        <v>76</v>
      </c>
      <c r="G496" s="13">
        <v>1.0</v>
      </c>
      <c r="H496" s="9" t="s">
        <v>70</v>
      </c>
      <c r="I496" s="9" t="s">
        <v>71</v>
      </c>
      <c r="J496" s="9" t="s">
        <v>93</v>
      </c>
      <c r="K496" s="9" t="s">
        <v>107</v>
      </c>
    </row>
    <row r="497" ht="15.75" customHeight="1">
      <c r="A497" s="10">
        <v>45077.0</v>
      </c>
      <c r="B497" s="11">
        <v>6.189116916E9</v>
      </c>
      <c r="C497" s="12" t="s">
        <v>516</v>
      </c>
      <c r="D497" s="11">
        <v>3.0442449E7</v>
      </c>
      <c r="E497" s="10">
        <v>45077.0</v>
      </c>
      <c r="F497" s="9" t="s">
        <v>69</v>
      </c>
      <c r="G497" s="13">
        <v>1.0</v>
      </c>
      <c r="H497" s="9" t="s">
        <v>70</v>
      </c>
      <c r="I497" s="9" t="s">
        <v>71</v>
      </c>
      <c r="J497" s="9" t="s">
        <v>93</v>
      </c>
      <c r="K497" s="9" t="s">
        <v>107</v>
      </c>
    </row>
    <row r="498" ht="15.75" customHeight="1">
      <c r="A498" s="10">
        <v>45076.0</v>
      </c>
      <c r="B498" s="11">
        <v>4.015549904E9</v>
      </c>
      <c r="C498" s="12" t="s">
        <v>517</v>
      </c>
      <c r="D498" s="11">
        <v>1.1238249E7</v>
      </c>
      <c r="E498" s="10">
        <v>45078.0</v>
      </c>
      <c r="F498" s="9" t="s">
        <v>69</v>
      </c>
      <c r="G498" s="13">
        <v>2.0</v>
      </c>
      <c r="H498" s="9" t="s">
        <v>70</v>
      </c>
      <c r="I498" s="9" t="s">
        <v>71</v>
      </c>
      <c r="J498" s="9" t="s">
        <v>93</v>
      </c>
      <c r="K498" s="9" t="s">
        <v>107</v>
      </c>
    </row>
    <row r="499" ht="15.75" customHeight="1">
      <c r="A499" s="10">
        <v>45076.0</v>
      </c>
      <c r="B499" s="11">
        <v>7.73452799E9</v>
      </c>
      <c r="C499" s="12" t="s">
        <v>518</v>
      </c>
      <c r="D499" s="11">
        <v>3.9729342E7</v>
      </c>
      <c r="E499" s="10">
        <v>45078.0</v>
      </c>
      <c r="F499" s="9" t="s">
        <v>69</v>
      </c>
      <c r="G499" s="13">
        <v>1.0</v>
      </c>
      <c r="H499" s="9" t="s">
        <v>112</v>
      </c>
      <c r="I499" s="9" t="s">
        <v>71</v>
      </c>
      <c r="J499" s="9" t="s">
        <v>72</v>
      </c>
      <c r="K499" s="9" t="s">
        <v>107</v>
      </c>
    </row>
    <row r="500" ht="15.75" customHeight="1">
      <c r="A500" s="10">
        <v>45076.0</v>
      </c>
      <c r="B500" s="11">
        <v>6.189184676E9</v>
      </c>
      <c r="C500" s="12" t="s">
        <v>519</v>
      </c>
      <c r="D500" s="11">
        <v>2.6506207E7</v>
      </c>
      <c r="E500" s="10">
        <v>45078.0</v>
      </c>
      <c r="F500" s="9" t="s">
        <v>76</v>
      </c>
      <c r="G500" s="13">
        <v>2.0</v>
      </c>
      <c r="H500" s="9" t="s">
        <v>112</v>
      </c>
      <c r="I500" s="9" t="s">
        <v>71</v>
      </c>
      <c r="J500" s="9" t="s">
        <v>72</v>
      </c>
      <c r="K500" s="9" t="s">
        <v>107</v>
      </c>
    </row>
    <row r="501" ht="15.75" customHeight="1">
      <c r="A501" s="10">
        <v>45076.0</v>
      </c>
      <c r="B501" s="11">
        <v>4.535524652E9</v>
      </c>
      <c r="C501" s="12" t="s">
        <v>520</v>
      </c>
      <c r="D501" s="11">
        <v>1.259827E7</v>
      </c>
      <c r="E501" s="10">
        <v>45078.0</v>
      </c>
      <c r="F501" s="9" t="s">
        <v>76</v>
      </c>
      <c r="G501" s="13">
        <v>1.0</v>
      </c>
      <c r="H501" s="9" t="s">
        <v>112</v>
      </c>
      <c r="I501" s="9" t="s">
        <v>71</v>
      </c>
      <c r="J501" s="9" t="s">
        <v>72</v>
      </c>
      <c r="K501" s="9" t="s">
        <v>107</v>
      </c>
    </row>
    <row r="502" ht="15.75" customHeight="1">
      <c r="A502" s="10">
        <v>45076.0</v>
      </c>
      <c r="B502" s="11">
        <v>3.412367291E9</v>
      </c>
      <c r="C502" s="12" t="s">
        <v>521</v>
      </c>
      <c r="D502" s="11">
        <v>2.9433747E7</v>
      </c>
      <c r="E502" s="10">
        <v>45078.0</v>
      </c>
      <c r="F502" s="9" t="s">
        <v>76</v>
      </c>
      <c r="G502" s="13">
        <v>1.0</v>
      </c>
      <c r="H502" s="9" t="s">
        <v>112</v>
      </c>
      <c r="I502" s="9" t="s">
        <v>71</v>
      </c>
      <c r="J502" s="9" t="s">
        <v>72</v>
      </c>
      <c r="K502" s="9" t="s">
        <v>73</v>
      </c>
    </row>
    <row r="503" ht="15.75" customHeight="1">
      <c r="A503" s="10">
        <v>45076.0</v>
      </c>
      <c r="B503" s="11">
        <v>8.746401554E9</v>
      </c>
      <c r="C503" s="12" t="s">
        <v>522</v>
      </c>
      <c r="D503" s="11">
        <v>1.4226101E7</v>
      </c>
      <c r="E503" s="10">
        <v>45078.0</v>
      </c>
      <c r="F503" s="9" t="s">
        <v>76</v>
      </c>
      <c r="G503" s="13">
        <v>3.0</v>
      </c>
      <c r="H503" s="9" t="s">
        <v>112</v>
      </c>
      <c r="I503" s="9" t="s">
        <v>71</v>
      </c>
      <c r="J503" s="9" t="s">
        <v>72</v>
      </c>
      <c r="K503" s="9" t="s">
        <v>73</v>
      </c>
    </row>
    <row r="504" ht="15.75" customHeight="1">
      <c r="A504" s="10">
        <v>45076.0</v>
      </c>
      <c r="B504" s="11">
        <v>1.84694342E9</v>
      </c>
      <c r="C504" s="12" t="s">
        <v>522</v>
      </c>
      <c r="D504" s="11">
        <v>1.4226101E7</v>
      </c>
      <c r="E504" s="10">
        <v>45078.0</v>
      </c>
      <c r="F504" s="9" t="s">
        <v>76</v>
      </c>
      <c r="G504" s="13">
        <v>2.0</v>
      </c>
      <c r="H504" s="9" t="s">
        <v>112</v>
      </c>
      <c r="I504" s="9" t="s">
        <v>77</v>
      </c>
      <c r="J504" s="9" t="s">
        <v>98</v>
      </c>
      <c r="K504" s="9" t="s">
        <v>73</v>
      </c>
    </row>
    <row r="505" ht="15.75" customHeight="1">
      <c r="A505" s="10">
        <v>45076.0</v>
      </c>
      <c r="B505" s="11">
        <v>9.198662082E9</v>
      </c>
      <c r="C505" s="12" t="s">
        <v>522</v>
      </c>
      <c r="D505" s="11">
        <v>1.4226101E7</v>
      </c>
      <c r="E505" s="10">
        <v>45078.0</v>
      </c>
      <c r="F505" s="9" t="s">
        <v>76</v>
      </c>
      <c r="G505" s="13">
        <v>1.0</v>
      </c>
      <c r="H505" s="9" t="s">
        <v>92</v>
      </c>
      <c r="I505" s="9" t="s">
        <v>77</v>
      </c>
      <c r="J505" s="9" t="s">
        <v>98</v>
      </c>
      <c r="K505" s="9" t="s">
        <v>73</v>
      </c>
    </row>
    <row r="506" ht="15.75" customHeight="1">
      <c r="A506" s="10">
        <v>45077.0</v>
      </c>
      <c r="B506" s="11">
        <v>7.602846893E9</v>
      </c>
      <c r="C506" s="12" t="s">
        <v>523</v>
      </c>
      <c r="D506" s="11">
        <v>2.250166E7</v>
      </c>
      <c r="E506" s="10">
        <v>45078.0</v>
      </c>
      <c r="F506" s="9" t="s">
        <v>69</v>
      </c>
      <c r="G506" s="13">
        <v>1.0</v>
      </c>
      <c r="H506" s="9" t="s">
        <v>92</v>
      </c>
      <c r="I506" s="9" t="s">
        <v>77</v>
      </c>
      <c r="J506" s="9" t="s">
        <v>98</v>
      </c>
      <c r="K506" s="9" t="s">
        <v>73</v>
      </c>
    </row>
    <row r="507" ht="15.75" customHeight="1">
      <c r="A507" s="10">
        <v>45077.0</v>
      </c>
      <c r="B507" s="11">
        <v>6.90440317E9</v>
      </c>
      <c r="C507" s="12" t="s">
        <v>524</v>
      </c>
      <c r="D507" s="11">
        <v>1.0791657E7</v>
      </c>
      <c r="E507" s="10">
        <v>45078.0</v>
      </c>
      <c r="F507" s="9" t="s">
        <v>69</v>
      </c>
      <c r="G507" s="13">
        <v>1.0</v>
      </c>
      <c r="H507" s="9" t="s">
        <v>92</v>
      </c>
      <c r="I507" s="9" t="s">
        <v>77</v>
      </c>
      <c r="J507" s="9" t="s">
        <v>98</v>
      </c>
      <c r="K507" s="9" t="s">
        <v>73</v>
      </c>
    </row>
    <row r="508" ht="15.75" customHeight="1">
      <c r="A508" s="10">
        <v>45041.0</v>
      </c>
      <c r="B508" s="11">
        <v>2.636440052E9</v>
      </c>
      <c r="C508" s="12" t="s">
        <v>525</v>
      </c>
      <c r="D508" s="11">
        <v>3.2460219E7</v>
      </c>
      <c r="E508" s="10">
        <v>45079.0</v>
      </c>
      <c r="F508" s="9" t="s">
        <v>69</v>
      </c>
      <c r="G508" s="13">
        <v>2.0</v>
      </c>
      <c r="H508" s="9" t="s">
        <v>92</v>
      </c>
      <c r="I508" s="9" t="s">
        <v>77</v>
      </c>
      <c r="J508" s="9" t="s">
        <v>98</v>
      </c>
      <c r="K508" s="9" t="s">
        <v>73</v>
      </c>
    </row>
    <row r="509" ht="15.75" customHeight="1">
      <c r="A509" s="10">
        <v>45058.0</v>
      </c>
      <c r="B509" s="11">
        <v>5.994692631E9</v>
      </c>
      <c r="C509" s="12" t="s">
        <v>526</v>
      </c>
      <c r="D509" s="11">
        <v>2.9190306E7</v>
      </c>
      <c r="E509" s="10">
        <v>45079.0</v>
      </c>
      <c r="F509" s="9" t="s">
        <v>76</v>
      </c>
      <c r="G509" s="13">
        <v>1.0</v>
      </c>
      <c r="H509" s="9" t="s">
        <v>92</v>
      </c>
      <c r="I509" s="9" t="s">
        <v>77</v>
      </c>
      <c r="J509" s="9" t="s">
        <v>98</v>
      </c>
      <c r="K509" s="9" t="s">
        <v>73</v>
      </c>
    </row>
    <row r="510" ht="15.75" customHeight="1">
      <c r="A510" s="10">
        <v>45069.0</v>
      </c>
      <c r="B510" s="11">
        <v>6.813128545E9</v>
      </c>
      <c r="C510" s="12" t="s">
        <v>527</v>
      </c>
      <c r="D510" s="11">
        <v>2.4981215E7</v>
      </c>
      <c r="E510" s="10">
        <v>45079.0</v>
      </c>
      <c r="F510" s="9" t="s">
        <v>76</v>
      </c>
      <c r="G510" s="13">
        <v>3.0</v>
      </c>
      <c r="H510" s="9" t="s">
        <v>70</v>
      </c>
      <c r="I510" s="9" t="s">
        <v>77</v>
      </c>
      <c r="J510" s="9" t="s">
        <v>98</v>
      </c>
      <c r="K510" s="9" t="s">
        <v>73</v>
      </c>
    </row>
    <row r="511" ht="15.75" customHeight="1">
      <c r="A511" s="10">
        <v>45076.0</v>
      </c>
      <c r="B511" s="11">
        <v>9.41722355E9</v>
      </c>
      <c r="C511" s="12" t="s">
        <v>528</v>
      </c>
      <c r="D511" s="11">
        <v>3.9698563E7</v>
      </c>
      <c r="E511" s="10">
        <v>45079.0</v>
      </c>
      <c r="F511" s="9" t="s">
        <v>76</v>
      </c>
      <c r="G511" s="13">
        <v>2.0</v>
      </c>
      <c r="H511" s="9" t="s">
        <v>70</v>
      </c>
      <c r="I511" s="9" t="s">
        <v>77</v>
      </c>
      <c r="J511" s="9" t="s">
        <v>93</v>
      </c>
      <c r="K511" s="9" t="s">
        <v>73</v>
      </c>
    </row>
    <row r="512" ht="15.75" customHeight="1">
      <c r="A512" s="10">
        <v>45076.0</v>
      </c>
      <c r="B512" s="11">
        <v>4.912253894E9</v>
      </c>
      <c r="C512" s="12" t="s">
        <v>529</v>
      </c>
      <c r="D512" s="11">
        <v>2.9532257E7</v>
      </c>
      <c r="E512" s="10">
        <v>45079.0</v>
      </c>
      <c r="F512" s="9" t="s">
        <v>76</v>
      </c>
      <c r="G512" s="13">
        <v>1.0</v>
      </c>
      <c r="H512" s="9" t="s">
        <v>70</v>
      </c>
      <c r="I512" s="9" t="s">
        <v>77</v>
      </c>
      <c r="J512" s="9" t="s">
        <v>93</v>
      </c>
      <c r="K512" s="9" t="s">
        <v>73</v>
      </c>
    </row>
    <row r="513" ht="15.75" customHeight="1">
      <c r="A513" s="10">
        <v>45077.0</v>
      </c>
      <c r="B513" s="11">
        <v>7.602838331E9</v>
      </c>
      <c r="C513" s="12" t="s">
        <v>530</v>
      </c>
      <c r="D513" s="11">
        <v>1.4984794E7</v>
      </c>
      <c r="E513" s="10">
        <v>45079.0</v>
      </c>
      <c r="F513" s="9" t="s">
        <v>76</v>
      </c>
      <c r="G513" s="13">
        <v>2.0</v>
      </c>
      <c r="H513" s="9" t="s">
        <v>70</v>
      </c>
      <c r="I513" s="9" t="s">
        <v>77</v>
      </c>
      <c r="J513" s="9" t="s">
        <v>93</v>
      </c>
      <c r="K513" s="9" t="s">
        <v>73</v>
      </c>
    </row>
    <row r="514" ht="15.75" customHeight="1">
      <c r="A514" s="10">
        <v>45077.0</v>
      </c>
      <c r="B514" s="11">
        <v>7.602775526E9</v>
      </c>
      <c r="C514" s="12" t="s">
        <v>531</v>
      </c>
      <c r="D514" s="11">
        <v>2.6446888E7</v>
      </c>
      <c r="E514" s="10">
        <v>45079.0</v>
      </c>
      <c r="F514" s="9" t="s">
        <v>76</v>
      </c>
      <c r="G514" s="13">
        <v>2.0</v>
      </c>
      <c r="H514" s="9" t="s">
        <v>70</v>
      </c>
      <c r="I514" s="9" t="s">
        <v>77</v>
      </c>
      <c r="J514" s="9" t="s">
        <v>93</v>
      </c>
      <c r="K514" s="9" t="s">
        <v>73</v>
      </c>
    </row>
    <row r="515" ht="15.75" customHeight="1">
      <c r="A515" s="10">
        <v>45077.0</v>
      </c>
      <c r="B515" s="11">
        <v>5.988239784E9</v>
      </c>
      <c r="C515" s="12" t="s">
        <v>532</v>
      </c>
      <c r="D515" s="11">
        <v>2.212767E7</v>
      </c>
      <c r="E515" s="10">
        <v>45079.0</v>
      </c>
      <c r="F515" s="9" t="s">
        <v>69</v>
      </c>
      <c r="G515" s="13">
        <v>2.0</v>
      </c>
      <c r="H515" s="9" t="s">
        <v>70</v>
      </c>
      <c r="I515" s="9" t="s">
        <v>88</v>
      </c>
      <c r="J515" s="9" t="s">
        <v>93</v>
      </c>
      <c r="K515" s="9" t="s">
        <v>90</v>
      </c>
    </row>
    <row r="516" ht="15.75" customHeight="1">
      <c r="A516" s="10">
        <v>45079.0</v>
      </c>
      <c r="B516" s="11">
        <v>4.89184241E9</v>
      </c>
      <c r="C516" s="12" t="s">
        <v>533</v>
      </c>
      <c r="D516" s="11">
        <v>4.5335005E7</v>
      </c>
      <c r="E516" s="10">
        <v>45079.0</v>
      </c>
      <c r="F516" s="9" t="s">
        <v>69</v>
      </c>
      <c r="G516" s="13">
        <v>3.0</v>
      </c>
      <c r="H516" s="9" t="s">
        <v>70</v>
      </c>
      <c r="I516" s="9" t="s">
        <v>88</v>
      </c>
      <c r="J516" s="9" t="s">
        <v>93</v>
      </c>
      <c r="K516" s="9" t="s">
        <v>90</v>
      </c>
    </row>
    <row r="517" ht="15.75" customHeight="1">
      <c r="A517" s="10">
        <v>45068.0</v>
      </c>
      <c r="B517" s="11">
        <v>4.115459191E9</v>
      </c>
      <c r="C517" s="12" t="s">
        <v>534</v>
      </c>
      <c r="D517" s="11">
        <v>2.2784354E7</v>
      </c>
      <c r="E517" s="10">
        <v>45082.0</v>
      </c>
      <c r="F517" s="9" t="s">
        <v>69</v>
      </c>
      <c r="G517" s="13">
        <v>3.0</v>
      </c>
      <c r="H517" s="9" t="s">
        <v>70</v>
      </c>
      <c r="I517" s="9" t="s">
        <v>88</v>
      </c>
      <c r="J517" s="9" t="s">
        <v>93</v>
      </c>
      <c r="K517" s="9" t="s">
        <v>90</v>
      </c>
    </row>
    <row r="518" ht="15.75" customHeight="1">
      <c r="A518" s="10">
        <v>45068.0</v>
      </c>
      <c r="B518" s="11">
        <v>2.967555183E9</v>
      </c>
      <c r="C518" s="12" t="s">
        <v>535</v>
      </c>
      <c r="D518" s="11">
        <v>4.2468326E7</v>
      </c>
      <c r="E518" s="10">
        <v>45082.0</v>
      </c>
      <c r="F518" s="9" t="s">
        <v>69</v>
      </c>
      <c r="G518" s="13">
        <v>2.0</v>
      </c>
      <c r="H518" s="9" t="s">
        <v>70</v>
      </c>
      <c r="I518" s="9" t="s">
        <v>88</v>
      </c>
      <c r="J518" s="9" t="s">
        <v>93</v>
      </c>
      <c r="K518" s="9" t="s">
        <v>90</v>
      </c>
    </row>
    <row r="519" ht="15.75" customHeight="1">
      <c r="A519" s="10">
        <v>45076.0</v>
      </c>
      <c r="B519" s="11">
        <v>1.84692256E9</v>
      </c>
      <c r="C519" s="12" t="s">
        <v>536</v>
      </c>
      <c r="D519" s="11">
        <v>4.5416927E7</v>
      </c>
      <c r="E519" s="10">
        <v>45082.0</v>
      </c>
      <c r="F519" s="9" t="s">
        <v>69</v>
      </c>
      <c r="G519" s="13">
        <v>2.0</v>
      </c>
      <c r="H519" s="9" t="s">
        <v>70</v>
      </c>
      <c r="I519" s="9" t="s">
        <v>88</v>
      </c>
      <c r="J519" s="9" t="s">
        <v>93</v>
      </c>
      <c r="K519" s="9" t="s">
        <v>90</v>
      </c>
    </row>
    <row r="520" ht="15.75" customHeight="1">
      <c r="A520" s="10">
        <v>45076.0</v>
      </c>
      <c r="B520" s="11">
        <v>3.683588871E9</v>
      </c>
      <c r="C520" s="12" t="s">
        <v>537</v>
      </c>
      <c r="D520" s="11">
        <v>3.1644114E7</v>
      </c>
      <c r="E520" s="10">
        <v>45082.0</v>
      </c>
      <c r="F520" s="9" t="s">
        <v>69</v>
      </c>
      <c r="G520" s="13">
        <v>2.0</v>
      </c>
      <c r="H520" s="9" t="s">
        <v>70</v>
      </c>
      <c r="I520" s="9" t="s">
        <v>88</v>
      </c>
      <c r="J520" s="9" t="s">
        <v>79</v>
      </c>
      <c r="K520" s="9" t="s">
        <v>90</v>
      </c>
    </row>
    <row r="521" ht="15.75" customHeight="1">
      <c r="A521" s="10">
        <v>45076.0</v>
      </c>
      <c r="B521" s="11">
        <v>7.436917025E9</v>
      </c>
      <c r="C521" s="12" t="s">
        <v>538</v>
      </c>
      <c r="D521" s="11">
        <v>3.316397E7</v>
      </c>
      <c r="E521" s="10">
        <v>45082.0</v>
      </c>
      <c r="F521" s="9" t="s">
        <v>69</v>
      </c>
      <c r="G521" s="13">
        <v>2.0</v>
      </c>
      <c r="H521" s="9" t="s">
        <v>70</v>
      </c>
      <c r="I521" s="9" t="s">
        <v>88</v>
      </c>
      <c r="J521" s="9" t="s">
        <v>79</v>
      </c>
      <c r="K521" s="9" t="s">
        <v>99</v>
      </c>
    </row>
    <row r="522" ht="15.75" customHeight="1">
      <c r="A522" s="10">
        <v>45076.0</v>
      </c>
      <c r="B522" s="11">
        <v>4.535509366E9</v>
      </c>
      <c r="C522" s="12" t="s">
        <v>539</v>
      </c>
      <c r="D522" s="11">
        <v>2.337659E7</v>
      </c>
      <c r="E522" s="10">
        <v>45082.0</v>
      </c>
      <c r="F522" s="9" t="s">
        <v>69</v>
      </c>
      <c r="G522" s="13">
        <v>2.0</v>
      </c>
      <c r="H522" s="9" t="s">
        <v>70</v>
      </c>
      <c r="I522" s="9" t="s">
        <v>88</v>
      </c>
      <c r="J522" s="9" t="s">
        <v>79</v>
      </c>
      <c r="K522" s="9" t="s">
        <v>99</v>
      </c>
    </row>
    <row r="523" ht="15.75" customHeight="1">
      <c r="A523" s="10">
        <v>45077.0</v>
      </c>
      <c r="B523" s="11">
        <v>2.799008892E9</v>
      </c>
      <c r="C523" s="12" t="s">
        <v>540</v>
      </c>
      <c r="D523" s="11">
        <v>4.3037972E7</v>
      </c>
      <c r="E523" s="10">
        <v>45082.0</v>
      </c>
      <c r="F523" s="9" t="s">
        <v>69</v>
      </c>
      <c r="G523" s="13">
        <v>1.0</v>
      </c>
      <c r="H523" s="9" t="s">
        <v>70</v>
      </c>
      <c r="I523" s="9" t="s">
        <v>88</v>
      </c>
      <c r="J523" s="9" t="s">
        <v>79</v>
      </c>
      <c r="K523" s="9" t="s">
        <v>99</v>
      </c>
    </row>
    <row r="524" ht="15.75" customHeight="1">
      <c r="A524" s="10">
        <v>45077.0</v>
      </c>
      <c r="B524" s="11">
        <v>6.227207394E9</v>
      </c>
      <c r="C524" s="12" t="s">
        <v>538</v>
      </c>
      <c r="D524" s="11">
        <v>3.316397E7</v>
      </c>
      <c r="E524" s="10">
        <v>45082.0</v>
      </c>
      <c r="F524" s="9" t="s">
        <v>69</v>
      </c>
      <c r="G524" s="13">
        <v>3.0</v>
      </c>
      <c r="H524" s="9" t="s">
        <v>70</v>
      </c>
      <c r="I524" s="9" t="s">
        <v>88</v>
      </c>
      <c r="J524" s="9" t="s">
        <v>79</v>
      </c>
      <c r="K524" s="9" t="s">
        <v>99</v>
      </c>
    </row>
    <row r="525" ht="15.75" customHeight="1">
      <c r="A525" s="10">
        <v>45079.0</v>
      </c>
      <c r="B525" s="11">
        <v>6.767189822E9</v>
      </c>
      <c r="C525" s="12" t="s">
        <v>541</v>
      </c>
      <c r="D525" s="11">
        <v>3.7658781E7</v>
      </c>
      <c r="E525" s="10">
        <v>45082.0</v>
      </c>
      <c r="F525" s="9" t="s">
        <v>69</v>
      </c>
      <c r="G525" s="13">
        <v>3.0</v>
      </c>
      <c r="H525" s="9" t="s">
        <v>70</v>
      </c>
      <c r="I525" s="9" t="s">
        <v>88</v>
      </c>
      <c r="J525" s="9" t="s">
        <v>83</v>
      </c>
      <c r="K525" s="9" t="s">
        <v>99</v>
      </c>
    </row>
    <row r="526" ht="15.75" customHeight="1">
      <c r="A526" s="10">
        <v>45079.0</v>
      </c>
      <c r="B526" s="11">
        <v>5.400888054E9</v>
      </c>
      <c r="C526" s="12" t="s">
        <v>542</v>
      </c>
      <c r="D526" s="11">
        <v>3.6838549E7</v>
      </c>
      <c r="E526" s="10">
        <v>45082.0</v>
      </c>
      <c r="F526" s="9" t="s">
        <v>69</v>
      </c>
      <c r="G526" s="13">
        <v>2.0</v>
      </c>
      <c r="H526" s="9" t="s">
        <v>70</v>
      </c>
      <c r="I526" s="9" t="s">
        <v>88</v>
      </c>
      <c r="J526" s="9" t="s">
        <v>83</v>
      </c>
      <c r="K526" s="9" t="s">
        <v>217</v>
      </c>
    </row>
    <row r="527" ht="15.75" customHeight="1">
      <c r="A527" s="10">
        <v>45079.0</v>
      </c>
      <c r="B527" s="11">
        <v>5.567258502E9</v>
      </c>
      <c r="C527" s="12" t="s">
        <v>543</v>
      </c>
      <c r="D527" s="11">
        <v>5521246.0</v>
      </c>
      <c r="E527" s="10">
        <v>45082.0</v>
      </c>
      <c r="F527" s="9" t="s">
        <v>69</v>
      </c>
      <c r="G527" s="13">
        <v>1.0</v>
      </c>
      <c r="H527" s="9" t="s">
        <v>70</v>
      </c>
      <c r="I527" s="9" t="s">
        <v>71</v>
      </c>
      <c r="J527" s="9" t="s">
        <v>83</v>
      </c>
      <c r="K527" s="9" t="s">
        <v>217</v>
      </c>
    </row>
    <row r="528" ht="15.75" customHeight="1">
      <c r="A528" s="10">
        <v>45062.0</v>
      </c>
      <c r="B528" s="11">
        <v>8.607911034E9</v>
      </c>
      <c r="C528" s="12" t="s">
        <v>544</v>
      </c>
      <c r="D528" s="11">
        <v>3.6866949E7</v>
      </c>
      <c r="E528" s="10">
        <v>45083.0</v>
      </c>
      <c r="F528" s="9" t="s">
        <v>69</v>
      </c>
      <c r="G528" s="13">
        <v>3.0</v>
      </c>
      <c r="H528" s="9" t="s">
        <v>81</v>
      </c>
      <c r="I528" s="9" t="s">
        <v>71</v>
      </c>
      <c r="J528" s="9" t="s">
        <v>83</v>
      </c>
      <c r="K528" s="9" t="s">
        <v>217</v>
      </c>
    </row>
    <row r="529" ht="15.75" customHeight="1">
      <c r="A529" s="10">
        <v>45077.0</v>
      </c>
      <c r="B529" s="11">
        <v>5.271083893E9</v>
      </c>
      <c r="C529" s="12" t="s">
        <v>545</v>
      </c>
      <c r="D529" s="11">
        <v>1.8034554E7</v>
      </c>
      <c r="E529" s="10">
        <v>45083.0</v>
      </c>
      <c r="F529" s="9" t="s">
        <v>69</v>
      </c>
      <c r="G529" s="13">
        <v>1.0</v>
      </c>
      <c r="H529" s="9" t="s">
        <v>81</v>
      </c>
      <c r="I529" s="9" t="s">
        <v>71</v>
      </c>
      <c r="J529" s="9" t="s">
        <v>83</v>
      </c>
      <c r="K529" s="9" t="s">
        <v>217</v>
      </c>
    </row>
    <row r="530" ht="15.75" customHeight="1">
      <c r="A530" s="10">
        <v>45077.0</v>
      </c>
      <c r="B530" s="11">
        <v>7.602842026E9</v>
      </c>
      <c r="C530" s="12" t="s">
        <v>546</v>
      </c>
      <c r="D530" s="11">
        <v>2.2070345E7</v>
      </c>
      <c r="E530" s="10">
        <v>45083.0</v>
      </c>
      <c r="F530" s="9" t="s">
        <v>69</v>
      </c>
      <c r="G530" s="13">
        <v>1.0</v>
      </c>
      <c r="H530" s="9" t="s">
        <v>81</v>
      </c>
      <c r="I530" s="9" t="s">
        <v>71</v>
      </c>
      <c r="J530" s="9" t="s">
        <v>83</v>
      </c>
      <c r="K530" s="9" t="s">
        <v>217</v>
      </c>
    </row>
    <row r="531" ht="15.75" customHeight="1">
      <c r="A531" s="10">
        <v>45083.0</v>
      </c>
      <c r="B531" s="11">
        <v>7.214092594E9</v>
      </c>
      <c r="C531" s="12" t="s">
        <v>547</v>
      </c>
      <c r="D531" s="11">
        <v>2.644709E7</v>
      </c>
      <c r="E531" s="10">
        <v>45083.0</v>
      </c>
      <c r="F531" s="9" t="s">
        <v>69</v>
      </c>
      <c r="G531" s="13">
        <v>2.0</v>
      </c>
      <c r="H531" s="9" t="s">
        <v>81</v>
      </c>
      <c r="I531" s="9" t="s">
        <v>71</v>
      </c>
      <c r="J531" s="9" t="s">
        <v>83</v>
      </c>
      <c r="K531" s="9" t="s">
        <v>217</v>
      </c>
    </row>
    <row r="532" ht="15.75" customHeight="1">
      <c r="A532" s="10">
        <v>45083.0</v>
      </c>
      <c r="B532" s="11">
        <v>2.483169135E9</v>
      </c>
      <c r="C532" s="12" t="s">
        <v>548</v>
      </c>
      <c r="D532" s="11">
        <v>3.7725853E7</v>
      </c>
      <c r="E532" s="10">
        <v>45083.0</v>
      </c>
      <c r="F532" s="9" t="s">
        <v>69</v>
      </c>
      <c r="G532" s="13">
        <v>2.0</v>
      </c>
      <c r="H532" s="9" t="s">
        <v>106</v>
      </c>
      <c r="I532" s="9" t="s">
        <v>71</v>
      </c>
      <c r="J532" s="9" t="s">
        <v>83</v>
      </c>
      <c r="K532" s="9" t="s">
        <v>99</v>
      </c>
    </row>
    <row r="533" ht="15.75" customHeight="1">
      <c r="A533" s="10">
        <v>45083.0</v>
      </c>
      <c r="B533" s="11">
        <v>3.322882485E9</v>
      </c>
      <c r="C533" s="12" t="s">
        <v>549</v>
      </c>
      <c r="D533" s="11">
        <v>3.9481279E7</v>
      </c>
      <c r="E533" s="10">
        <v>45083.0</v>
      </c>
      <c r="F533" s="9" t="s">
        <v>69</v>
      </c>
      <c r="G533" s="13">
        <v>3.0</v>
      </c>
      <c r="H533" s="9" t="s">
        <v>106</v>
      </c>
      <c r="I533" s="9" t="s">
        <v>71</v>
      </c>
      <c r="J533" s="9" t="s">
        <v>98</v>
      </c>
      <c r="K533" s="9" t="s">
        <v>99</v>
      </c>
    </row>
    <row r="534" ht="15.75" customHeight="1">
      <c r="A534" s="10">
        <v>45079.0</v>
      </c>
      <c r="B534" s="11">
        <v>9.787795264E9</v>
      </c>
      <c r="C534" s="12" t="s">
        <v>550</v>
      </c>
      <c r="D534" s="11">
        <v>2.2073509E7</v>
      </c>
      <c r="E534" s="10">
        <v>45084.0</v>
      </c>
      <c r="F534" s="9" t="s">
        <v>69</v>
      </c>
      <c r="G534" s="13">
        <v>3.0</v>
      </c>
      <c r="H534" s="9" t="s">
        <v>106</v>
      </c>
      <c r="I534" s="9" t="s">
        <v>71</v>
      </c>
      <c r="J534" s="9" t="s">
        <v>98</v>
      </c>
      <c r="K534" s="9" t="s">
        <v>99</v>
      </c>
    </row>
    <row r="535" ht="15.75" customHeight="1">
      <c r="A535" s="10">
        <v>45079.0</v>
      </c>
      <c r="B535" s="11">
        <v>5.753278226E9</v>
      </c>
      <c r="C535" s="12" t="s">
        <v>551</v>
      </c>
      <c r="D535" s="11">
        <v>1.3847543E7</v>
      </c>
      <c r="E535" s="10">
        <v>45084.0</v>
      </c>
      <c r="F535" s="9" t="s">
        <v>69</v>
      </c>
      <c r="G535" s="13">
        <v>5.0</v>
      </c>
      <c r="H535" s="9" t="s">
        <v>106</v>
      </c>
      <c r="I535" s="9" t="s">
        <v>71</v>
      </c>
      <c r="J535" s="9" t="s">
        <v>98</v>
      </c>
      <c r="K535" s="9" t="s">
        <v>99</v>
      </c>
    </row>
    <row r="536" ht="15.75" customHeight="1">
      <c r="A536" s="10">
        <v>45079.0</v>
      </c>
      <c r="B536" s="11">
        <v>2.186366663E9</v>
      </c>
      <c r="C536" s="12" t="s">
        <v>552</v>
      </c>
      <c r="D536" s="11">
        <v>1.422671E7</v>
      </c>
      <c r="E536" s="10">
        <v>45084.0</v>
      </c>
      <c r="F536" s="9" t="s">
        <v>69</v>
      </c>
      <c r="G536" s="13">
        <v>2.0</v>
      </c>
      <c r="H536" s="9" t="s">
        <v>106</v>
      </c>
      <c r="I536" s="9" t="s">
        <v>71</v>
      </c>
      <c r="J536" s="9" t="s">
        <v>98</v>
      </c>
      <c r="K536" s="9" t="s">
        <v>99</v>
      </c>
    </row>
    <row r="537" ht="15.75" customHeight="1">
      <c r="A537" s="10">
        <v>45083.0</v>
      </c>
      <c r="B537" s="11">
        <v>2.563332321E9</v>
      </c>
      <c r="C537" s="12" t="s">
        <v>553</v>
      </c>
      <c r="D537" s="11">
        <v>3.5921818E7</v>
      </c>
      <c r="E537" s="10">
        <v>45084.0</v>
      </c>
      <c r="F537" s="9" t="s">
        <v>76</v>
      </c>
      <c r="G537" s="13">
        <v>6.0</v>
      </c>
      <c r="H537" s="9" t="s">
        <v>112</v>
      </c>
      <c r="I537" s="9" t="s">
        <v>71</v>
      </c>
      <c r="J537" s="9" t="s">
        <v>98</v>
      </c>
      <c r="K537" s="9" t="s">
        <v>99</v>
      </c>
    </row>
    <row r="538" ht="15.75" customHeight="1">
      <c r="A538" s="10">
        <v>45083.0</v>
      </c>
      <c r="B538" s="11">
        <v>2.651037115E9</v>
      </c>
      <c r="C538" s="12" t="s">
        <v>554</v>
      </c>
      <c r="D538" s="11">
        <v>2.6534906E7</v>
      </c>
      <c r="E538" s="10">
        <v>45084.0</v>
      </c>
      <c r="F538" s="9" t="s">
        <v>76</v>
      </c>
      <c r="G538" s="13">
        <v>6.0</v>
      </c>
      <c r="H538" s="9" t="s">
        <v>112</v>
      </c>
      <c r="I538" s="9" t="s">
        <v>71</v>
      </c>
      <c r="J538" s="9" t="s">
        <v>98</v>
      </c>
      <c r="K538" s="9" t="s">
        <v>99</v>
      </c>
    </row>
    <row r="539" ht="15.75" customHeight="1">
      <c r="A539" s="10">
        <v>45083.0</v>
      </c>
      <c r="B539" s="11">
        <v>6.180658853E9</v>
      </c>
      <c r="C539" s="12" t="s">
        <v>555</v>
      </c>
      <c r="D539" s="11">
        <v>4.1446172E7</v>
      </c>
      <c r="E539" s="10">
        <v>45084.0</v>
      </c>
      <c r="F539" s="9" t="s">
        <v>69</v>
      </c>
      <c r="G539" s="13">
        <v>1.0</v>
      </c>
      <c r="H539" s="9" t="s">
        <v>112</v>
      </c>
      <c r="I539" s="9" t="s">
        <v>71</v>
      </c>
      <c r="J539" s="9" t="s">
        <v>98</v>
      </c>
      <c r="K539" s="9" t="s">
        <v>99</v>
      </c>
    </row>
    <row r="540" ht="15.75" customHeight="1">
      <c r="A540" s="10">
        <v>45083.0</v>
      </c>
      <c r="B540" s="11">
        <v>9.108303175E9</v>
      </c>
      <c r="C540" s="12" t="s">
        <v>556</v>
      </c>
      <c r="D540" s="11">
        <v>3.8755162E7</v>
      </c>
      <c r="E540" s="10">
        <v>45084.0</v>
      </c>
      <c r="F540" s="9" t="s">
        <v>69</v>
      </c>
      <c r="G540" s="13">
        <v>1.0</v>
      </c>
      <c r="H540" s="9" t="s">
        <v>112</v>
      </c>
      <c r="I540" s="9" t="s">
        <v>71</v>
      </c>
      <c r="J540" s="9" t="s">
        <v>98</v>
      </c>
      <c r="K540" s="9" t="s">
        <v>84</v>
      </c>
    </row>
    <row r="541" ht="15.75" customHeight="1">
      <c r="A541" s="10">
        <v>45083.0</v>
      </c>
      <c r="B541" s="11">
        <v>4.148398914E9</v>
      </c>
      <c r="C541" s="12" t="s">
        <v>557</v>
      </c>
      <c r="D541" s="11">
        <v>3.4604914E7</v>
      </c>
      <c r="E541" s="10">
        <v>45084.0</v>
      </c>
      <c r="F541" s="9" t="s">
        <v>76</v>
      </c>
      <c r="G541" s="13">
        <v>1.0</v>
      </c>
      <c r="H541" s="9" t="s">
        <v>112</v>
      </c>
      <c r="I541" s="9" t="s">
        <v>77</v>
      </c>
      <c r="J541" s="9" t="s">
        <v>98</v>
      </c>
      <c r="K541" s="9" t="s">
        <v>84</v>
      </c>
    </row>
    <row r="542" ht="15.75" customHeight="1">
      <c r="A542" s="10">
        <v>45083.0</v>
      </c>
      <c r="B542" s="11">
        <v>9.108300784E9</v>
      </c>
      <c r="C542" s="12" t="s">
        <v>558</v>
      </c>
      <c r="D542" s="11">
        <v>3.9977103E7</v>
      </c>
      <c r="E542" s="10">
        <v>45084.0</v>
      </c>
      <c r="F542" s="9" t="s">
        <v>69</v>
      </c>
      <c r="G542" s="13">
        <v>1.0</v>
      </c>
      <c r="H542" s="9" t="s">
        <v>112</v>
      </c>
      <c r="I542" s="9" t="s">
        <v>77</v>
      </c>
      <c r="J542" s="9" t="s">
        <v>98</v>
      </c>
      <c r="K542" s="9" t="s">
        <v>84</v>
      </c>
    </row>
    <row r="543" ht="15.75" customHeight="1">
      <c r="A543" s="10">
        <v>45083.0</v>
      </c>
      <c r="B543" s="11">
        <v>2.651086126E9</v>
      </c>
      <c r="C543" s="12" t="s">
        <v>559</v>
      </c>
      <c r="D543" s="11">
        <v>4.1375545E7</v>
      </c>
      <c r="E543" s="10">
        <v>45084.0</v>
      </c>
      <c r="F543" s="9" t="s">
        <v>69</v>
      </c>
      <c r="G543" s="13">
        <v>1.0</v>
      </c>
      <c r="H543" s="9" t="s">
        <v>112</v>
      </c>
      <c r="I543" s="9" t="s">
        <v>77</v>
      </c>
      <c r="J543" s="9" t="s">
        <v>98</v>
      </c>
      <c r="K543" s="9" t="s">
        <v>84</v>
      </c>
    </row>
    <row r="544" ht="15.75" customHeight="1">
      <c r="A544" s="10">
        <v>45083.0</v>
      </c>
      <c r="B544" s="11">
        <v>5.105286546E9</v>
      </c>
      <c r="C544" s="12" t="s">
        <v>552</v>
      </c>
      <c r="D544" s="11">
        <v>1.422671E7</v>
      </c>
      <c r="E544" s="10">
        <v>45084.0</v>
      </c>
      <c r="F544" s="9" t="s">
        <v>76</v>
      </c>
      <c r="G544" s="13">
        <v>1.0</v>
      </c>
      <c r="H544" s="9" t="s">
        <v>112</v>
      </c>
      <c r="I544" s="9" t="s">
        <v>77</v>
      </c>
      <c r="J544" s="9" t="s">
        <v>93</v>
      </c>
      <c r="K544" s="9" t="s">
        <v>84</v>
      </c>
    </row>
    <row r="545" ht="15.75" customHeight="1">
      <c r="A545" s="10">
        <v>45083.0</v>
      </c>
      <c r="B545" s="11">
        <v>6.180727173E9</v>
      </c>
      <c r="C545" s="12" t="s">
        <v>560</v>
      </c>
      <c r="D545" s="11">
        <v>2.5212399E7</v>
      </c>
      <c r="E545" s="10">
        <v>45084.0</v>
      </c>
      <c r="F545" s="9" t="s">
        <v>69</v>
      </c>
      <c r="G545" s="13">
        <v>1.0</v>
      </c>
      <c r="H545" s="9" t="s">
        <v>116</v>
      </c>
      <c r="I545" s="9" t="s">
        <v>77</v>
      </c>
      <c r="J545" s="9" t="s">
        <v>93</v>
      </c>
      <c r="K545" s="9" t="s">
        <v>84</v>
      </c>
    </row>
    <row r="546" ht="15.75" customHeight="1">
      <c r="A546" s="10">
        <v>45083.0</v>
      </c>
      <c r="B546" s="11">
        <v>2.62077235E9</v>
      </c>
      <c r="C546" s="12" t="s">
        <v>561</v>
      </c>
      <c r="D546" s="11">
        <v>4.8956764E7</v>
      </c>
      <c r="E546" s="10">
        <v>45085.0</v>
      </c>
      <c r="F546" s="9" t="s">
        <v>76</v>
      </c>
      <c r="G546" s="13">
        <v>1.0</v>
      </c>
      <c r="H546" s="9" t="s">
        <v>116</v>
      </c>
      <c r="I546" s="9" t="s">
        <v>77</v>
      </c>
      <c r="J546" s="9" t="s">
        <v>93</v>
      </c>
      <c r="K546" s="9" t="s">
        <v>84</v>
      </c>
    </row>
    <row r="547" ht="15.75" customHeight="1">
      <c r="A547" s="10">
        <v>45083.0</v>
      </c>
      <c r="B547" s="11">
        <v>5.553938574E9</v>
      </c>
      <c r="C547" s="12" t="s">
        <v>562</v>
      </c>
      <c r="D547" s="11">
        <v>3.7191919E7</v>
      </c>
      <c r="E547" s="10">
        <v>45085.0</v>
      </c>
      <c r="F547" s="9" t="s">
        <v>76</v>
      </c>
      <c r="G547" s="13">
        <v>1.0</v>
      </c>
      <c r="H547" s="9" t="s">
        <v>116</v>
      </c>
      <c r="I547" s="9" t="s">
        <v>77</v>
      </c>
      <c r="J547" s="9" t="s">
        <v>93</v>
      </c>
      <c r="K547" s="9" t="s">
        <v>84</v>
      </c>
    </row>
    <row r="548" ht="15.75" customHeight="1">
      <c r="A548" s="10">
        <v>45076.0</v>
      </c>
      <c r="B548" s="11">
        <v>8.746431396E9</v>
      </c>
      <c r="C548" s="12" t="s">
        <v>563</v>
      </c>
      <c r="D548" s="11">
        <v>2.64086E7</v>
      </c>
      <c r="E548" s="10">
        <v>45086.0</v>
      </c>
      <c r="F548" s="9" t="s">
        <v>76</v>
      </c>
      <c r="G548" s="13">
        <v>1.0</v>
      </c>
      <c r="H548" s="9" t="s">
        <v>116</v>
      </c>
      <c r="I548" s="9" t="s">
        <v>77</v>
      </c>
      <c r="J548" s="9" t="s">
        <v>93</v>
      </c>
      <c r="K548" s="9" t="s">
        <v>84</v>
      </c>
    </row>
    <row r="549" ht="15.75" customHeight="1">
      <c r="A549" s="10">
        <v>45079.0</v>
      </c>
      <c r="B549" s="11">
        <v>7.076711106E9</v>
      </c>
      <c r="C549" s="12" t="s">
        <v>564</v>
      </c>
      <c r="D549" s="11">
        <v>1.3627896E7</v>
      </c>
      <c r="E549" s="10">
        <v>45086.0</v>
      </c>
      <c r="F549" s="9" t="s">
        <v>76</v>
      </c>
      <c r="G549" s="13">
        <v>3.0</v>
      </c>
      <c r="H549" s="9" t="s">
        <v>116</v>
      </c>
      <c r="I549" s="9" t="s">
        <v>77</v>
      </c>
      <c r="J549" s="9" t="s">
        <v>318</v>
      </c>
      <c r="K549" s="9" t="s">
        <v>84</v>
      </c>
    </row>
    <row r="550" ht="15.75" customHeight="1">
      <c r="A550" s="10">
        <v>45083.0</v>
      </c>
      <c r="B550" s="11">
        <v>9.612034891E9</v>
      </c>
      <c r="C550" s="12" t="s">
        <v>565</v>
      </c>
      <c r="D550" s="11"/>
      <c r="E550" s="10">
        <v>45086.0</v>
      </c>
      <c r="F550" s="9" t="s">
        <v>76</v>
      </c>
      <c r="G550" s="13">
        <v>3.0</v>
      </c>
      <c r="H550" s="9" t="s">
        <v>116</v>
      </c>
      <c r="I550" s="9" t="s">
        <v>77</v>
      </c>
      <c r="J550" s="9" t="s">
        <v>318</v>
      </c>
      <c r="K550" s="9" t="s">
        <v>84</v>
      </c>
    </row>
    <row r="551" ht="15.75" customHeight="1">
      <c r="A551" s="10">
        <v>45083.0</v>
      </c>
      <c r="B551" s="11">
        <v>2.6207426E9</v>
      </c>
      <c r="C551" s="12" t="s">
        <v>566</v>
      </c>
      <c r="D551" s="11">
        <v>3.8023965E7</v>
      </c>
      <c r="E551" s="10">
        <v>45086.0</v>
      </c>
      <c r="F551" s="9" t="s">
        <v>69</v>
      </c>
      <c r="G551" s="13">
        <v>2.0</v>
      </c>
      <c r="H551" s="9" t="s">
        <v>116</v>
      </c>
      <c r="I551" s="9" t="s">
        <v>77</v>
      </c>
      <c r="J551" s="9" t="s">
        <v>318</v>
      </c>
      <c r="K551" s="9" t="s">
        <v>84</v>
      </c>
    </row>
    <row r="552" ht="15.75" customHeight="1">
      <c r="A552" s="10">
        <v>45085.0</v>
      </c>
      <c r="B552" s="11">
        <v>6.529729404E9</v>
      </c>
      <c r="C552" s="12" t="s">
        <v>567</v>
      </c>
      <c r="D552" s="11">
        <v>5293219.0</v>
      </c>
      <c r="E552" s="10">
        <v>45086.0</v>
      </c>
      <c r="F552" s="9" t="s">
        <v>69</v>
      </c>
      <c r="G552" s="13">
        <v>1.0</v>
      </c>
      <c r="H552" s="9" t="s">
        <v>116</v>
      </c>
      <c r="I552" s="9" t="s">
        <v>77</v>
      </c>
      <c r="J552" s="9" t="s">
        <v>318</v>
      </c>
      <c r="K552" s="9" t="s">
        <v>84</v>
      </c>
    </row>
    <row r="553" ht="15.75" customHeight="1">
      <c r="A553" s="10">
        <v>45085.0</v>
      </c>
      <c r="B553" s="11">
        <v>2.803050121E9</v>
      </c>
      <c r="C553" s="12" t="s">
        <v>568</v>
      </c>
      <c r="D553" s="11">
        <v>3.694293E7</v>
      </c>
      <c r="E553" s="10">
        <v>45086.0</v>
      </c>
      <c r="F553" s="9" t="s">
        <v>69</v>
      </c>
      <c r="G553" s="13">
        <v>1.0</v>
      </c>
      <c r="H553" s="9" t="s">
        <v>116</v>
      </c>
      <c r="I553" s="9" t="s">
        <v>77</v>
      </c>
      <c r="J553" s="9" t="s">
        <v>318</v>
      </c>
      <c r="K553" s="9" t="s">
        <v>84</v>
      </c>
    </row>
    <row r="554" ht="15.75" customHeight="1">
      <c r="A554" s="10">
        <v>45085.0</v>
      </c>
      <c r="B554" s="11">
        <v>4.731836034E9</v>
      </c>
      <c r="C554" s="12" t="s">
        <v>569</v>
      </c>
      <c r="D554" s="11">
        <v>3.5142246E7</v>
      </c>
      <c r="E554" s="10">
        <v>45086.0</v>
      </c>
      <c r="F554" s="9" t="s">
        <v>69</v>
      </c>
      <c r="G554" s="13">
        <v>1.0</v>
      </c>
      <c r="H554" s="9" t="s">
        <v>116</v>
      </c>
      <c r="I554" s="9" t="s">
        <v>88</v>
      </c>
      <c r="J554" s="9" t="s">
        <v>318</v>
      </c>
      <c r="K554" s="9" t="s">
        <v>84</v>
      </c>
    </row>
    <row r="555" ht="15.75" customHeight="1">
      <c r="A555" s="10">
        <v>45085.0</v>
      </c>
      <c r="B555" s="11">
        <v>4.493968356E9</v>
      </c>
      <c r="C555" s="12" t="s">
        <v>570</v>
      </c>
      <c r="D555" s="11">
        <v>1.1928608E7</v>
      </c>
      <c r="E555" s="10">
        <v>45086.0</v>
      </c>
      <c r="F555" s="9" t="s">
        <v>76</v>
      </c>
      <c r="G555" s="13">
        <v>3.0</v>
      </c>
      <c r="H555" s="9" t="s">
        <v>116</v>
      </c>
      <c r="I555" s="9" t="s">
        <v>88</v>
      </c>
      <c r="J555" s="9" t="s">
        <v>318</v>
      </c>
      <c r="K555" s="9" t="s">
        <v>73</v>
      </c>
    </row>
    <row r="556" ht="15.75" customHeight="1">
      <c r="A556" s="10">
        <v>45085.0</v>
      </c>
      <c r="B556" s="11">
        <v>9.295785214E9</v>
      </c>
      <c r="C556" s="12" t="s">
        <v>571</v>
      </c>
      <c r="D556" s="11">
        <v>1.3847371E7</v>
      </c>
      <c r="E556" s="10">
        <v>45086.0</v>
      </c>
      <c r="F556" s="9" t="s">
        <v>76</v>
      </c>
      <c r="G556" s="13">
        <v>3.0</v>
      </c>
      <c r="H556" s="9" t="s">
        <v>116</v>
      </c>
      <c r="I556" s="9" t="s">
        <v>88</v>
      </c>
      <c r="J556" s="9" t="s">
        <v>318</v>
      </c>
      <c r="K556" s="9" t="s">
        <v>73</v>
      </c>
    </row>
    <row r="557" ht="15.75" customHeight="1">
      <c r="A557" s="10">
        <v>45085.0</v>
      </c>
      <c r="B557" s="11">
        <v>6.529752935E9</v>
      </c>
      <c r="C557" s="12" t="s">
        <v>572</v>
      </c>
      <c r="D557" s="11">
        <v>3.211562E7</v>
      </c>
      <c r="E557" s="10">
        <v>45086.0</v>
      </c>
      <c r="F557" s="9" t="s">
        <v>76</v>
      </c>
      <c r="G557" s="13">
        <v>3.0</v>
      </c>
      <c r="H557" s="9" t="s">
        <v>116</v>
      </c>
      <c r="I557" s="9" t="s">
        <v>88</v>
      </c>
      <c r="J557" s="9" t="s">
        <v>318</v>
      </c>
      <c r="K557" s="9" t="s">
        <v>73</v>
      </c>
    </row>
    <row r="558" ht="15.75" customHeight="1">
      <c r="A558" s="10">
        <v>45085.0</v>
      </c>
      <c r="B558" s="11">
        <v>1.89414127E9</v>
      </c>
      <c r="C558" s="12" t="s">
        <v>573</v>
      </c>
      <c r="D558" s="11">
        <v>3.384437E7</v>
      </c>
      <c r="E558" s="10">
        <v>45086.0</v>
      </c>
      <c r="F558" s="9" t="s">
        <v>76</v>
      </c>
      <c r="G558" s="13">
        <v>1.0</v>
      </c>
      <c r="H558" s="9" t="s">
        <v>116</v>
      </c>
      <c r="I558" s="9" t="s">
        <v>88</v>
      </c>
      <c r="J558" s="9" t="s">
        <v>318</v>
      </c>
      <c r="K558" s="9" t="s">
        <v>73</v>
      </c>
    </row>
    <row r="559" ht="15.75" customHeight="1">
      <c r="A559" s="10">
        <v>45085.0</v>
      </c>
      <c r="B559" s="11">
        <v>2.040190401E9</v>
      </c>
      <c r="C559" s="12" t="s">
        <v>574</v>
      </c>
      <c r="D559" s="11">
        <v>1.4984616E7</v>
      </c>
      <c r="E559" s="10">
        <v>45086.0</v>
      </c>
      <c r="F559" s="9" t="s">
        <v>69</v>
      </c>
      <c r="G559" s="13">
        <v>1.0</v>
      </c>
      <c r="H559" s="9" t="s">
        <v>116</v>
      </c>
      <c r="I559" s="9" t="s">
        <v>88</v>
      </c>
      <c r="J559" s="9" t="s">
        <v>72</v>
      </c>
      <c r="K559" s="9" t="s">
        <v>73</v>
      </c>
    </row>
    <row r="560" ht="15.75" customHeight="1">
      <c r="A560" s="10">
        <v>45069.0</v>
      </c>
      <c r="B560" s="11">
        <v>1.076029835E9</v>
      </c>
      <c r="C560" s="12" t="s">
        <v>575</v>
      </c>
      <c r="D560" s="11">
        <v>4.2936011E7</v>
      </c>
      <c r="E560" s="10">
        <v>45089.0</v>
      </c>
      <c r="F560" s="9" t="s">
        <v>76</v>
      </c>
      <c r="G560" s="13">
        <v>3.0</v>
      </c>
      <c r="H560" s="9" t="s">
        <v>116</v>
      </c>
      <c r="I560" s="9" t="s">
        <v>88</v>
      </c>
      <c r="J560" s="9" t="s">
        <v>72</v>
      </c>
      <c r="K560" s="9" t="s">
        <v>73</v>
      </c>
    </row>
    <row r="561" ht="15.75" customHeight="1">
      <c r="A561" s="10">
        <v>45076.0</v>
      </c>
      <c r="B561" s="11">
        <v>3.038001945E9</v>
      </c>
      <c r="C561" s="12" t="s">
        <v>576</v>
      </c>
      <c r="D561" s="11">
        <v>2.0159346E7</v>
      </c>
      <c r="E561" s="10">
        <v>45089.0</v>
      </c>
      <c r="F561" s="9" t="s">
        <v>76</v>
      </c>
      <c r="G561" s="13">
        <v>3.0</v>
      </c>
      <c r="H561" s="9" t="s">
        <v>116</v>
      </c>
      <c r="I561" s="9" t="s">
        <v>88</v>
      </c>
      <c r="J561" s="9" t="s">
        <v>72</v>
      </c>
      <c r="K561" s="9" t="s">
        <v>73</v>
      </c>
    </row>
    <row r="562" ht="15.75" customHeight="1">
      <c r="A562" s="10">
        <v>45076.0</v>
      </c>
      <c r="B562" s="11">
        <v>1.033919121E9</v>
      </c>
      <c r="C562" s="12" t="s">
        <v>577</v>
      </c>
      <c r="D562" s="11">
        <v>3.9357573E7</v>
      </c>
      <c r="E562" s="10">
        <v>45089.0</v>
      </c>
      <c r="F562" s="9" t="s">
        <v>76</v>
      </c>
      <c r="G562" s="13">
        <v>1.0</v>
      </c>
      <c r="H562" s="9" t="s">
        <v>116</v>
      </c>
      <c r="I562" s="9" t="s">
        <v>88</v>
      </c>
      <c r="J562" s="9" t="s">
        <v>72</v>
      </c>
      <c r="K562" s="9" t="s">
        <v>73</v>
      </c>
    </row>
    <row r="563" ht="15.75" customHeight="1">
      <c r="A563" s="10">
        <v>45077.0</v>
      </c>
      <c r="B563" s="11">
        <v>6.904426056E9</v>
      </c>
      <c r="C563" s="12" t="s">
        <v>576</v>
      </c>
      <c r="D563" s="11">
        <v>2.0159346E7</v>
      </c>
      <c r="E563" s="10">
        <v>45089.0</v>
      </c>
      <c r="F563" s="9" t="s">
        <v>69</v>
      </c>
      <c r="G563" s="13">
        <v>3.0</v>
      </c>
      <c r="H563" s="9" t="s">
        <v>81</v>
      </c>
      <c r="I563" s="9" t="s">
        <v>88</v>
      </c>
      <c r="J563" s="9" t="s">
        <v>72</v>
      </c>
      <c r="K563" s="9" t="s">
        <v>73</v>
      </c>
    </row>
    <row r="564" ht="15.75" customHeight="1">
      <c r="A564" s="10">
        <v>45077.0</v>
      </c>
      <c r="B564" s="11">
        <v>6.007493435E9</v>
      </c>
      <c r="C564" s="12" t="s">
        <v>578</v>
      </c>
      <c r="D564" s="11">
        <v>4.0783214E7</v>
      </c>
      <c r="E564" s="10">
        <v>45089.0</v>
      </c>
      <c r="F564" s="9" t="s">
        <v>76</v>
      </c>
      <c r="G564" s="13">
        <v>2.0</v>
      </c>
      <c r="H564" s="9" t="s">
        <v>81</v>
      </c>
      <c r="I564" s="9" t="s">
        <v>88</v>
      </c>
      <c r="J564" s="9" t="s">
        <v>72</v>
      </c>
      <c r="K564" s="9" t="s">
        <v>73</v>
      </c>
    </row>
    <row r="565" ht="15.75" customHeight="1">
      <c r="A565" s="10">
        <v>45079.0</v>
      </c>
      <c r="B565" s="11">
        <v>7.459882544E9</v>
      </c>
      <c r="C565" s="12" t="s">
        <v>578</v>
      </c>
      <c r="D565" s="11">
        <v>4.0783214E7</v>
      </c>
      <c r="E565" s="10">
        <v>45089.0</v>
      </c>
      <c r="F565" s="9" t="s">
        <v>69</v>
      </c>
      <c r="G565" s="13">
        <v>1.0</v>
      </c>
      <c r="H565" s="9" t="s">
        <v>81</v>
      </c>
      <c r="I565" s="9" t="s">
        <v>77</v>
      </c>
      <c r="J565" s="9" t="s">
        <v>83</v>
      </c>
      <c r="K565" s="9" t="s">
        <v>73</v>
      </c>
    </row>
    <row r="566" ht="15.75" customHeight="1">
      <c r="A566" s="10">
        <v>45083.0</v>
      </c>
      <c r="B566" s="11">
        <v>1.37126983E9</v>
      </c>
      <c r="C566" s="12" t="s">
        <v>579</v>
      </c>
      <c r="D566" s="11">
        <v>5997599.0</v>
      </c>
      <c r="E566" s="10">
        <v>45089.0</v>
      </c>
      <c r="F566" s="9" t="s">
        <v>76</v>
      </c>
      <c r="G566" s="13">
        <v>2.0</v>
      </c>
      <c r="H566" s="9" t="s">
        <v>81</v>
      </c>
      <c r="I566" s="9" t="s">
        <v>77</v>
      </c>
      <c r="J566" s="9" t="s">
        <v>83</v>
      </c>
      <c r="K566" s="9" t="s">
        <v>107</v>
      </c>
    </row>
    <row r="567" ht="15.75" customHeight="1">
      <c r="A567" s="10">
        <v>45085.0</v>
      </c>
      <c r="B567" s="11">
        <v>6.529752692E9</v>
      </c>
      <c r="C567" s="12" t="s">
        <v>580</v>
      </c>
      <c r="D567" s="11">
        <v>2.7651107E7</v>
      </c>
      <c r="E567" s="10">
        <v>45089.0</v>
      </c>
      <c r="F567" s="9" t="s">
        <v>76</v>
      </c>
      <c r="G567" s="13">
        <v>2.0</v>
      </c>
      <c r="H567" s="9" t="s">
        <v>81</v>
      </c>
      <c r="I567" s="9" t="s">
        <v>77</v>
      </c>
      <c r="J567" s="9" t="s">
        <v>83</v>
      </c>
      <c r="K567" s="9" t="s">
        <v>107</v>
      </c>
    </row>
    <row r="568" ht="15.75" customHeight="1">
      <c r="A568" s="10">
        <v>45085.0</v>
      </c>
      <c r="B568" s="11">
        <v>5.23217695E9</v>
      </c>
      <c r="C568" s="12" t="s">
        <v>581</v>
      </c>
      <c r="D568" s="11">
        <v>4.1818191E7</v>
      </c>
      <c r="E568" s="10">
        <v>45089.0</v>
      </c>
      <c r="F568" s="9" t="s">
        <v>69</v>
      </c>
      <c r="G568" s="13">
        <v>5.0</v>
      </c>
      <c r="H568" s="9" t="s">
        <v>81</v>
      </c>
      <c r="I568" s="9" t="s">
        <v>77</v>
      </c>
      <c r="J568" s="9" t="s">
        <v>83</v>
      </c>
      <c r="K568" s="9" t="s">
        <v>107</v>
      </c>
    </row>
    <row r="569" ht="15.75" customHeight="1">
      <c r="A569" s="10">
        <v>45085.0</v>
      </c>
      <c r="B569" s="11">
        <v>6.328446386E9</v>
      </c>
      <c r="C569" s="12" t="s">
        <v>582</v>
      </c>
      <c r="D569" s="11">
        <v>2.4409066E7</v>
      </c>
      <c r="E569" s="10">
        <v>45089.0</v>
      </c>
      <c r="F569" s="9" t="s">
        <v>69</v>
      </c>
      <c r="G569" s="13">
        <v>5.0</v>
      </c>
      <c r="H569" s="9" t="s">
        <v>81</v>
      </c>
      <c r="I569" s="9" t="s">
        <v>77</v>
      </c>
      <c r="J569" s="9" t="s">
        <v>79</v>
      </c>
      <c r="K569" s="9" t="s">
        <v>107</v>
      </c>
    </row>
    <row r="570" ht="15.75" customHeight="1">
      <c r="A570" s="10">
        <v>45085.0</v>
      </c>
      <c r="B570" s="11">
        <v>3.807508666E9</v>
      </c>
      <c r="C570" s="12" t="s">
        <v>582</v>
      </c>
      <c r="D570" s="11">
        <v>2.4409066E7</v>
      </c>
      <c r="E570" s="10">
        <v>45089.0</v>
      </c>
      <c r="F570" s="9" t="s">
        <v>69</v>
      </c>
      <c r="G570" s="13">
        <v>5.0</v>
      </c>
      <c r="H570" s="9" t="s">
        <v>92</v>
      </c>
      <c r="I570" s="9" t="s">
        <v>77</v>
      </c>
      <c r="J570" s="9" t="s">
        <v>79</v>
      </c>
      <c r="K570" s="9" t="s">
        <v>107</v>
      </c>
    </row>
    <row r="571" ht="15.75" customHeight="1">
      <c r="A571" s="10">
        <v>45086.0</v>
      </c>
      <c r="B571" s="11">
        <v>1.12372596E9</v>
      </c>
      <c r="C571" s="12" t="s">
        <v>583</v>
      </c>
      <c r="D571" s="11">
        <v>4.008883E7</v>
      </c>
      <c r="E571" s="10">
        <v>45089.0</v>
      </c>
      <c r="F571" s="9" t="s">
        <v>69</v>
      </c>
      <c r="G571" s="13">
        <v>1.0</v>
      </c>
      <c r="H571" s="9" t="s">
        <v>92</v>
      </c>
      <c r="I571" s="9" t="s">
        <v>77</v>
      </c>
      <c r="J571" s="9" t="s">
        <v>79</v>
      </c>
      <c r="K571" s="9" t="s">
        <v>107</v>
      </c>
    </row>
    <row r="572" ht="15.75" customHeight="1">
      <c r="A572" s="10">
        <v>45086.0</v>
      </c>
      <c r="B572" s="11">
        <v>1.123716554E9</v>
      </c>
      <c r="C572" s="12" t="s">
        <v>584</v>
      </c>
      <c r="D572" s="11">
        <v>2.0692575E7</v>
      </c>
      <c r="E572" s="10">
        <v>45089.0</v>
      </c>
      <c r="F572" s="9" t="s">
        <v>76</v>
      </c>
      <c r="G572" s="13">
        <v>3.0</v>
      </c>
      <c r="H572" s="9" t="s">
        <v>92</v>
      </c>
      <c r="I572" s="9" t="s">
        <v>77</v>
      </c>
      <c r="J572" s="9" t="s">
        <v>79</v>
      </c>
      <c r="K572" s="9" t="s">
        <v>107</v>
      </c>
    </row>
    <row r="573" ht="15.75" customHeight="1">
      <c r="A573" s="10">
        <v>45086.0</v>
      </c>
      <c r="B573" s="11">
        <v>8.61662739E9</v>
      </c>
      <c r="C573" s="12" t="s">
        <v>585</v>
      </c>
      <c r="D573" s="11">
        <v>3.3756004E7</v>
      </c>
      <c r="E573" s="10">
        <v>45089.0</v>
      </c>
      <c r="F573" s="9" t="s">
        <v>76</v>
      </c>
      <c r="G573" s="13">
        <v>1.0</v>
      </c>
      <c r="H573" s="9" t="s">
        <v>92</v>
      </c>
      <c r="I573" s="9" t="s">
        <v>77</v>
      </c>
      <c r="J573" s="9" t="s">
        <v>79</v>
      </c>
      <c r="K573" s="9" t="s">
        <v>103</v>
      </c>
    </row>
    <row r="574" ht="15.75" customHeight="1">
      <c r="A574" s="10">
        <v>45177.0</v>
      </c>
      <c r="B574" s="11">
        <v>2.320188065E9</v>
      </c>
      <c r="C574" s="12" t="s">
        <v>586</v>
      </c>
      <c r="D574" s="11">
        <v>4.5331438E7</v>
      </c>
      <c r="E574" s="10">
        <v>45089.0</v>
      </c>
      <c r="F574" s="9" t="s">
        <v>76</v>
      </c>
      <c r="G574" s="13">
        <v>3.0</v>
      </c>
      <c r="H574" s="9" t="s">
        <v>92</v>
      </c>
      <c r="I574" s="9" t="s">
        <v>88</v>
      </c>
      <c r="J574" s="9" t="s">
        <v>318</v>
      </c>
      <c r="K574" s="9" t="s">
        <v>103</v>
      </c>
    </row>
    <row r="575" ht="15.75" customHeight="1">
      <c r="A575" s="10">
        <v>45077.0</v>
      </c>
      <c r="B575" s="11">
        <v>5.27110024E9</v>
      </c>
      <c r="C575" s="12" t="s">
        <v>587</v>
      </c>
      <c r="D575" s="11">
        <v>3783329.0</v>
      </c>
      <c r="E575" s="10">
        <v>45090.0</v>
      </c>
      <c r="F575" s="9" t="s">
        <v>69</v>
      </c>
      <c r="G575" s="13">
        <v>3.0</v>
      </c>
      <c r="H575" s="9" t="s">
        <v>112</v>
      </c>
      <c r="I575" s="9" t="s">
        <v>88</v>
      </c>
      <c r="J575" s="9" t="s">
        <v>318</v>
      </c>
      <c r="K575" s="9" t="s">
        <v>103</v>
      </c>
    </row>
    <row r="576" ht="15.75" customHeight="1">
      <c r="A576" s="10">
        <v>45079.0</v>
      </c>
      <c r="B576" s="11">
        <v>2.286905412E9</v>
      </c>
      <c r="C576" s="12" t="s">
        <v>588</v>
      </c>
      <c r="D576" s="11">
        <v>2.7751148E7</v>
      </c>
      <c r="E576" s="10">
        <v>45090.0</v>
      </c>
      <c r="F576" s="9" t="s">
        <v>76</v>
      </c>
      <c r="G576" s="13">
        <v>5.0</v>
      </c>
      <c r="H576" s="9" t="s">
        <v>112</v>
      </c>
      <c r="I576" s="9" t="s">
        <v>88</v>
      </c>
      <c r="J576" s="9" t="s">
        <v>318</v>
      </c>
      <c r="K576" s="9" t="s">
        <v>103</v>
      </c>
    </row>
    <row r="577" ht="15.75" customHeight="1">
      <c r="A577" s="10">
        <v>45079.0</v>
      </c>
      <c r="B577" s="11">
        <v>2.91873435E9</v>
      </c>
      <c r="C577" s="12" t="s">
        <v>587</v>
      </c>
      <c r="D577" s="11">
        <v>3783329.0</v>
      </c>
      <c r="E577" s="10">
        <v>45090.0</v>
      </c>
      <c r="F577" s="9" t="s">
        <v>76</v>
      </c>
      <c r="G577" s="13">
        <v>6.0</v>
      </c>
      <c r="H577" s="9" t="s">
        <v>112</v>
      </c>
      <c r="I577" s="9" t="s">
        <v>88</v>
      </c>
      <c r="J577" s="9" t="s">
        <v>318</v>
      </c>
      <c r="K577" s="9" t="s">
        <v>103</v>
      </c>
    </row>
    <row r="578" ht="15.75" customHeight="1">
      <c r="A578" s="10">
        <v>45085.0</v>
      </c>
      <c r="B578" s="11">
        <v>6.84369658E9</v>
      </c>
      <c r="C578" s="12" t="s">
        <v>589</v>
      </c>
      <c r="D578" s="11">
        <v>3.5480438E7</v>
      </c>
      <c r="E578" s="10">
        <v>45090.0</v>
      </c>
      <c r="F578" s="9" t="s">
        <v>69</v>
      </c>
      <c r="G578" s="13">
        <v>1.0</v>
      </c>
      <c r="H578" s="9" t="s">
        <v>112</v>
      </c>
      <c r="I578" s="9" t="s">
        <v>88</v>
      </c>
      <c r="J578" s="9" t="s">
        <v>318</v>
      </c>
      <c r="K578" s="9" t="s">
        <v>103</v>
      </c>
    </row>
    <row r="579" ht="15.75" customHeight="1">
      <c r="A579" s="10">
        <v>45086.0</v>
      </c>
      <c r="B579" s="11">
        <v>4.132497154E9</v>
      </c>
      <c r="C579" s="12" t="s">
        <v>590</v>
      </c>
      <c r="D579" s="11">
        <v>3.8491013E7</v>
      </c>
      <c r="E579" s="10">
        <v>45090.0</v>
      </c>
      <c r="F579" s="9" t="s">
        <v>69</v>
      </c>
      <c r="G579" s="13">
        <v>6.0</v>
      </c>
      <c r="H579" s="9" t="s">
        <v>112</v>
      </c>
      <c r="I579" s="9" t="s">
        <v>88</v>
      </c>
      <c r="J579" s="9" t="s">
        <v>93</v>
      </c>
      <c r="K579" s="9" t="s">
        <v>103</v>
      </c>
    </row>
    <row r="580" ht="15.75" customHeight="1">
      <c r="A580" s="10">
        <v>45086.0</v>
      </c>
      <c r="B580" s="11">
        <v>9.76919307E9</v>
      </c>
      <c r="C580" s="12" t="s">
        <v>591</v>
      </c>
      <c r="D580" s="11">
        <v>4.0533638E7</v>
      </c>
      <c r="E580" s="10">
        <v>45090.0</v>
      </c>
      <c r="F580" s="9" t="s">
        <v>76</v>
      </c>
      <c r="G580" s="13">
        <v>1.0</v>
      </c>
      <c r="H580" s="9" t="s">
        <v>112</v>
      </c>
      <c r="I580" s="9" t="s">
        <v>88</v>
      </c>
      <c r="J580" s="9" t="s">
        <v>93</v>
      </c>
      <c r="K580" s="9" t="s">
        <v>103</v>
      </c>
    </row>
    <row r="581" ht="15.75" customHeight="1">
      <c r="A581" s="10">
        <v>45090.0</v>
      </c>
      <c r="B581" s="11">
        <v>2.595525096E9</v>
      </c>
      <c r="C581" s="12" t="s">
        <v>592</v>
      </c>
      <c r="D581" s="11">
        <v>2.3019574E7</v>
      </c>
      <c r="E581" s="10">
        <v>45090.0</v>
      </c>
      <c r="F581" s="9" t="s">
        <v>76</v>
      </c>
      <c r="G581" s="13">
        <v>5.0</v>
      </c>
      <c r="H581" s="9" t="s">
        <v>112</v>
      </c>
      <c r="I581" s="9" t="s">
        <v>88</v>
      </c>
      <c r="J581" s="9" t="s">
        <v>93</v>
      </c>
      <c r="K581" s="9" t="s">
        <v>103</v>
      </c>
    </row>
    <row r="582" ht="15.75" customHeight="1">
      <c r="A582" s="10">
        <v>45090.0</v>
      </c>
      <c r="B582" s="11">
        <v>2.595474954E9</v>
      </c>
      <c r="C582" s="12" t="s">
        <v>593</v>
      </c>
      <c r="D582" s="11">
        <v>3.176578E7</v>
      </c>
      <c r="E582" s="10">
        <v>45090.0</v>
      </c>
      <c r="F582" s="9" t="s">
        <v>69</v>
      </c>
      <c r="G582" s="13">
        <v>5.0</v>
      </c>
      <c r="H582" s="9" t="s">
        <v>112</v>
      </c>
      <c r="I582" s="9" t="s">
        <v>88</v>
      </c>
      <c r="J582" s="9" t="s">
        <v>93</v>
      </c>
      <c r="K582" s="9" t="s">
        <v>103</v>
      </c>
    </row>
    <row r="583" ht="15.75" customHeight="1">
      <c r="A583" s="10">
        <v>45090.0</v>
      </c>
      <c r="B583" s="11">
        <v>4.168924701E9</v>
      </c>
      <c r="C583" s="12" t="s">
        <v>594</v>
      </c>
      <c r="D583" s="11">
        <v>2.9731806E7</v>
      </c>
      <c r="E583" s="10">
        <v>45090.0</v>
      </c>
      <c r="F583" s="9" t="s">
        <v>76</v>
      </c>
      <c r="G583" s="13">
        <v>1.0</v>
      </c>
      <c r="H583" s="9" t="s">
        <v>112</v>
      </c>
      <c r="I583" s="9" t="s">
        <v>88</v>
      </c>
      <c r="J583" s="9" t="s">
        <v>93</v>
      </c>
      <c r="K583" s="9" t="s">
        <v>103</v>
      </c>
    </row>
    <row r="584" ht="15.75" customHeight="1">
      <c r="A584" s="10">
        <v>45069.0</v>
      </c>
      <c r="B584" s="11">
        <v>8.99314626E9</v>
      </c>
      <c r="C584" s="12" t="s">
        <v>595</v>
      </c>
      <c r="D584" s="11">
        <v>2.8222807E7</v>
      </c>
      <c r="E584" s="10">
        <v>45091.0</v>
      </c>
      <c r="F584" s="9" t="s">
        <v>76</v>
      </c>
      <c r="G584" s="13">
        <v>1.0</v>
      </c>
      <c r="H584" s="9" t="s">
        <v>106</v>
      </c>
      <c r="I584" s="9" t="s">
        <v>88</v>
      </c>
      <c r="J584" s="9" t="s">
        <v>98</v>
      </c>
      <c r="K584" s="9" t="s">
        <v>103</v>
      </c>
    </row>
    <row r="585" ht="15.75" customHeight="1">
      <c r="A585" s="10">
        <v>45077.0</v>
      </c>
      <c r="B585" s="11">
        <v>6.18908486E9</v>
      </c>
      <c r="C585" s="12" t="s">
        <v>596</v>
      </c>
      <c r="D585" s="11">
        <v>2.7091869E7</v>
      </c>
      <c r="E585" s="10">
        <v>45091.0</v>
      </c>
      <c r="F585" s="9" t="s">
        <v>76</v>
      </c>
      <c r="G585" s="13">
        <v>1.0</v>
      </c>
      <c r="H585" s="9" t="s">
        <v>106</v>
      </c>
      <c r="I585" s="9" t="s">
        <v>71</v>
      </c>
      <c r="J585" s="9" t="s">
        <v>98</v>
      </c>
      <c r="K585" s="9" t="s">
        <v>73</v>
      </c>
    </row>
    <row r="586" ht="15.75" customHeight="1">
      <c r="A586" s="10">
        <v>45083.0</v>
      </c>
      <c r="B586" s="11">
        <v>5.553942866E9</v>
      </c>
      <c r="C586" s="12" t="s">
        <v>597</v>
      </c>
      <c r="D586" s="11">
        <v>2.6012846E7</v>
      </c>
      <c r="E586" s="10">
        <v>45091.0</v>
      </c>
      <c r="F586" s="9" t="s">
        <v>69</v>
      </c>
      <c r="G586" s="13">
        <v>1.0</v>
      </c>
      <c r="H586" s="9" t="s">
        <v>106</v>
      </c>
      <c r="I586" s="9" t="s">
        <v>71</v>
      </c>
      <c r="J586" s="9" t="s">
        <v>98</v>
      </c>
      <c r="K586" s="9" t="s">
        <v>73</v>
      </c>
    </row>
    <row r="587" ht="15.75" customHeight="1">
      <c r="A587" s="10">
        <v>45085.0</v>
      </c>
      <c r="B587" s="11">
        <v>6.529718086E9</v>
      </c>
      <c r="C587" s="12" t="s">
        <v>598</v>
      </c>
      <c r="D587" s="11">
        <v>3.8349932E7</v>
      </c>
      <c r="E587" s="10">
        <v>45091.0</v>
      </c>
      <c r="F587" s="9" t="s">
        <v>76</v>
      </c>
      <c r="G587" s="13">
        <v>1.0</v>
      </c>
      <c r="H587" s="9" t="s">
        <v>106</v>
      </c>
      <c r="I587" s="9" t="s">
        <v>71</v>
      </c>
      <c r="J587" s="9" t="s">
        <v>98</v>
      </c>
      <c r="K587" s="9" t="s">
        <v>73</v>
      </c>
    </row>
    <row r="588" ht="15.75" customHeight="1">
      <c r="A588" s="10">
        <v>45090.0</v>
      </c>
      <c r="B588" s="11">
        <v>4.967389324E9</v>
      </c>
      <c r="C588" s="12" t="s">
        <v>599</v>
      </c>
      <c r="D588" s="11">
        <v>4.0765004E7</v>
      </c>
      <c r="E588" s="10">
        <v>45091.0</v>
      </c>
      <c r="F588" s="9" t="s">
        <v>69</v>
      </c>
      <c r="G588" s="13">
        <v>1.0</v>
      </c>
      <c r="H588" s="9" t="s">
        <v>106</v>
      </c>
      <c r="I588" s="9" t="s">
        <v>71</v>
      </c>
      <c r="J588" s="9" t="s">
        <v>98</v>
      </c>
      <c r="K588" s="9" t="s">
        <v>73</v>
      </c>
    </row>
    <row r="589" ht="15.75" customHeight="1">
      <c r="A589" s="10">
        <v>45091.0</v>
      </c>
      <c r="B589" s="11">
        <v>6.191226554E9</v>
      </c>
      <c r="C589" s="12" t="s">
        <v>600</v>
      </c>
      <c r="D589" s="11">
        <v>1.3868221E7</v>
      </c>
      <c r="E589" s="10">
        <v>45091.0</v>
      </c>
      <c r="F589" s="9" t="s">
        <v>69</v>
      </c>
      <c r="G589" s="13">
        <v>1.0</v>
      </c>
      <c r="H589" s="9" t="s">
        <v>106</v>
      </c>
      <c r="I589" s="9" t="s">
        <v>71</v>
      </c>
      <c r="J589" s="9" t="s">
        <v>98</v>
      </c>
      <c r="K589" s="9" t="s">
        <v>73</v>
      </c>
    </row>
    <row r="590" ht="15.75" customHeight="1">
      <c r="A590" s="10">
        <v>45177.0</v>
      </c>
      <c r="B590" s="11">
        <v>4.731862741E9</v>
      </c>
      <c r="C590" s="12" t="s">
        <v>601</v>
      </c>
      <c r="D590" s="11">
        <v>2.1744002E7</v>
      </c>
      <c r="E590" s="10">
        <v>45091.0</v>
      </c>
      <c r="F590" s="9" t="s">
        <v>69</v>
      </c>
      <c r="G590" s="13">
        <v>2.0</v>
      </c>
      <c r="H590" s="9" t="s">
        <v>106</v>
      </c>
      <c r="I590" s="9" t="s">
        <v>71</v>
      </c>
      <c r="J590" s="9" t="s">
        <v>98</v>
      </c>
      <c r="K590" s="9" t="s">
        <v>73</v>
      </c>
    </row>
    <row r="591" ht="15.75" customHeight="1">
      <c r="A591" s="10">
        <v>45083.0</v>
      </c>
      <c r="B591" s="11">
        <v>7.214007522E9</v>
      </c>
      <c r="C591" s="12" t="s">
        <v>602</v>
      </c>
      <c r="D591" s="11">
        <v>3.7191919E7</v>
      </c>
      <c r="E591" s="10">
        <v>45092.0</v>
      </c>
      <c r="F591" s="9" t="s">
        <v>69</v>
      </c>
      <c r="G591" s="13">
        <v>3.0</v>
      </c>
      <c r="H591" s="9" t="s">
        <v>106</v>
      </c>
      <c r="I591" s="9" t="s">
        <v>71</v>
      </c>
      <c r="J591" s="9" t="s">
        <v>98</v>
      </c>
      <c r="K591" s="9" t="s">
        <v>73</v>
      </c>
    </row>
    <row r="592" ht="15.75" customHeight="1">
      <c r="A592" s="10">
        <v>45083.0</v>
      </c>
      <c r="B592" s="11">
        <v>5.385229161E9</v>
      </c>
      <c r="C592" s="12" t="s">
        <v>603</v>
      </c>
      <c r="D592" s="11">
        <v>2.6856342E7</v>
      </c>
      <c r="E592" s="10">
        <v>45092.0</v>
      </c>
      <c r="F592" s="9" t="s">
        <v>69</v>
      </c>
      <c r="G592" s="13">
        <v>3.0</v>
      </c>
      <c r="H592" s="9" t="s">
        <v>70</v>
      </c>
      <c r="I592" s="9" t="s">
        <v>71</v>
      </c>
      <c r="J592" s="9" t="s">
        <v>72</v>
      </c>
      <c r="K592" s="9" t="s">
        <v>73</v>
      </c>
    </row>
    <row r="593" ht="15.75" customHeight="1">
      <c r="A593" s="10">
        <v>45086.0</v>
      </c>
      <c r="B593" s="11">
        <v>4.168925666E9</v>
      </c>
      <c r="C593" s="12" t="s">
        <v>604</v>
      </c>
      <c r="D593" s="11">
        <v>1.2733077E7</v>
      </c>
      <c r="E593" s="10">
        <v>45092.0</v>
      </c>
      <c r="F593" s="9" t="s">
        <v>76</v>
      </c>
      <c r="G593" s="13">
        <v>3.0</v>
      </c>
      <c r="H593" s="9" t="s">
        <v>70</v>
      </c>
      <c r="I593" s="9" t="s">
        <v>71</v>
      </c>
      <c r="J593" s="9" t="s">
        <v>72</v>
      </c>
      <c r="K593" s="9" t="s">
        <v>73</v>
      </c>
    </row>
    <row r="594" ht="15.75" customHeight="1">
      <c r="A594" s="10">
        <v>45090.0</v>
      </c>
      <c r="B594" s="11">
        <v>6.191187004E9</v>
      </c>
      <c r="C594" s="12" t="s">
        <v>605</v>
      </c>
      <c r="D594" s="11">
        <v>3.3479162E7</v>
      </c>
      <c r="E594" s="10">
        <v>45092.0</v>
      </c>
      <c r="F594" s="9" t="s">
        <v>69</v>
      </c>
      <c r="G594" s="13">
        <v>1.0</v>
      </c>
      <c r="H594" s="9" t="s">
        <v>70</v>
      </c>
      <c r="I594" s="9" t="s">
        <v>71</v>
      </c>
      <c r="J594" s="9" t="s">
        <v>72</v>
      </c>
      <c r="K594" s="9" t="s">
        <v>73</v>
      </c>
    </row>
    <row r="595" ht="15.75" customHeight="1">
      <c r="A595" s="10">
        <v>45092.0</v>
      </c>
      <c r="B595" s="11">
        <v>3.152757915E9</v>
      </c>
      <c r="C595" s="12" t="s">
        <v>606</v>
      </c>
      <c r="D595" s="11">
        <v>8.0084211E7</v>
      </c>
      <c r="E595" s="10">
        <v>45092.0</v>
      </c>
      <c r="F595" s="9" t="s">
        <v>76</v>
      </c>
      <c r="G595" s="13">
        <v>1.0</v>
      </c>
      <c r="H595" s="9" t="s">
        <v>70</v>
      </c>
      <c r="I595" s="9" t="s">
        <v>71</v>
      </c>
      <c r="J595" s="9" t="s">
        <v>72</v>
      </c>
      <c r="K595" s="9" t="s">
        <v>90</v>
      </c>
    </row>
    <row r="596" ht="15.75" customHeight="1">
      <c r="A596" s="10">
        <v>45092.0</v>
      </c>
      <c r="B596" s="11">
        <v>4.103675052E9</v>
      </c>
      <c r="C596" s="12" t="s">
        <v>607</v>
      </c>
      <c r="D596" s="11">
        <v>2.3166883E7</v>
      </c>
      <c r="E596" s="10">
        <v>45092.0</v>
      </c>
      <c r="F596" s="9" t="s">
        <v>76</v>
      </c>
      <c r="G596" s="13">
        <v>1.0</v>
      </c>
      <c r="H596" s="9" t="s">
        <v>70</v>
      </c>
      <c r="I596" s="9" t="s">
        <v>71</v>
      </c>
      <c r="J596" s="9" t="s">
        <v>83</v>
      </c>
      <c r="K596" s="9" t="s">
        <v>90</v>
      </c>
    </row>
    <row r="597" ht="15.75" customHeight="1">
      <c r="A597" s="10">
        <v>45092.0</v>
      </c>
      <c r="B597" s="11">
        <v>6.568570735E9</v>
      </c>
      <c r="C597" s="12" t="s">
        <v>608</v>
      </c>
      <c r="D597" s="11">
        <v>2.6783421E7</v>
      </c>
      <c r="E597" s="10">
        <v>45092.0</v>
      </c>
      <c r="F597" s="9" t="s">
        <v>76</v>
      </c>
      <c r="G597" s="13">
        <v>3.0</v>
      </c>
      <c r="H597" s="9" t="s">
        <v>116</v>
      </c>
      <c r="I597" s="9" t="s">
        <v>71</v>
      </c>
      <c r="J597" s="9" t="s">
        <v>83</v>
      </c>
      <c r="K597" s="9" t="s">
        <v>90</v>
      </c>
    </row>
    <row r="598" ht="15.75" customHeight="1">
      <c r="A598" s="10">
        <v>45092.0</v>
      </c>
      <c r="B598" s="11">
        <v>4.13259329E9</v>
      </c>
      <c r="C598" s="12" t="s">
        <v>609</v>
      </c>
      <c r="D598" s="11">
        <v>3.9973698E7</v>
      </c>
      <c r="E598" s="10">
        <v>45092.0</v>
      </c>
      <c r="F598" s="9" t="s">
        <v>69</v>
      </c>
      <c r="G598" s="13">
        <v>1.0</v>
      </c>
      <c r="H598" s="9" t="s">
        <v>116</v>
      </c>
      <c r="I598" s="9" t="s">
        <v>71</v>
      </c>
      <c r="J598" s="9" t="s">
        <v>83</v>
      </c>
      <c r="K598" s="9" t="s">
        <v>90</v>
      </c>
    </row>
    <row r="599" ht="15.75" customHeight="1">
      <c r="A599" s="10">
        <v>45092.0</v>
      </c>
      <c r="B599" s="11">
        <v>4.471635383E9</v>
      </c>
      <c r="C599" s="12" t="s">
        <v>610</v>
      </c>
      <c r="D599" s="11">
        <v>4.169444E7</v>
      </c>
      <c r="E599" s="10">
        <v>45092.0</v>
      </c>
      <c r="F599" s="9" t="s">
        <v>69</v>
      </c>
      <c r="G599" s="13">
        <v>3.0</v>
      </c>
      <c r="H599" s="9" t="s">
        <v>116</v>
      </c>
      <c r="I599" s="9" t="s">
        <v>71</v>
      </c>
      <c r="J599" s="9" t="s">
        <v>83</v>
      </c>
      <c r="K599" s="9" t="s">
        <v>73</v>
      </c>
    </row>
    <row r="600" ht="15.75" customHeight="1">
      <c r="A600" s="10">
        <v>45077.0</v>
      </c>
      <c r="B600" s="11">
        <v>4.888007445E9</v>
      </c>
      <c r="C600" s="12" t="s">
        <v>611</v>
      </c>
      <c r="D600" s="11">
        <v>1.7860456E7</v>
      </c>
      <c r="E600" s="10">
        <v>45093.0</v>
      </c>
      <c r="F600" s="9" t="s">
        <v>69</v>
      </c>
      <c r="G600" s="13">
        <v>1.0</v>
      </c>
      <c r="H600" s="9" t="s">
        <v>116</v>
      </c>
      <c r="I600" s="9" t="s">
        <v>77</v>
      </c>
      <c r="J600" s="9" t="s">
        <v>83</v>
      </c>
      <c r="K600" s="9" t="s">
        <v>73</v>
      </c>
    </row>
    <row r="601" ht="15.75" customHeight="1">
      <c r="A601" s="10">
        <v>45090.0</v>
      </c>
      <c r="B601" s="11">
        <v>9.730661846E9</v>
      </c>
      <c r="C601" s="12" t="s">
        <v>612</v>
      </c>
      <c r="D601" s="11">
        <v>3.4159964E7</v>
      </c>
      <c r="E601" s="10">
        <v>45093.0</v>
      </c>
      <c r="F601" s="9" t="s">
        <v>69</v>
      </c>
      <c r="G601" s="13">
        <v>2.0</v>
      </c>
      <c r="H601" s="9" t="s">
        <v>116</v>
      </c>
      <c r="I601" s="9" t="s">
        <v>77</v>
      </c>
      <c r="J601" s="9" t="s">
        <v>72</v>
      </c>
      <c r="K601" s="9" t="s">
        <v>73</v>
      </c>
    </row>
    <row r="602" ht="15.75" customHeight="1">
      <c r="A602" s="10">
        <v>45090.0</v>
      </c>
      <c r="B602" s="11">
        <v>4.967335343E9</v>
      </c>
      <c r="C602" s="12" t="s">
        <v>613</v>
      </c>
      <c r="D602" s="11">
        <v>3.5810859E7</v>
      </c>
      <c r="E602" s="10">
        <v>45093.0</v>
      </c>
      <c r="F602" s="9" t="s">
        <v>69</v>
      </c>
      <c r="G602" s="13">
        <v>2.0</v>
      </c>
      <c r="H602" s="9" t="s">
        <v>116</v>
      </c>
      <c r="I602" s="9" t="s">
        <v>77</v>
      </c>
      <c r="J602" s="9" t="s">
        <v>72</v>
      </c>
      <c r="K602" s="9" t="s">
        <v>73</v>
      </c>
    </row>
    <row r="603" ht="15.75" customHeight="1">
      <c r="A603" s="10">
        <v>45092.0</v>
      </c>
      <c r="B603" s="11">
        <v>1.471993143E9</v>
      </c>
      <c r="C603" s="12" t="s">
        <v>614</v>
      </c>
      <c r="D603" s="11">
        <v>2.2877409E7</v>
      </c>
      <c r="E603" s="10">
        <v>45093.0</v>
      </c>
      <c r="F603" s="9" t="s">
        <v>69</v>
      </c>
      <c r="G603" s="13">
        <v>2.0</v>
      </c>
      <c r="H603" s="9" t="s">
        <v>116</v>
      </c>
      <c r="I603" s="9" t="s">
        <v>77</v>
      </c>
      <c r="J603" s="9" t="s">
        <v>72</v>
      </c>
      <c r="K603" s="9" t="s">
        <v>73</v>
      </c>
    </row>
    <row r="604" ht="15.75" customHeight="1">
      <c r="A604" s="10">
        <v>45092.0</v>
      </c>
      <c r="B604" s="11">
        <v>1.630809331E9</v>
      </c>
      <c r="C604" s="12" t="s">
        <v>615</v>
      </c>
      <c r="D604" s="11">
        <v>3.213284E7</v>
      </c>
      <c r="E604" s="10">
        <v>45093.0</v>
      </c>
      <c r="F604" s="9" t="s">
        <v>69</v>
      </c>
      <c r="G604" s="13">
        <v>4.0</v>
      </c>
      <c r="H604" s="9" t="s">
        <v>116</v>
      </c>
      <c r="I604" s="9" t="s">
        <v>77</v>
      </c>
      <c r="J604" s="9" t="s">
        <v>72</v>
      </c>
      <c r="K604" s="9" t="s">
        <v>73</v>
      </c>
    </row>
    <row r="605" ht="15.75" customHeight="1">
      <c r="A605" s="10">
        <v>45092.0</v>
      </c>
      <c r="B605" s="11">
        <v>3.65882391E9</v>
      </c>
      <c r="C605" s="12" t="s">
        <v>592</v>
      </c>
      <c r="D605" s="11">
        <v>2.3019574E7</v>
      </c>
      <c r="E605" s="10">
        <v>45093.0</v>
      </c>
      <c r="F605" s="9" t="s">
        <v>69</v>
      </c>
      <c r="G605" s="13">
        <v>4.0</v>
      </c>
      <c r="H605" s="9" t="s">
        <v>112</v>
      </c>
      <c r="I605" s="9" t="s">
        <v>77</v>
      </c>
      <c r="J605" s="9" t="s">
        <v>72</v>
      </c>
      <c r="K605" s="9" t="s">
        <v>73</v>
      </c>
    </row>
    <row r="606" ht="15.75" customHeight="1">
      <c r="A606" s="10">
        <v>45092.0</v>
      </c>
      <c r="B606" s="11">
        <v>7.986880392E9</v>
      </c>
      <c r="C606" s="12" t="s">
        <v>616</v>
      </c>
      <c r="D606" s="11">
        <v>1.7860586E7</v>
      </c>
      <c r="E606" s="10">
        <v>45093.0</v>
      </c>
      <c r="F606" s="9" t="s">
        <v>69</v>
      </c>
      <c r="G606" s="13">
        <v>1.0</v>
      </c>
      <c r="H606" s="9" t="s">
        <v>112</v>
      </c>
      <c r="I606" s="9" t="s">
        <v>77</v>
      </c>
      <c r="J606" s="9" t="s">
        <v>72</v>
      </c>
      <c r="K606" s="9" t="s">
        <v>217</v>
      </c>
    </row>
    <row r="607" ht="15.75" customHeight="1">
      <c r="A607" s="10">
        <v>45092.0</v>
      </c>
      <c r="B607" s="11">
        <v>2.621020511E9</v>
      </c>
      <c r="C607" s="12" t="s">
        <v>614</v>
      </c>
      <c r="D607" s="11">
        <v>2.2877409E7</v>
      </c>
      <c r="E607" s="10">
        <v>45093.0</v>
      </c>
      <c r="F607" s="9" t="s">
        <v>69</v>
      </c>
      <c r="G607" s="13">
        <v>2.0</v>
      </c>
      <c r="H607" s="9" t="s">
        <v>112</v>
      </c>
      <c r="I607" s="9" t="s">
        <v>77</v>
      </c>
      <c r="J607" s="9" t="s">
        <v>72</v>
      </c>
      <c r="K607" s="9" t="s">
        <v>217</v>
      </c>
    </row>
    <row r="608" ht="15.75" customHeight="1">
      <c r="A608" s="10">
        <v>45092.0</v>
      </c>
      <c r="B608" s="11">
        <v>1.559327162E9</v>
      </c>
      <c r="C608" s="12" t="s">
        <v>612</v>
      </c>
      <c r="D608" s="11">
        <v>3.4159964E7</v>
      </c>
      <c r="E608" s="10">
        <v>45093.0</v>
      </c>
      <c r="F608" s="9" t="s">
        <v>69</v>
      </c>
      <c r="G608" s="13">
        <v>2.0</v>
      </c>
      <c r="H608" s="9" t="s">
        <v>106</v>
      </c>
      <c r="I608" s="9" t="s">
        <v>77</v>
      </c>
      <c r="J608" s="9" t="s">
        <v>72</v>
      </c>
      <c r="K608" s="9" t="s">
        <v>217</v>
      </c>
    </row>
    <row r="609" ht="15.75" customHeight="1">
      <c r="A609" s="10">
        <v>45092.0</v>
      </c>
      <c r="B609" s="11">
        <v>2.649080184E9</v>
      </c>
      <c r="C609" s="12" t="s">
        <v>617</v>
      </c>
      <c r="D609" s="11">
        <v>4.4747549E7</v>
      </c>
      <c r="E609" s="10">
        <v>45093.0</v>
      </c>
      <c r="F609" s="9" t="s">
        <v>69</v>
      </c>
      <c r="G609" s="13">
        <v>1.0</v>
      </c>
      <c r="H609" s="9" t="s">
        <v>106</v>
      </c>
      <c r="I609" s="9" t="s">
        <v>77</v>
      </c>
      <c r="J609" s="9" t="s">
        <v>318</v>
      </c>
      <c r="K609" s="9" t="s">
        <v>99</v>
      </c>
    </row>
    <row r="610" ht="15.75" customHeight="1">
      <c r="A610" s="10">
        <v>45083.0</v>
      </c>
      <c r="B610" s="11">
        <v>7.214024812E9</v>
      </c>
      <c r="C610" s="12" t="s">
        <v>618</v>
      </c>
      <c r="D610" s="11">
        <v>3.7725342E7</v>
      </c>
      <c r="E610" s="10">
        <v>45098.0</v>
      </c>
      <c r="F610" s="9" t="s">
        <v>69</v>
      </c>
      <c r="G610" s="13">
        <v>1.0</v>
      </c>
      <c r="H610" s="9" t="s">
        <v>106</v>
      </c>
      <c r="I610" s="9" t="s">
        <v>77</v>
      </c>
      <c r="J610" s="9" t="s">
        <v>318</v>
      </c>
      <c r="K610" s="9" t="s">
        <v>99</v>
      </c>
    </row>
    <row r="611" ht="15.75" customHeight="1">
      <c r="A611" s="10">
        <v>45085.0</v>
      </c>
      <c r="B611" s="11">
        <v>1.78479966E9</v>
      </c>
      <c r="C611" s="12" t="s">
        <v>619</v>
      </c>
      <c r="D611" s="11">
        <v>3.5523211E7</v>
      </c>
      <c r="E611" s="10">
        <v>45098.0</v>
      </c>
      <c r="F611" s="9" t="s">
        <v>69</v>
      </c>
      <c r="G611" s="13">
        <v>1.0</v>
      </c>
      <c r="H611" s="9" t="s">
        <v>106</v>
      </c>
      <c r="I611" s="9" t="s">
        <v>77</v>
      </c>
      <c r="J611" s="9" t="s">
        <v>318</v>
      </c>
      <c r="K611" s="9" t="s">
        <v>99</v>
      </c>
    </row>
    <row r="612" ht="15.75" customHeight="1">
      <c r="A612" s="10">
        <v>45092.0</v>
      </c>
      <c r="B612" s="11">
        <v>1.630807861E9</v>
      </c>
      <c r="C612" s="12" t="s">
        <v>620</v>
      </c>
      <c r="D612" s="11">
        <v>2.028564E7</v>
      </c>
      <c r="E612" s="10">
        <v>45098.0</v>
      </c>
      <c r="F612" s="9" t="s">
        <v>69</v>
      </c>
      <c r="G612" s="13">
        <v>1.0</v>
      </c>
      <c r="H612" s="9" t="s">
        <v>106</v>
      </c>
      <c r="I612" s="9" t="s">
        <v>77</v>
      </c>
      <c r="J612" s="9" t="s">
        <v>318</v>
      </c>
      <c r="K612" s="9" t="s">
        <v>84</v>
      </c>
    </row>
    <row r="613" ht="15.75" customHeight="1">
      <c r="A613" s="10">
        <v>45092.0</v>
      </c>
      <c r="B613" s="11">
        <v>1.630797722E9</v>
      </c>
      <c r="C613" s="12" t="s">
        <v>621</v>
      </c>
      <c r="D613" s="11">
        <v>2.6242951E7</v>
      </c>
      <c r="E613" s="10">
        <v>45098.0</v>
      </c>
      <c r="F613" s="9" t="s">
        <v>69</v>
      </c>
      <c r="G613" s="13">
        <v>1.0</v>
      </c>
      <c r="H613" s="9" t="s">
        <v>116</v>
      </c>
      <c r="I613" s="9" t="s">
        <v>77</v>
      </c>
      <c r="J613" s="9" t="s">
        <v>318</v>
      </c>
      <c r="K613" s="9" t="s">
        <v>84</v>
      </c>
    </row>
    <row r="614" ht="15.75" customHeight="1">
      <c r="A614" s="10">
        <v>45092.0</v>
      </c>
      <c r="B614" s="11">
        <v>5.740047342E9</v>
      </c>
      <c r="C614" s="12" t="s">
        <v>622</v>
      </c>
      <c r="D614" s="11">
        <v>1.1707299E7</v>
      </c>
      <c r="E614" s="10">
        <v>45098.0</v>
      </c>
      <c r="F614" s="9" t="s">
        <v>69</v>
      </c>
      <c r="G614" s="13">
        <v>1.0</v>
      </c>
      <c r="H614" s="9" t="s">
        <v>116</v>
      </c>
      <c r="I614" s="9" t="s">
        <v>77</v>
      </c>
      <c r="J614" s="9" t="s">
        <v>318</v>
      </c>
      <c r="K614" s="9" t="s">
        <v>84</v>
      </c>
    </row>
    <row r="615" ht="15.75" customHeight="1">
      <c r="A615" s="10">
        <v>45092.0</v>
      </c>
      <c r="B615" s="11">
        <v>4.103682321E9</v>
      </c>
      <c r="C615" s="12" t="s">
        <v>623</v>
      </c>
      <c r="D615" s="11">
        <v>2.5922217E7</v>
      </c>
      <c r="E615" s="10">
        <v>45098.0</v>
      </c>
      <c r="F615" s="9" t="s">
        <v>69</v>
      </c>
      <c r="G615" s="13">
        <v>1.0</v>
      </c>
      <c r="H615" s="9" t="s">
        <v>116</v>
      </c>
      <c r="I615" s="9" t="s">
        <v>77</v>
      </c>
      <c r="J615" s="9" t="s">
        <v>93</v>
      </c>
      <c r="K615" s="9" t="s">
        <v>84</v>
      </c>
    </row>
    <row r="616" ht="15.75" customHeight="1">
      <c r="A616" s="10">
        <v>45092.0</v>
      </c>
      <c r="B616" s="11">
        <v>4.166835691E9</v>
      </c>
      <c r="C616" s="12" t="s">
        <v>623</v>
      </c>
      <c r="D616" s="11">
        <v>2.5922217E7</v>
      </c>
      <c r="E616" s="10">
        <v>45098.0</v>
      </c>
      <c r="F616" s="9" t="s">
        <v>69</v>
      </c>
      <c r="G616" s="13">
        <v>1.0</v>
      </c>
      <c r="H616" s="9" t="s">
        <v>116</v>
      </c>
      <c r="I616" s="9" t="s">
        <v>77</v>
      </c>
      <c r="J616" s="9" t="s">
        <v>93</v>
      </c>
      <c r="K616" s="9" t="s">
        <v>84</v>
      </c>
    </row>
    <row r="617" ht="15.75" customHeight="1">
      <c r="A617" s="10">
        <v>45092.0</v>
      </c>
      <c r="B617" s="11">
        <v>2.66828156E9</v>
      </c>
      <c r="C617" s="12" t="s">
        <v>624</v>
      </c>
      <c r="D617" s="11">
        <v>1.6560448E7</v>
      </c>
      <c r="E617" s="10">
        <v>45098.0</v>
      </c>
      <c r="F617" s="9" t="s">
        <v>69</v>
      </c>
      <c r="G617" s="13">
        <v>1.0</v>
      </c>
      <c r="H617" s="9" t="s">
        <v>116</v>
      </c>
      <c r="I617" s="9" t="s">
        <v>77</v>
      </c>
      <c r="J617" s="9" t="s">
        <v>93</v>
      </c>
      <c r="K617" s="9" t="s">
        <v>84</v>
      </c>
    </row>
    <row r="618" ht="15.75" customHeight="1">
      <c r="A618" s="10">
        <v>45092.0</v>
      </c>
      <c r="B618" s="11">
        <v>9.813342162E9</v>
      </c>
      <c r="C618" s="12" t="s">
        <v>625</v>
      </c>
      <c r="D618" s="11">
        <v>4.1649797E7</v>
      </c>
      <c r="E618" s="10">
        <v>45098.0</v>
      </c>
      <c r="F618" s="9" t="s">
        <v>69</v>
      </c>
      <c r="G618" s="13">
        <v>1.0</v>
      </c>
      <c r="H618" s="9" t="s">
        <v>116</v>
      </c>
      <c r="I618" s="9" t="s">
        <v>77</v>
      </c>
      <c r="J618" s="9" t="s">
        <v>93</v>
      </c>
      <c r="K618" s="9" t="s">
        <v>84</v>
      </c>
    </row>
    <row r="619" ht="15.75" customHeight="1">
      <c r="A619" s="10">
        <v>45092.0</v>
      </c>
      <c r="B619" s="11">
        <v>3.65898225E9</v>
      </c>
      <c r="C619" s="12" t="s">
        <v>626</v>
      </c>
      <c r="D619" s="11">
        <v>1.4353046E7</v>
      </c>
      <c r="E619" s="10">
        <v>45098.0</v>
      </c>
      <c r="F619" s="9" t="s">
        <v>69</v>
      </c>
      <c r="G619" s="13">
        <v>2.0</v>
      </c>
      <c r="H619" s="9" t="s">
        <v>116</v>
      </c>
      <c r="I619" s="9" t="s">
        <v>77</v>
      </c>
      <c r="J619" s="9" t="s">
        <v>93</v>
      </c>
      <c r="K619" s="9" t="s">
        <v>84</v>
      </c>
    </row>
    <row r="620" ht="15.75" customHeight="1">
      <c r="A620" s="10">
        <v>45092.0</v>
      </c>
      <c r="B620" s="11">
        <v>4.471633563E9</v>
      </c>
      <c r="C620" s="12" t="s">
        <v>627</v>
      </c>
      <c r="D620" s="11">
        <v>2.1327795E7</v>
      </c>
      <c r="E620" s="10">
        <v>45098.0</v>
      </c>
      <c r="F620" s="9" t="s">
        <v>69</v>
      </c>
      <c r="G620" s="13">
        <v>2.0</v>
      </c>
      <c r="H620" s="9" t="s">
        <v>116</v>
      </c>
      <c r="I620" s="9" t="s">
        <v>77</v>
      </c>
      <c r="J620" s="9" t="s">
        <v>93</v>
      </c>
      <c r="K620" s="9" t="s">
        <v>84</v>
      </c>
    </row>
    <row r="621" ht="15.75" customHeight="1">
      <c r="A621" s="10">
        <v>45098.0</v>
      </c>
      <c r="B621" s="11">
        <v>3.800119901E9</v>
      </c>
      <c r="C621" s="12" t="s">
        <v>627</v>
      </c>
      <c r="D621" s="11">
        <v>2.1327795E7</v>
      </c>
      <c r="E621" s="10">
        <v>45098.0</v>
      </c>
      <c r="F621" s="9" t="s">
        <v>69</v>
      </c>
      <c r="G621" s="13">
        <v>3.0</v>
      </c>
      <c r="H621" s="9" t="s">
        <v>116</v>
      </c>
      <c r="I621" s="9" t="s">
        <v>77</v>
      </c>
      <c r="J621" s="9" t="s">
        <v>93</v>
      </c>
      <c r="K621" s="9" t="s">
        <v>84</v>
      </c>
    </row>
    <row r="622" ht="15.75" customHeight="1">
      <c r="A622" s="10">
        <v>45098.0</v>
      </c>
      <c r="B622" s="11">
        <v>5.541962366E9</v>
      </c>
      <c r="C622" s="12" t="s">
        <v>628</v>
      </c>
      <c r="D622" s="11">
        <v>3.7917041E7</v>
      </c>
      <c r="E622" s="10">
        <v>45098.0</v>
      </c>
      <c r="F622" s="9" t="s">
        <v>69</v>
      </c>
      <c r="G622" s="13">
        <v>3.0</v>
      </c>
      <c r="H622" s="9" t="s">
        <v>116</v>
      </c>
      <c r="I622" s="9" t="s">
        <v>77</v>
      </c>
      <c r="J622" s="9" t="s">
        <v>93</v>
      </c>
      <c r="K622" s="9" t="s">
        <v>84</v>
      </c>
    </row>
    <row r="623" ht="15.75" customHeight="1">
      <c r="A623" s="10">
        <v>45076.0</v>
      </c>
      <c r="B623" s="11">
        <v>7.107860012E9</v>
      </c>
      <c r="C623" s="12" t="s">
        <v>629</v>
      </c>
      <c r="D623" s="11">
        <v>3.2349639E7</v>
      </c>
      <c r="E623" s="10">
        <v>45099.0</v>
      </c>
      <c r="F623" s="9" t="s">
        <v>69</v>
      </c>
      <c r="G623" s="13">
        <v>1.0</v>
      </c>
      <c r="H623" s="9" t="s">
        <v>116</v>
      </c>
      <c r="I623" s="9" t="s">
        <v>77</v>
      </c>
      <c r="J623" s="9" t="s">
        <v>93</v>
      </c>
      <c r="K623" s="9" t="s">
        <v>103</v>
      </c>
    </row>
    <row r="624" ht="15.75" customHeight="1">
      <c r="A624" s="10">
        <v>45085.0</v>
      </c>
      <c r="B624" s="11">
        <v>5.140354424E9</v>
      </c>
      <c r="C624" s="12" t="s">
        <v>630</v>
      </c>
      <c r="D624" s="11">
        <v>8083567.0</v>
      </c>
      <c r="E624" s="10">
        <v>45099.0</v>
      </c>
      <c r="F624" s="9" t="s">
        <v>69</v>
      </c>
      <c r="G624" s="13">
        <v>1.0</v>
      </c>
      <c r="H624" s="9" t="s">
        <v>116</v>
      </c>
      <c r="I624" s="9" t="s">
        <v>77</v>
      </c>
      <c r="J624" s="9" t="s">
        <v>93</v>
      </c>
      <c r="K624" s="9" t="s">
        <v>103</v>
      </c>
    </row>
    <row r="625" ht="15.75" customHeight="1">
      <c r="A625" s="10">
        <v>45092.0</v>
      </c>
      <c r="B625" s="11">
        <v>2.690187684E9</v>
      </c>
      <c r="C625" s="12" t="s">
        <v>631</v>
      </c>
      <c r="D625" s="11">
        <v>2.5923253E7</v>
      </c>
      <c r="E625" s="10">
        <v>45099.0</v>
      </c>
      <c r="F625" s="9" t="s">
        <v>76</v>
      </c>
      <c r="G625" s="13">
        <v>11.0</v>
      </c>
      <c r="H625" s="9" t="s">
        <v>116</v>
      </c>
      <c r="I625" s="9" t="s">
        <v>71</v>
      </c>
      <c r="J625" s="9" t="s">
        <v>98</v>
      </c>
      <c r="K625" s="9" t="s">
        <v>103</v>
      </c>
    </row>
    <row r="626" ht="15.75" customHeight="1">
      <c r="A626" s="10">
        <v>45092.0</v>
      </c>
      <c r="B626" s="11">
        <v>2.649089984E9</v>
      </c>
      <c r="C626" s="12" t="s">
        <v>632</v>
      </c>
      <c r="D626" s="11">
        <v>2.9060264E7</v>
      </c>
      <c r="E626" s="10">
        <v>45099.0</v>
      </c>
      <c r="F626" s="9" t="s">
        <v>69</v>
      </c>
      <c r="G626" s="13">
        <v>1.0</v>
      </c>
      <c r="H626" s="9" t="s">
        <v>116</v>
      </c>
      <c r="I626" s="9" t="s">
        <v>71</v>
      </c>
      <c r="J626" s="9" t="s">
        <v>98</v>
      </c>
      <c r="K626" s="9" t="s">
        <v>103</v>
      </c>
    </row>
    <row r="627" ht="15.75" customHeight="1">
      <c r="A627" s="10">
        <v>45092.0</v>
      </c>
      <c r="B627" s="11">
        <v>1.284169832E9</v>
      </c>
      <c r="C627" s="12" t="s">
        <v>633</v>
      </c>
      <c r="D627" s="11">
        <v>2.2877703E7</v>
      </c>
      <c r="E627" s="10">
        <v>45099.0</v>
      </c>
      <c r="F627" s="9" t="s">
        <v>76</v>
      </c>
      <c r="G627" s="13">
        <v>3.0</v>
      </c>
      <c r="H627" s="9" t="s">
        <v>116</v>
      </c>
      <c r="I627" s="9" t="s">
        <v>71</v>
      </c>
      <c r="J627" s="9" t="s">
        <v>98</v>
      </c>
      <c r="K627" s="9" t="s">
        <v>103</v>
      </c>
    </row>
    <row r="628" ht="15.75" customHeight="1">
      <c r="A628" s="10">
        <v>45092.0</v>
      </c>
      <c r="B628" s="11">
        <v>5.840525541E9</v>
      </c>
      <c r="C628" s="12" t="s">
        <v>634</v>
      </c>
      <c r="D628" s="11">
        <v>4.2547088E7</v>
      </c>
      <c r="E628" s="10">
        <v>45099.0</v>
      </c>
      <c r="F628" s="9" t="s">
        <v>69</v>
      </c>
      <c r="G628" s="13">
        <v>1.0</v>
      </c>
      <c r="H628" s="9" t="s">
        <v>116</v>
      </c>
      <c r="I628" s="9" t="s">
        <v>71</v>
      </c>
      <c r="J628" s="9" t="s">
        <v>98</v>
      </c>
      <c r="K628" s="9" t="s">
        <v>103</v>
      </c>
    </row>
    <row r="629" ht="15.75" customHeight="1">
      <c r="A629" s="10">
        <v>45098.0</v>
      </c>
      <c r="B629" s="11">
        <v>2.77398471E9</v>
      </c>
      <c r="C629" s="12" t="s">
        <v>635</v>
      </c>
      <c r="D629" s="11">
        <v>1.2733664E7</v>
      </c>
      <c r="E629" s="10">
        <v>45099.0</v>
      </c>
      <c r="F629" s="9" t="s">
        <v>69</v>
      </c>
      <c r="G629" s="13">
        <v>1.0</v>
      </c>
      <c r="H629" s="9" t="s">
        <v>116</v>
      </c>
      <c r="I629" s="9" t="s">
        <v>71</v>
      </c>
      <c r="J629" s="9" t="s">
        <v>98</v>
      </c>
      <c r="K629" s="9" t="s">
        <v>103</v>
      </c>
    </row>
    <row r="630" ht="15.75" customHeight="1">
      <c r="A630" s="10">
        <v>45098.0</v>
      </c>
      <c r="B630" s="11">
        <v>6.501840273E9</v>
      </c>
      <c r="C630" s="12" t="s">
        <v>636</v>
      </c>
      <c r="D630" s="11">
        <v>2.305673E7</v>
      </c>
      <c r="E630" s="10">
        <v>45099.0</v>
      </c>
      <c r="F630" s="9" t="s">
        <v>69</v>
      </c>
      <c r="G630" s="13">
        <v>1.0</v>
      </c>
      <c r="H630" s="9" t="s">
        <v>116</v>
      </c>
      <c r="I630" s="9" t="s">
        <v>71</v>
      </c>
      <c r="J630" s="9" t="s">
        <v>98</v>
      </c>
      <c r="K630" s="9" t="s">
        <v>103</v>
      </c>
    </row>
    <row r="631" ht="15.75" customHeight="1">
      <c r="A631" s="10">
        <v>45099.0</v>
      </c>
      <c r="B631" s="11">
        <v>5.197829302E9</v>
      </c>
      <c r="C631" s="12" t="s">
        <v>637</v>
      </c>
      <c r="D631" s="11">
        <v>2.6445714E7</v>
      </c>
      <c r="E631" s="10">
        <v>45099.0</v>
      </c>
      <c r="F631" s="9" t="s">
        <v>69</v>
      </c>
      <c r="G631" s="13">
        <v>1.0</v>
      </c>
      <c r="H631" s="9" t="s">
        <v>92</v>
      </c>
      <c r="I631" s="9" t="s">
        <v>71</v>
      </c>
      <c r="J631" s="9" t="s">
        <v>98</v>
      </c>
      <c r="K631" s="9" t="s">
        <v>103</v>
      </c>
    </row>
    <row r="632" ht="15.75" customHeight="1">
      <c r="A632" s="10">
        <v>45099.0</v>
      </c>
      <c r="B632" s="11">
        <v>6.677248443E9</v>
      </c>
      <c r="C632" s="12" t="s">
        <v>637</v>
      </c>
      <c r="D632" s="11">
        <v>2.6445714E7</v>
      </c>
      <c r="E632" s="10">
        <v>45099.0</v>
      </c>
      <c r="F632" s="9" t="s">
        <v>69</v>
      </c>
      <c r="G632" s="13">
        <v>1.0</v>
      </c>
      <c r="H632" s="9" t="s">
        <v>92</v>
      </c>
      <c r="I632" s="9" t="s">
        <v>88</v>
      </c>
      <c r="J632" s="9" t="s">
        <v>98</v>
      </c>
      <c r="K632" s="9" t="s">
        <v>107</v>
      </c>
    </row>
    <row r="633" ht="15.75" customHeight="1">
      <c r="A633" s="10">
        <v>45099.0</v>
      </c>
      <c r="B633" s="11">
        <v>4.182509785E9</v>
      </c>
      <c r="C633" s="12" t="s">
        <v>638</v>
      </c>
      <c r="D633" s="11">
        <v>2.765208E7</v>
      </c>
      <c r="E633" s="10">
        <v>45099.0</v>
      </c>
      <c r="F633" s="9" t="s">
        <v>69</v>
      </c>
      <c r="G633" s="13">
        <v>1.0</v>
      </c>
      <c r="H633" s="9" t="s">
        <v>92</v>
      </c>
      <c r="I633" s="9" t="s">
        <v>88</v>
      </c>
      <c r="J633" s="9" t="s">
        <v>98</v>
      </c>
      <c r="K633" s="9" t="s">
        <v>107</v>
      </c>
    </row>
    <row r="634" ht="15.75" customHeight="1">
      <c r="A634" s="10">
        <v>45085.0</v>
      </c>
      <c r="B634" s="11">
        <v>7.096888164E9</v>
      </c>
      <c r="C634" s="12" t="s">
        <v>639</v>
      </c>
      <c r="D634" s="11">
        <v>2.7016674E7</v>
      </c>
      <c r="E634" s="10">
        <v>45100.0</v>
      </c>
      <c r="F634" s="9" t="s">
        <v>69</v>
      </c>
      <c r="G634" s="13">
        <v>1.0</v>
      </c>
      <c r="H634" s="9" t="s">
        <v>92</v>
      </c>
      <c r="I634" s="9" t="s">
        <v>88</v>
      </c>
      <c r="J634" s="9" t="s">
        <v>98</v>
      </c>
      <c r="K634" s="9" t="s">
        <v>107</v>
      </c>
    </row>
    <row r="635" ht="15.75" customHeight="1">
      <c r="A635" s="10">
        <v>45085.0</v>
      </c>
      <c r="B635" s="11">
        <v>3.579581353E9</v>
      </c>
      <c r="C635" s="12" t="s">
        <v>639</v>
      </c>
      <c r="D635" s="11">
        <v>2.7016674E7</v>
      </c>
      <c r="E635" s="10">
        <v>45100.0</v>
      </c>
      <c r="F635" s="9" t="s">
        <v>69</v>
      </c>
      <c r="G635" s="13">
        <v>1.0</v>
      </c>
      <c r="H635" s="9" t="s">
        <v>92</v>
      </c>
      <c r="I635" s="9" t="s">
        <v>88</v>
      </c>
      <c r="J635" s="9" t="s">
        <v>98</v>
      </c>
      <c r="K635" s="9" t="s">
        <v>107</v>
      </c>
    </row>
    <row r="636" ht="15.75" customHeight="1">
      <c r="A636" s="10">
        <v>45090.0</v>
      </c>
      <c r="B636" s="11">
        <v>4.967401515E9</v>
      </c>
      <c r="C636" s="12" t="s">
        <v>640</v>
      </c>
      <c r="D636" s="11">
        <v>4886224.0</v>
      </c>
      <c r="E636" s="10">
        <v>45100.0</v>
      </c>
      <c r="F636" s="9" t="s">
        <v>69</v>
      </c>
      <c r="G636" s="13">
        <v>1.0</v>
      </c>
      <c r="H636" s="9" t="s">
        <v>112</v>
      </c>
      <c r="I636" s="9" t="s">
        <v>88</v>
      </c>
      <c r="J636" s="9" t="s">
        <v>318</v>
      </c>
      <c r="K636" s="9" t="s">
        <v>107</v>
      </c>
    </row>
    <row r="637" ht="15.75" customHeight="1">
      <c r="A637" s="10">
        <v>45092.0</v>
      </c>
      <c r="B637" s="11">
        <v>4.166791171E9</v>
      </c>
      <c r="C637" s="12" t="s">
        <v>641</v>
      </c>
      <c r="D637" s="11">
        <v>2.888354E7</v>
      </c>
      <c r="E637" s="10">
        <v>45100.0</v>
      </c>
      <c r="F637" s="9" t="s">
        <v>76</v>
      </c>
      <c r="G637" s="13">
        <v>1.0</v>
      </c>
      <c r="H637" s="9" t="s">
        <v>112</v>
      </c>
      <c r="I637" s="9" t="s">
        <v>88</v>
      </c>
      <c r="J637" s="9" t="s">
        <v>318</v>
      </c>
      <c r="K637" s="9" t="s">
        <v>107</v>
      </c>
    </row>
    <row r="638" ht="15.75" customHeight="1">
      <c r="A638" s="10">
        <v>45092.0</v>
      </c>
      <c r="B638" s="11">
        <v>3.38592604E9</v>
      </c>
      <c r="C638" s="12" t="s">
        <v>642</v>
      </c>
      <c r="D638" s="11">
        <v>3.3703506E7</v>
      </c>
      <c r="E638" s="10">
        <v>45100.0</v>
      </c>
      <c r="F638" s="9" t="s">
        <v>76</v>
      </c>
      <c r="G638" s="13">
        <v>2.0</v>
      </c>
      <c r="H638" s="9" t="s">
        <v>112</v>
      </c>
      <c r="I638" s="9" t="s">
        <v>88</v>
      </c>
      <c r="J638" s="9" t="s">
        <v>318</v>
      </c>
      <c r="K638" s="9" t="s">
        <v>107</v>
      </c>
    </row>
    <row r="639" ht="15.75" customHeight="1">
      <c r="A639" s="10">
        <v>45092.0</v>
      </c>
      <c r="B639" s="11">
        <v>1.284173262E9</v>
      </c>
      <c r="C639" s="12" t="s">
        <v>643</v>
      </c>
      <c r="D639" s="11">
        <v>1.2149229E7</v>
      </c>
      <c r="E639" s="10">
        <v>45100.0</v>
      </c>
      <c r="F639" s="9" t="s">
        <v>69</v>
      </c>
      <c r="G639" s="13">
        <v>2.0</v>
      </c>
      <c r="H639" s="9" t="s">
        <v>112</v>
      </c>
      <c r="I639" s="9" t="s">
        <v>88</v>
      </c>
      <c r="J639" s="9" t="s">
        <v>318</v>
      </c>
      <c r="K639" s="9" t="s">
        <v>107</v>
      </c>
    </row>
    <row r="640" ht="15.75" customHeight="1">
      <c r="A640" s="10">
        <v>45092.0</v>
      </c>
      <c r="B640" s="11">
        <v>9.813357024E9</v>
      </c>
      <c r="C640" s="12" t="s">
        <v>644</v>
      </c>
      <c r="D640" s="11">
        <v>4.8711564E7</v>
      </c>
      <c r="E640" s="10">
        <v>45100.0</v>
      </c>
      <c r="F640" s="9" t="s">
        <v>69</v>
      </c>
      <c r="G640" s="13">
        <v>1.0</v>
      </c>
      <c r="H640" s="9" t="s">
        <v>112</v>
      </c>
      <c r="I640" s="9" t="s">
        <v>88</v>
      </c>
      <c r="J640" s="9" t="s">
        <v>318</v>
      </c>
      <c r="K640" s="9" t="s">
        <v>107</v>
      </c>
    </row>
    <row r="641" ht="15.75" customHeight="1">
      <c r="A641" s="10">
        <v>45099.0</v>
      </c>
      <c r="B641" s="11">
        <v>9.510156972E9</v>
      </c>
      <c r="C641" s="12" t="s">
        <v>645</v>
      </c>
      <c r="D641" s="11">
        <v>3.5920141E7</v>
      </c>
      <c r="E641" s="10">
        <v>45100.0</v>
      </c>
      <c r="F641" s="9"/>
      <c r="G641" s="13">
        <v>1.0</v>
      </c>
      <c r="H641" s="9" t="s">
        <v>112</v>
      </c>
      <c r="I641" s="9" t="s">
        <v>71</v>
      </c>
      <c r="J641" s="9" t="s">
        <v>72</v>
      </c>
      <c r="K641" s="9" t="s">
        <v>73</v>
      </c>
    </row>
    <row r="642" ht="15.75" customHeight="1">
      <c r="A642" s="10">
        <v>45099.0</v>
      </c>
      <c r="B642" s="11">
        <v>8.009594902E9</v>
      </c>
      <c r="C642" s="12" t="s">
        <v>646</v>
      </c>
      <c r="D642" s="11">
        <v>4.1377169E7</v>
      </c>
      <c r="E642" s="10">
        <v>45100.0</v>
      </c>
      <c r="F642" s="9" t="s">
        <v>76</v>
      </c>
      <c r="G642" s="13">
        <v>1.0</v>
      </c>
      <c r="H642" s="9" t="s">
        <v>116</v>
      </c>
      <c r="I642" s="9" t="s">
        <v>71</v>
      </c>
      <c r="J642" s="9" t="s">
        <v>72</v>
      </c>
      <c r="K642" s="9" t="s">
        <v>73</v>
      </c>
    </row>
    <row r="643" ht="15.75" customHeight="1">
      <c r="A643" s="10">
        <v>45076.0</v>
      </c>
      <c r="B643" s="11">
        <v>5.264307893E9</v>
      </c>
      <c r="C643" s="12" t="s">
        <v>647</v>
      </c>
      <c r="D643" s="11">
        <v>3.9143738E7</v>
      </c>
      <c r="E643" s="10">
        <v>45103.0</v>
      </c>
      <c r="F643" s="9" t="s">
        <v>76</v>
      </c>
      <c r="G643" s="13">
        <v>2.0</v>
      </c>
      <c r="H643" s="9" t="s">
        <v>116</v>
      </c>
      <c r="I643" s="9" t="s">
        <v>71</v>
      </c>
      <c r="J643" s="9" t="s">
        <v>72</v>
      </c>
      <c r="K643" s="9" t="s">
        <v>73</v>
      </c>
    </row>
    <row r="644" ht="15.75" customHeight="1">
      <c r="A644" s="10">
        <v>45077.0</v>
      </c>
      <c r="B644" s="11">
        <v>2.798980483E9</v>
      </c>
      <c r="C644" s="12" t="s">
        <v>648</v>
      </c>
      <c r="D644" s="11">
        <v>3.3884209E7</v>
      </c>
      <c r="E644" s="10">
        <v>45103.0</v>
      </c>
      <c r="F644" s="9" t="s">
        <v>76</v>
      </c>
      <c r="G644" s="13">
        <v>2.0</v>
      </c>
      <c r="H644" s="9" t="s">
        <v>116</v>
      </c>
      <c r="I644" s="9" t="s">
        <v>71</v>
      </c>
      <c r="J644" s="9" t="s">
        <v>72</v>
      </c>
      <c r="K644" s="9" t="s">
        <v>73</v>
      </c>
    </row>
    <row r="645" ht="15.75" customHeight="1">
      <c r="A645" s="10">
        <v>45085.0</v>
      </c>
      <c r="B645" s="11">
        <v>3.807544252E9</v>
      </c>
      <c r="C645" s="12" t="s">
        <v>649</v>
      </c>
      <c r="D645" s="11">
        <v>2.7016191E7</v>
      </c>
      <c r="E645" s="10">
        <v>45103.0</v>
      </c>
      <c r="F645" s="9" t="s">
        <v>76</v>
      </c>
      <c r="G645" s="13">
        <v>2.0</v>
      </c>
      <c r="H645" s="9" t="s">
        <v>116</v>
      </c>
      <c r="I645" s="9" t="s">
        <v>71</v>
      </c>
      <c r="J645" s="9" t="s">
        <v>72</v>
      </c>
      <c r="K645" s="9" t="s">
        <v>73</v>
      </c>
    </row>
    <row r="646" ht="15.75" customHeight="1">
      <c r="A646" s="10">
        <v>45085.0</v>
      </c>
      <c r="B646" s="11">
        <v>6.275331145E9</v>
      </c>
      <c r="C646" s="12" t="s">
        <v>650</v>
      </c>
      <c r="D646" s="11">
        <v>3.9973122E7</v>
      </c>
      <c r="E646" s="10">
        <v>45103.0</v>
      </c>
      <c r="F646" s="9" t="s">
        <v>76</v>
      </c>
      <c r="G646" s="13">
        <v>2.0</v>
      </c>
      <c r="H646" s="9" t="s">
        <v>116</v>
      </c>
      <c r="I646" s="9" t="s">
        <v>77</v>
      </c>
      <c r="J646" s="9" t="s">
        <v>72</v>
      </c>
      <c r="K646" s="9" t="s">
        <v>73</v>
      </c>
    </row>
    <row r="647" ht="15.75" customHeight="1">
      <c r="A647" s="10">
        <v>45092.0</v>
      </c>
      <c r="B647" s="11">
        <v>1.37070703E9</v>
      </c>
      <c r="C647" s="12" t="s">
        <v>651</v>
      </c>
      <c r="D647" s="11">
        <v>3.412763E7</v>
      </c>
      <c r="E647" s="10">
        <v>45103.0</v>
      </c>
      <c r="F647" s="9" t="s">
        <v>69</v>
      </c>
      <c r="G647" s="13">
        <v>1.0</v>
      </c>
      <c r="H647" s="9" t="s">
        <v>116</v>
      </c>
      <c r="I647" s="9" t="s">
        <v>77</v>
      </c>
      <c r="J647" s="9" t="s">
        <v>72</v>
      </c>
      <c r="K647" s="9" t="s">
        <v>73</v>
      </c>
    </row>
    <row r="648" ht="15.75" customHeight="1">
      <c r="A648" s="10">
        <v>45092.0</v>
      </c>
      <c r="B648" s="11">
        <v>4.132607522E9</v>
      </c>
      <c r="C648" s="12" t="s">
        <v>652</v>
      </c>
      <c r="D648" s="11">
        <v>3.3050126E7</v>
      </c>
      <c r="E648" s="10">
        <v>45103.0</v>
      </c>
      <c r="F648" s="9" t="s">
        <v>69</v>
      </c>
      <c r="G648" s="13">
        <v>1.0</v>
      </c>
      <c r="H648" s="9" t="s">
        <v>116</v>
      </c>
      <c r="I648" s="9" t="s">
        <v>77</v>
      </c>
      <c r="J648" s="9" t="s">
        <v>318</v>
      </c>
      <c r="K648" s="9" t="s">
        <v>73</v>
      </c>
    </row>
    <row r="649" ht="15.75" customHeight="1">
      <c r="A649" s="10">
        <v>45092.0</v>
      </c>
      <c r="B649" s="11">
        <v>4.132640002E9</v>
      </c>
      <c r="C649" s="12" t="s">
        <v>653</v>
      </c>
      <c r="D649" s="11">
        <v>3.2775768E7</v>
      </c>
      <c r="E649" s="10">
        <v>45103.0</v>
      </c>
      <c r="F649" s="9" t="s">
        <v>69</v>
      </c>
      <c r="G649" s="13">
        <v>1.0</v>
      </c>
      <c r="H649" s="9" t="s">
        <v>116</v>
      </c>
      <c r="I649" s="9" t="s">
        <v>77</v>
      </c>
      <c r="J649" s="9" t="s">
        <v>318</v>
      </c>
      <c r="K649" s="9" t="s">
        <v>73</v>
      </c>
    </row>
    <row r="650" ht="15.75" customHeight="1">
      <c r="A650" s="10">
        <v>45092.0</v>
      </c>
      <c r="B650" s="11">
        <v>2.668289573E9</v>
      </c>
      <c r="C650" s="12" t="s">
        <v>654</v>
      </c>
      <c r="D650" s="11">
        <v>3.2412219E7</v>
      </c>
      <c r="E650" s="10">
        <v>45103.0</v>
      </c>
      <c r="F650" s="9" t="s">
        <v>69</v>
      </c>
      <c r="G650" s="13">
        <v>1.0</v>
      </c>
      <c r="H650" s="9" t="s">
        <v>116</v>
      </c>
      <c r="I650" s="9" t="s">
        <v>77</v>
      </c>
      <c r="J650" s="9" t="s">
        <v>318</v>
      </c>
      <c r="K650" s="9" t="s">
        <v>73</v>
      </c>
    </row>
    <row r="651" ht="15.75" customHeight="1">
      <c r="A651" s="10">
        <v>45092.0</v>
      </c>
      <c r="B651" s="11">
        <v>2.668295921E9</v>
      </c>
      <c r="C651" s="12" t="s">
        <v>654</v>
      </c>
      <c r="D651" s="11">
        <v>3.2412219E7</v>
      </c>
      <c r="E651" s="10">
        <v>45103.0</v>
      </c>
      <c r="F651" s="9" t="s">
        <v>69</v>
      </c>
      <c r="G651" s="13">
        <v>1.0</v>
      </c>
      <c r="H651" s="9" t="s">
        <v>116</v>
      </c>
      <c r="I651" s="9" t="s">
        <v>77</v>
      </c>
      <c r="J651" s="9" t="s">
        <v>318</v>
      </c>
      <c r="K651" s="9" t="s">
        <v>73</v>
      </c>
    </row>
    <row r="652" ht="15.75" customHeight="1">
      <c r="A652" s="10">
        <v>45099.0</v>
      </c>
      <c r="B652" s="11">
        <v>1.704675755E9</v>
      </c>
      <c r="C652" s="12" t="s">
        <v>655</v>
      </c>
      <c r="D652" s="11">
        <v>2.9175602E7</v>
      </c>
      <c r="E652" s="10">
        <v>45103.0</v>
      </c>
      <c r="F652" s="9" t="s">
        <v>69</v>
      </c>
      <c r="G652" s="13">
        <v>4.0</v>
      </c>
      <c r="H652" s="9" t="s">
        <v>116</v>
      </c>
      <c r="I652" s="9" t="s">
        <v>77</v>
      </c>
      <c r="J652" s="9" t="s">
        <v>318</v>
      </c>
      <c r="K652" s="9" t="s">
        <v>73</v>
      </c>
    </row>
    <row r="653" ht="15.75" customHeight="1">
      <c r="A653" s="10">
        <v>45100.0</v>
      </c>
      <c r="B653" s="11">
        <v>2.386108141E9</v>
      </c>
      <c r="C653" s="12" t="s">
        <v>656</v>
      </c>
      <c r="D653" s="11">
        <v>1.2598357E7</v>
      </c>
      <c r="E653" s="10">
        <v>45103.0</v>
      </c>
      <c r="F653" s="9" t="s">
        <v>76</v>
      </c>
      <c r="G653" s="13">
        <v>4.0</v>
      </c>
      <c r="H653" s="9" t="s">
        <v>70</v>
      </c>
      <c r="I653" s="9" t="s">
        <v>77</v>
      </c>
      <c r="J653" s="9" t="s">
        <v>318</v>
      </c>
      <c r="K653" s="9" t="s">
        <v>73</v>
      </c>
    </row>
    <row r="654" ht="15.75" customHeight="1">
      <c r="A654" s="10">
        <v>45100.0</v>
      </c>
      <c r="B654" s="11">
        <v>5.770428381E9</v>
      </c>
      <c r="C654" s="12" t="s">
        <v>657</v>
      </c>
      <c r="D654" s="11">
        <v>3.7500719E7</v>
      </c>
      <c r="E654" s="10">
        <v>45103.0</v>
      </c>
      <c r="F654" s="9" t="s">
        <v>69</v>
      </c>
      <c r="G654" s="13">
        <v>4.0</v>
      </c>
      <c r="H654" s="9" t="s">
        <v>70</v>
      </c>
      <c r="I654" s="9" t="s">
        <v>77</v>
      </c>
      <c r="J654" s="9" t="s">
        <v>93</v>
      </c>
      <c r="K654" s="9" t="s">
        <v>99</v>
      </c>
    </row>
    <row r="655" ht="15.75" customHeight="1">
      <c r="A655" s="10">
        <v>45100.0</v>
      </c>
      <c r="B655" s="11">
        <v>6.323641984E9</v>
      </c>
      <c r="C655" s="12" t="s">
        <v>658</v>
      </c>
      <c r="D655" s="11">
        <v>2.9133149E7</v>
      </c>
      <c r="E655" s="10">
        <v>45103.0</v>
      </c>
      <c r="F655" s="9" t="s">
        <v>69</v>
      </c>
      <c r="G655" s="13">
        <v>4.0</v>
      </c>
      <c r="H655" s="9" t="s">
        <v>70</v>
      </c>
      <c r="I655" s="9" t="s">
        <v>77</v>
      </c>
      <c r="J655" s="9" t="s">
        <v>93</v>
      </c>
      <c r="K655" s="9" t="s">
        <v>99</v>
      </c>
    </row>
    <row r="656" ht="15.75" customHeight="1">
      <c r="A656" s="10">
        <v>45086.0</v>
      </c>
      <c r="B656" s="11">
        <v>4.132479783E9</v>
      </c>
      <c r="C656" s="12" t="s">
        <v>659</v>
      </c>
      <c r="D656" s="11">
        <v>2.0334932E7</v>
      </c>
      <c r="E656" s="10">
        <v>45104.0</v>
      </c>
      <c r="F656" s="9" t="s">
        <v>69</v>
      </c>
      <c r="G656" s="13">
        <v>1.0</v>
      </c>
      <c r="H656" s="9" t="s">
        <v>70</v>
      </c>
      <c r="I656" s="9" t="s">
        <v>77</v>
      </c>
      <c r="J656" s="9" t="s">
        <v>93</v>
      </c>
      <c r="K656" s="9" t="s">
        <v>99</v>
      </c>
    </row>
    <row r="657" ht="15.75" customHeight="1">
      <c r="A657" s="10">
        <v>45090.0</v>
      </c>
      <c r="B657" s="11">
        <v>9.730677515E9</v>
      </c>
      <c r="C657" s="12" t="s">
        <v>660</v>
      </c>
      <c r="D657" s="11"/>
      <c r="E657" s="10">
        <v>45104.0</v>
      </c>
      <c r="F657" s="9" t="s">
        <v>69</v>
      </c>
      <c r="G657" s="13">
        <v>4.0</v>
      </c>
      <c r="H657" s="9" t="s">
        <v>70</v>
      </c>
      <c r="I657" s="9" t="s">
        <v>77</v>
      </c>
      <c r="J657" s="9" t="s">
        <v>83</v>
      </c>
      <c r="K657" s="9" t="s">
        <v>99</v>
      </c>
    </row>
    <row r="658" ht="15.75" customHeight="1">
      <c r="A658" s="10">
        <v>45100.0</v>
      </c>
      <c r="B658" s="11">
        <v>1.570086615E9</v>
      </c>
      <c r="C658" s="12" t="s">
        <v>661</v>
      </c>
      <c r="D658" s="11">
        <v>3.5029694E7</v>
      </c>
      <c r="E658" s="10">
        <v>45104.0</v>
      </c>
      <c r="F658" s="9" t="s">
        <v>76</v>
      </c>
      <c r="G658" s="13">
        <v>2.0</v>
      </c>
      <c r="H658" s="9" t="s">
        <v>70</v>
      </c>
      <c r="I658" s="9" t="s">
        <v>77</v>
      </c>
      <c r="J658" s="9" t="s">
        <v>83</v>
      </c>
      <c r="K658" s="9" t="s">
        <v>99</v>
      </c>
    </row>
    <row r="659" ht="15.75" customHeight="1">
      <c r="A659" s="10">
        <v>45100.0</v>
      </c>
      <c r="B659" s="11">
        <v>2.514086632E9</v>
      </c>
      <c r="C659" s="12" t="s">
        <v>662</v>
      </c>
      <c r="D659" s="11">
        <v>2.6799818E7</v>
      </c>
      <c r="E659" s="10">
        <v>45104.0</v>
      </c>
      <c r="F659" s="9" t="s">
        <v>76</v>
      </c>
      <c r="G659" s="13">
        <v>2.0</v>
      </c>
      <c r="H659" s="9" t="s">
        <v>70</v>
      </c>
      <c r="I659" s="9" t="s">
        <v>71</v>
      </c>
      <c r="J659" s="9" t="s">
        <v>83</v>
      </c>
      <c r="K659" s="9" t="s">
        <v>99</v>
      </c>
    </row>
    <row r="660" ht="15.75" customHeight="1">
      <c r="A660" s="10">
        <v>45100.0</v>
      </c>
      <c r="B660" s="11">
        <v>3.30755824E9</v>
      </c>
      <c r="C660" s="12" t="s">
        <v>663</v>
      </c>
      <c r="D660" s="11">
        <v>3.978155E7</v>
      </c>
      <c r="E660" s="10">
        <v>45104.0</v>
      </c>
      <c r="F660" s="9" t="s">
        <v>76</v>
      </c>
      <c r="G660" s="13">
        <v>1.0</v>
      </c>
      <c r="H660" s="9" t="s">
        <v>92</v>
      </c>
      <c r="I660" s="9" t="s">
        <v>71</v>
      </c>
      <c r="J660" s="9" t="s">
        <v>83</v>
      </c>
      <c r="K660" s="9" t="s">
        <v>107</v>
      </c>
    </row>
    <row r="661" ht="15.75" customHeight="1">
      <c r="A661" s="10">
        <v>45100.0</v>
      </c>
      <c r="B661" s="11">
        <v>2.386080115E9</v>
      </c>
      <c r="C661" s="12" t="s">
        <v>663</v>
      </c>
      <c r="D661" s="11">
        <v>3.978155E7</v>
      </c>
      <c r="E661" s="10">
        <v>45104.0</v>
      </c>
      <c r="F661" s="9" t="s">
        <v>76</v>
      </c>
      <c r="G661" s="13">
        <v>2.0</v>
      </c>
      <c r="H661" s="9" t="s">
        <v>92</v>
      </c>
      <c r="I661" s="9" t="s">
        <v>71</v>
      </c>
      <c r="J661" s="9" t="s">
        <v>83</v>
      </c>
      <c r="K661" s="9" t="s">
        <v>107</v>
      </c>
    </row>
    <row r="662" ht="15.75" customHeight="1">
      <c r="A662" s="10">
        <v>45100.0</v>
      </c>
      <c r="B662" s="11">
        <v>4.102673116E9</v>
      </c>
      <c r="C662" s="12" t="s">
        <v>664</v>
      </c>
      <c r="D662" s="11">
        <v>4.0216219E7</v>
      </c>
      <c r="E662" s="10">
        <v>45104.0</v>
      </c>
      <c r="F662" s="9" t="s">
        <v>69</v>
      </c>
      <c r="G662" s="13">
        <v>2.0</v>
      </c>
      <c r="H662" s="9" t="s">
        <v>92</v>
      </c>
      <c r="I662" s="9" t="s">
        <v>71</v>
      </c>
      <c r="J662" s="9" t="s">
        <v>83</v>
      </c>
      <c r="K662" s="9" t="s">
        <v>107</v>
      </c>
    </row>
    <row r="663" ht="15.75" customHeight="1">
      <c r="A663" s="10">
        <v>45104.0</v>
      </c>
      <c r="B663" s="11">
        <v>4.588094722E9</v>
      </c>
      <c r="C663" s="12" t="s">
        <v>665</v>
      </c>
      <c r="D663" s="11">
        <v>3.1426103E7</v>
      </c>
      <c r="E663" s="10">
        <v>45104.0</v>
      </c>
      <c r="F663" s="9" t="s">
        <v>69</v>
      </c>
      <c r="G663" s="13">
        <v>1.0</v>
      </c>
      <c r="H663" s="9" t="s">
        <v>92</v>
      </c>
      <c r="I663" s="9" t="s">
        <v>71</v>
      </c>
      <c r="J663" s="9" t="s">
        <v>83</v>
      </c>
      <c r="K663" s="9" t="s">
        <v>107</v>
      </c>
    </row>
    <row r="664" ht="15.75" customHeight="1">
      <c r="A664" s="10">
        <v>45090.0</v>
      </c>
      <c r="B664" s="11">
        <v>3.1529183E9</v>
      </c>
      <c r="C664" s="12" t="s">
        <v>666</v>
      </c>
      <c r="D664" s="11">
        <v>1.8020813E7</v>
      </c>
      <c r="E664" s="10">
        <v>45105.0</v>
      </c>
      <c r="F664" s="9" t="s">
        <v>69</v>
      </c>
      <c r="G664" s="13">
        <v>1.0</v>
      </c>
      <c r="H664" s="9" t="s">
        <v>92</v>
      </c>
      <c r="I664" s="9" t="s">
        <v>71</v>
      </c>
      <c r="J664" s="9" t="s">
        <v>83</v>
      </c>
      <c r="K664" s="9" t="s">
        <v>107</v>
      </c>
    </row>
    <row r="665" ht="15.75" customHeight="1">
      <c r="A665" s="10">
        <v>45100.0</v>
      </c>
      <c r="B665" s="11">
        <v>6.323557925E9</v>
      </c>
      <c r="C665" s="12" t="s">
        <v>667</v>
      </c>
      <c r="D665" s="11">
        <v>3.2459203E7</v>
      </c>
      <c r="E665" s="10">
        <v>45105.0</v>
      </c>
      <c r="F665" s="9" t="s">
        <v>69</v>
      </c>
      <c r="G665" s="13">
        <v>1.0</v>
      </c>
      <c r="H665" s="9" t="s">
        <v>106</v>
      </c>
      <c r="I665" s="9" t="s">
        <v>71</v>
      </c>
      <c r="J665" s="9" t="s">
        <v>83</v>
      </c>
      <c r="K665" s="9" t="s">
        <v>107</v>
      </c>
    </row>
    <row r="666" ht="15.75" customHeight="1">
      <c r="A666" s="10">
        <v>45104.0</v>
      </c>
      <c r="B666" s="11">
        <v>9.557279653E9</v>
      </c>
      <c r="C666" s="12" t="s">
        <v>668</v>
      </c>
      <c r="D666" s="11">
        <v>3.3884279E7</v>
      </c>
      <c r="E666" s="10">
        <v>45105.0</v>
      </c>
      <c r="F666" s="9" t="s">
        <v>76</v>
      </c>
      <c r="G666" s="13">
        <v>1.0</v>
      </c>
      <c r="H666" s="9" t="s">
        <v>106</v>
      </c>
      <c r="I666" s="9" t="s">
        <v>71</v>
      </c>
      <c r="J666" s="9" t="s">
        <v>83</v>
      </c>
      <c r="K666" s="9" t="s">
        <v>217</v>
      </c>
    </row>
    <row r="667" ht="15.75" customHeight="1">
      <c r="A667" s="10">
        <v>45099.0</v>
      </c>
      <c r="B667" s="11">
        <v>1.155590936E9</v>
      </c>
      <c r="C667" s="12" t="s">
        <v>669</v>
      </c>
      <c r="D667" s="11">
        <v>1.7494392E7</v>
      </c>
      <c r="E667" s="10">
        <v>45106.0</v>
      </c>
      <c r="F667" s="9" t="s">
        <v>69</v>
      </c>
      <c r="G667" s="13">
        <v>1.0</v>
      </c>
      <c r="H667" s="9" t="s">
        <v>106</v>
      </c>
      <c r="I667" s="9" t="s">
        <v>71</v>
      </c>
      <c r="J667" s="9" t="s">
        <v>83</v>
      </c>
      <c r="K667" s="9" t="s">
        <v>217</v>
      </c>
    </row>
    <row r="668" ht="15.75" customHeight="1">
      <c r="A668" s="10">
        <v>45100.0</v>
      </c>
      <c r="B668" s="11">
        <v>2.386103764E9</v>
      </c>
      <c r="C668" s="12" t="s">
        <v>670</v>
      </c>
      <c r="D668" s="11">
        <v>3.1323613E7</v>
      </c>
      <c r="E668" s="10">
        <v>45106.0</v>
      </c>
      <c r="F668" s="9" t="s">
        <v>69</v>
      </c>
      <c r="G668" s="13">
        <v>1.0</v>
      </c>
      <c r="H668" s="9" t="s">
        <v>106</v>
      </c>
      <c r="I668" s="9" t="s">
        <v>71</v>
      </c>
      <c r="J668" s="9" t="s">
        <v>83</v>
      </c>
      <c r="K668" s="9" t="s">
        <v>217</v>
      </c>
    </row>
    <row r="669" ht="15.75" customHeight="1">
      <c r="A669" s="10">
        <v>45100.0</v>
      </c>
      <c r="B669" s="11">
        <v>3.041346151E9</v>
      </c>
      <c r="C669" s="12" t="s">
        <v>671</v>
      </c>
      <c r="D669" s="11">
        <v>3.8247892E7</v>
      </c>
      <c r="E669" s="10">
        <v>45106.0</v>
      </c>
      <c r="F669" s="9" t="s">
        <v>69</v>
      </c>
      <c r="G669" s="13">
        <v>2.0</v>
      </c>
      <c r="H669" s="9" t="s">
        <v>81</v>
      </c>
      <c r="I669" s="9" t="s">
        <v>88</v>
      </c>
      <c r="J669" s="9" t="s">
        <v>83</v>
      </c>
      <c r="K669" s="9" t="s">
        <v>84</v>
      </c>
    </row>
    <row r="670" ht="15.75" customHeight="1">
      <c r="A670" s="10">
        <v>45104.0</v>
      </c>
      <c r="B670" s="11">
        <v>2.07306848E9</v>
      </c>
      <c r="C670" s="12" t="s">
        <v>672</v>
      </c>
      <c r="D670" s="11">
        <v>2.9532687E7</v>
      </c>
      <c r="E670" s="10">
        <v>45106.0</v>
      </c>
      <c r="F670" s="9" t="s">
        <v>69</v>
      </c>
      <c r="G670" s="13">
        <v>2.0</v>
      </c>
      <c r="H670" s="9" t="s">
        <v>81</v>
      </c>
      <c r="I670" s="9" t="s">
        <v>88</v>
      </c>
      <c r="J670" s="9" t="s">
        <v>98</v>
      </c>
      <c r="K670" s="9" t="s">
        <v>84</v>
      </c>
    </row>
    <row r="671" ht="15.75" customHeight="1">
      <c r="A671" s="10">
        <v>45105.0</v>
      </c>
      <c r="B671" s="11">
        <v>4.729498631E9</v>
      </c>
      <c r="C671" s="12" t="s">
        <v>673</v>
      </c>
      <c r="D671" s="11">
        <v>3.8745447E7</v>
      </c>
      <c r="E671" s="10">
        <v>45106.0</v>
      </c>
      <c r="F671" s="9" t="s">
        <v>69</v>
      </c>
      <c r="G671" s="13">
        <v>3.0</v>
      </c>
      <c r="H671" s="9" t="s">
        <v>81</v>
      </c>
      <c r="I671" s="9" t="s">
        <v>88</v>
      </c>
      <c r="J671" s="9" t="s">
        <v>98</v>
      </c>
      <c r="K671" s="9" t="s">
        <v>84</v>
      </c>
    </row>
    <row r="672" ht="15.75" customHeight="1">
      <c r="A672" s="10">
        <v>45079.0</v>
      </c>
      <c r="B672" s="11">
        <v>4.221063184E9</v>
      </c>
      <c r="C672" s="12" t="s">
        <v>674</v>
      </c>
      <c r="D672" s="11">
        <v>2.2450129E7</v>
      </c>
      <c r="E672" s="10">
        <v>45107.0</v>
      </c>
      <c r="F672" s="9" t="s">
        <v>69</v>
      </c>
      <c r="G672" s="13">
        <v>3.0</v>
      </c>
      <c r="H672" s="9" t="s">
        <v>81</v>
      </c>
      <c r="I672" s="9" t="s">
        <v>88</v>
      </c>
      <c r="J672" s="9" t="s">
        <v>98</v>
      </c>
      <c r="K672" s="9" t="s">
        <v>84</v>
      </c>
    </row>
    <row r="673" ht="15.75" customHeight="1">
      <c r="A673" s="10">
        <v>45086.0</v>
      </c>
      <c r="B673" s="11">
        <v>9.769146365E9</v>
      </c>
      <c r="C673" s="12" t="s">
        <v>675</v>
      </c>
      <c r="D673" s="11">
        <v>1.6314829E7</v>
      </c>
      <c r="E673" s="10">
        <v>45107.0</v>
      </c>
      <c r="F673" s="9" t="s">
        <v>76</v>
      </c>
      <c r="G673" s="13">
        <v>1.0</v>
      </c>
      <c r="H673" s="9" t="s">
        <v>81</v>
      </c>
      <c r="I673" s="9" t="s">
        <v>88</v>
      </c>
      <c r="J673" s="9" t="s">
        <v>98</v>
      </c>
      <c r="K673" s="9" t="s">
        <v>84</v>
      </c>
    </row>
    <row r="674" ht="15.75" customHeight="1">
      <c r="A674" s="10">
        <v>45090.0</v>
      </c>
      <c r="B674" s="11">
        <v>9.730684191E9</v>
      </c>
      <c r="C674" s="12" t="s">
        <v>675</v>
      </c>
      <c r="D674" s="11">
        <v>1.6314829E7</v>
      </c>
      <c r="E674" s="10">
        <v>45107.0</v>
      </c>
      <c r="F674" s="9" t="s">
        <v>69</v>
      </c>
      <c r="G674" s="13">
        <v>3.0</v>
      </c>
      <c r="H674" s="9" t="s">
        <v>116</v>
      </c>
      <c r="I674" s="9" t="s">
        <v>88</v>
      </c>
      <c r="J674" s="9" t="s">
        <v>98</v>
      </c>
      <c r="K674" s="9" t="s">
        <v>84</v>
      </c>
    </row>
    <row r="675" ht="15.75" customHeight="1">
      <c r="A675" s="10">
        <v>45099.0</v>
      </c>
      <c r="B675" s="11">
        <v>2.61953335E9</v>
      </c>
      <c r="C675" s="12" t="s">
        <v>676</v>
      </c>
      <c r="D675" s="11">
        <v>8095376.0</v>
      </c>
      <c r="E675" s="10">
        <v>45107.0</v>
      </c>
      <c r="F675" s="9" t="s">
        <v>76</v>
      </c>
      <c r="G675" s="13">
        <v>3.0</v>
      </c>
      <c r="H675" s="9" t="s">
        <v>116</v>
      </c>
      <c r="I675" s="9" t="s">
        <v>88</v>
      </c>
      <c r="J675" s="9" t="s">
        <v>98</v>
      </c>
      <c r="K675" s="9" t="s">
        <v>84</v>
      </c>
    </row>
    <row r="676" ht="15.75" customHeight="1">
      <c r="A676" s="10">
        <v>45104.0</v>
      </c>
      <c r="B676" s="11">
        <v>4.588083765E9</v>
      </c>
      <c r="C676" s="12" t="s">
        <v>677</v>
      </c>
      <c r="D676" s="11">
        <v>1.7924148E7</v>
      </c>
      <c r="E676" s="10">
        <v>45107.0</v>
      </c>
      <c r="F676" s="9" t="s">
        <v>69</v>
      </c>
      <c r="G676" s="13">
        <v>3.0</v>
      </c>
      <c r="H676" s="9" t="s">
        <v>116</v>
      </c>
      <c r="I676" s="9" t="s">
        <v>77</v>
      </c>
      <c r="J676" s="9" t="s">
        <v>98</v>
      </c>
      <c r="K676" s="9" t="s">
        <v>90</v>
      </c>
    </row>
    <row r="677" ht="15.75" customHeight="1">
      <c r="A677" s="10">
        <v>45104.0</v>
      </c>
      <c r="B677" s="11">
        <v>1.768877666E9</v>
      </c>
      <c r="C677" s="12" t="s">
        <v>678</v>
      </c>
      <c r="D677" s="11">
        <v>4.2500317E7</v>
      </c>
      <c r="E677" s="10">
        <v>45107.0</v>
      </c>
      <c r="F677" s="9" t="s">
        <v>69</v>
      </c>
      <c r="G677" s="13">
        <v>4.0</v>
      </c>
      <c r="H677" s="9" t="s">
        <v>116</v>
      </c>
      <c r="I677" s="9" t="s">
        <v>77</v>
      </c>
      <c r="J677" s="9" t="s">
        <v>98</v>
      </c>
      <c r="K677" s="9" t="s">
        <v>90</v>
      </c>
    </row>
    <row r="678" ht="15.75" customHeight="1">
      <c r="A678" s="10">
        <v>45104.0</v>
      </c>
      <c r="B678" s="11">
        <v>4.588094501E9</v>
      </c>
      <c r="C678" s="12" t="s">
        <v>679</v>
      </c>
      <c r="D678" s="11">
        <v>3.6998288E7</v>
      </c>
      <c r="E678" s="10">
        <v>45107.0</v>
      </c>
      <c r="F678" s="9" t="s">
        <v>69</v>
      </c>
      <c r="G678" s="13">
        <v>4.0</v>
      </c>
      <c r="H678" s="9" t="s">
        <v>116</v>
      </c>
      <c r="I678" s="9" t="s">
        <v>77</v>
      </c>
      <c r="J678" s="9" t="s">
        <v>98</v>
      </c>
      <c r="K678" s="9" t="s">
        <v>90</v>
      </c>
    </row>
    <row r="679" ht="15.75" customHeight="1">
      <c r="A679" s="10">
        <v>45104.0</v>
      </c>
      <c r="B679" s="11">
        <v>2.434469354E9</v>
      </c>
      <c r="C679" s="12" t="s">
        <v>680</v>
      </c>
      <c r="D679" s="11">
        <v>3.973257E7</v>
      </c>
      <c r="E679" s="10">
        <v>45107.0</v>
      </c>
      <c r="F679" s="9" t="s">
        <v>69</v>
      </c>
      <c r="G679" s="13">
        <v>1.0</v>
      </c>
      <c r="H679" s="9" t="s">
        <v>116</v>
      </c>
      <c r="I679" s="9" t="s">
        <v>77</v>
      </c>
      <c r="J679" s="9" t="s">
        <v>98</v>
      </c>
      <c r="K679" s="9" t="s">
        <v>90</v>
      </c>
    </row>
    <row r="680" ht="15.75" customHeight="1">
      <c r="A680" s="10">
        <v>45106.0</v>
      </c>
      <c r="B680" s="11">
        <v>6.18309916E9</v>
      </c>
      <c r="C680" s="12" t="s">
        <v>681</v>
      </c>
      <c r="D680" s="11">
        <v>2.073237E7</v>
      </c>
      <c r="E680" s="10">
        <v>45107.0</v>
      </c>
      <c r="F680" s="9" t="s">
        <v>69</v>
      </c>
      <c r="G680" s="13">
        <v>1.0</v>
      </c>
      <c r="H680" s="9" t="s">
        <v>70</v>
      </c>
      <c r="I680" s="9" t="s">
        <v>77</v>
      </c>
      <c r="J680" s="9" t="s">
        <v>98</v>
      </c>
      <c r="K680" s="9" t="s">
        <v>90</v>
      </c>
    </row>
    <row r="681" ht="15.75" customHeight="1">
      <c r="A681" s="10">
        <v>45106.0</v>
      </c>
      <c r="B681" s="11">
        <v>4.257969192E9</v>
      </c>
      <c r="C681" s="12" t="s">
        <v>682</v>
      </c>
      <c r="D681" s="11">
        <v>2.2414034E7</v>
      </c>
      <c r="E681" s="10">
        <v>45107.0</v>
      </c>
      <c r="F681" s="9" t="s">
        <v>69</v>
      </c>
      <c r="G681" s="13">
        <v>1.0</v>
      </c>
      <c r="H681" s="9" t="s">
        <v>70</v>
      </c>
      <c r="I681" s="9" t="s">
        <v>77</v>
      </c>
      <c r="J681" s="9" t="s">
        <v>93</v>
      </c>
      <c r="K681" s="9" t="s">
        <v>90</v>
      </c>
    </row>
    <row r="682" ht="15.75" customHeight="1">
      <c r="A682" s="10">
        <v>45107.0</v>
      </c>
      <c r="B682" s="11">
        <v>7.930926404E9</v>
      </c>
      <c r="C682" s="12" t="s">
        <v>683</v>
      </c>
      <c r="D682" s="11">
        <v>3.3703262E7</v>
      </c>
      <c r="E682" s="10">
        <v>45107.0</v>
      </c>
      <c r="F682" s="9" t="s">
        <v>69</v>
      </c>
      <c r="G682" s="13">
        <v>1.0</v>
      </c>
      <c r="H682" s="9" t="s">
        <v>70</v>
      </c>
      <c r="I682" s="9" t="s">
        <v>77</v>
      </c>
      <c r="J682" s="9" t="s">
        <v>93</v>
      </c>
      <c r="K682" s="9" t="s">
        <v>90</v>
      </c>
    </row>
    <row r="683" ht="15.75" customHeight="1">
      <c r="A683" s="10">
        <v>45107.0</v>
      </c>
      <c r="B683" s="11">
        <v>4.670943653E9</v>
      </c>
      <c r="C683" s="12" t="s">
        <v>684</v>
      </c>
      <c r="D683" s="11">
        <v>4.4478488E7</v>
      </c>
      <c r="E683" s="10">
        <v>45110.0</v>
      </c>
      <c r="F683" s="9" t="s">
        <v>69</v>
      </c>
      <c r="G683" s="13">
        <v>3.0</v>
      </c>
      <c r="H683" s="9" t="s">
        <v>70</v>
      </c>
      <c r="I683" s="9" t="s">
        <v>77</v>
      </c>
      <c r="J683" s="9" t="s">
        <v>93</v>
      </c>
      <c r="K683" s="9" t="s">
        <v>90</v>
      </c>
    </row>
    <row r="684" ht="15.75" customHeight="1">
      <c r="A684" s="10">
        <v>45107.0</v>
      </c>
      <c r="B684" s="11">
        <v>6.793689011E9</v>
      </c>
      <c r="C684" s="12" t="s">
        <v>685</v>
      </c>
      <c r="D684" s="11">
        <v>1.3279123E7</v>
      </c>
      <c r="E684" s="10">
        <v>45110.0</v>
      </c>
      <c r="F684" s="9" t="s">
        <v>69</v>
      </c>
      <c r="G684" s="13">
        <v>3.0</v>
      </c>
      <c r="H684" s="9" t="s">
        <v>70</v>
      </c>
      <c r="I684" s="9" t="s">
        <v>77</v>
      </c>
      <c r="J684" s="9" t="s">
        <v>93</v>
      </c>
      <c r="K684" s="9" t="s">
        <v>73</v>
      </c>
    </row>
    <row r="685" ht="15.75" customHeight="1">
      <c r="A685" s="10">
        <v>45099.0</v>
      </c>
      <c r="B685" s="11">
        <v>1.15561117E9</v>
      </c>
      <c r="C685" s="12" t="s">
        <v>686</v>
      </c>
      <c r="D685" s="11">
        <v>3.4708919E7</v>
      </c>
      <c r="E685" s="10">
        <v>45111.0</v>
      </c>
      <c r="F685" s="9" t="s">
        <v>69</v>
      </c>
      <c r="G685" s="13">
        <v>3.0</v>
      </c>
      <c r="H685" s="9" t="s">
        <v>70</v>
      </c>
      <c r="I685" s="9" t="s">
        <v>77</v>
      </c>
      <c r="J685" s="9" t="s">
        <v>93</v>
      </c>
      <c r="K685" s="9" t="s">
        <v>73</v>
      </c>
    </row>
    <row r="686" ht="15.75" customHeight="1">
      <c r="A686" s="10">
        <v>45107.0</v>
      </c>
      <c r="B686" s="11">
        <v>4.886999541E9</v>
      </c>
      <c r="C686" s="12" t="s">
        <v>687</v>
      </c>
      <c r="D686" s="11">
        <v>1.4984811E7</v>
      </c>
      <c r="E686" s="10">
        <v>45111.0</v>
      </c>
      <c r="F686" s="9" t="s">
        <v>69</v>
      </c>
      <c r="G686" s="13">
        <v>1.0</v>
      </c>
      <c r="H686" s="9" t="s">
        <v>70</v>
      </c>
      <c r="I686" s="9" t="s">
        <v>77</v>
      </c>
      <c r="J686" s="9" t="s">
        <v>93</v>
      </c>
      <c r="K686" s="9" t="s">
        <v>73</v>
      </c>
    </row>
    <row r="687" ht="15.75" customHeight="1">
      <c r="A687" s="10">
        <v>45110.0</v>
      </c>
      <c r="B687" s="11">
        <v>8.951989885E9</v>
      </c>
      <c r="C687" s="12" t="s">
        <v>688</v>
      </c>
      <c r="D687" s="11" t="s">
        <v>689</v>
      </c>
      <c r="E687" s="10">
        <v>45111.0</v>
      </c>
      <c r="F687" s="9" t="s">
        <v>76</v>
      </c>
      <c r="G687" s="13">
        <v>4.0</v>
      </c>
      <c r="H687" s="9" t="s">
        <v>70</v>
      </c>
      <c r="I687" s="9" t="s">
        <v>77</v>
      </c>
      <c r="J687" s="9" t="s">
        <v>93</v>
      </c>
      <c r="K687" s="9" t="s">
        <v>73</v>
      </c>
    </row>
    <row r="688" ht="15.75" customHeight="1">
      <c r="A688" s="10">
        <v>45100.0</v>
      </c>
      <c r="B688" s="11">
        <v>3.891946984E9</v>
      </c>
      <c r="C688" s="12" t="s">
        <v>690</v>
      </c>
      <c r="D688" s="11">
        <v>2.8681722E7</v>
      </c>
      <c r="E688" s="10">
        <v>45112.0</v>
      </c>
      <c r="F688" s="9" t="s">
        <v>76</v>
      </c>
      <c r="G688" s="13">
        <v>4.0</v>
      </c>
      <c r="H688" s="9" t="s">
        <v>70</v>
      </c>
      <c r="I688" s="9" t="s">
        <v>77</v>
      </c>
      <c r="J688" s="9" t="s">
        <v>93</v>
      </c>
      <c r="K688" s="9" t="s">
        <v>73</v>
      </c>
    </row>
    <row r="689" ht="15.75" customHeight="1">
      <c r="A689" s="10">
        <v>45106.0</v>
      </c>
      <c r="B689" s="11">
        <v>1.305261591E9</v>
      </c>
      <c r="C689" s="12" t="s">
        <v>555</v>
      </c>
      <c r="D689" s="11">
        <v>4.1446172E7</v>
      </c>
      <c r="E689" s="10">
        <v>45112.0</v>
      </c>
      <c r="F689" s="9" t="s">
        <v>76</v>
      </c>
      <c r="G689" s="13">
        <v>1.0</v>
      </c>
      <c r="H689" s="9" t="s">
        <v>70</v>
      </c>
      <c r="I689" s="9" t="s">
        <v>77</v>
      </c>
      <c r="J689" s="9" t="s">
        <v>93</v>
      </c>
      <c r="K689" s="9" t="s">
        <v>73</v>
      </c>
    </row>
    <row r="690" ht="15.75" customHeight="1">
      <c r="A690" s="10">
        <v>45107.0</v>
      </c>
      <c r="B690" s="11">
        <v>3.361051315E9</v>
      </c>
      <c r="C690" s="12" t="s">
        <v>691</v>
      </c>
      <c r="D690" s="11">
        <v>2.6660561E7</v>
      </c>
      <c r="E690" s="10">
        <v>45112.0</v>
      </c>
      <c r="F690" s="9" t="s">
        <v>76</v>
      </c>
      <c r="G690" s="13">
        <v>1.0</v>
      </c>
      <c r="H690" s="9" t="s">
        <v>70</v>
      </c>
      <c r="I690" s="9" t="s">
        <v>71</v>
      </c>
      <c r="J690" s="9" t="s">
        <v>93</v>
      </c>
      <c r="K690" s="9" t="s">
        <v>73</v>
      </c>
    </row>
    <row r="691" ht="15.75" customHeight="1">
      <c r="A691" s="10">
        <v>45111.0</v>
      </c>
      <c r="B691" s="11">
        <v>3.830165496E9</v>
      </c>
      <c r="C691" s="12" t="s">
        <v>692</v>
      </c>
      <c r="D691" s="11">
        <v>1.4480888E7</v>
      </c>
      <c r="E691" s="10">
        <v>45112.0</v>
      </c>
      <c r="F691" s="9" t="s">
        <v>76</v>
      </c>
      <c r="G691" s="13">
        <v>1.0</v>
      </c>
      <c r="H691" s="9" t="s">
        <v>70</v>
      </c>
      <c r="I691" s="9" t="s">
        <v>71</v>
      </c>
      <c r="J691" s="9" t="s">
        <v>93</v>
      </c>
      <c r="K691" s="9" t="s">
        <v>73</v>
      </c>
    </row>
    <row r="692" ht="15.75" customHeight="1">
      <c r="A692" s="10">
        <v>45111.0</v>
      </c>
      <c r="B692" s="11">
        <v>2.868656906E9</v>
      </c>
      <c r="C692" s="12" t="s">
        <v>693</v>
      </c>
      <c r="D692" s="11">
        <v>2.5212197E7</v>
      </c>
      <c r="E692" s="10">
        <v>45112.0</v>
      </c>
      <c r="F692" s="9" t="s">
        <v>69</v>
      </c>
      <c r="G692" s="13">
        <v>1.0</v>
      </c>
      <c r="H692" s="9" t="s">
        <v>70</v>
      </c>
      <c r="I692" s="9" t="s">
        <v>71</v>
      </c>
      <c r="J692" s="9" t="s">
        <v>93</v>
      </c>
      <c r="K692" s="9" t="s">
        <v>73</v>
      </c>
    </row>
    <row r="693" ht="15.75" customHeight="1">
      <c r="A693" s="10">
        <v>45111.0</v>
      </c>
      <c r="B693" s="11">
        <v>6.18656892E9</v>
      </c>
      <c r="C693" s="12" t="s">
        <v>694</v>
      </c>
      <c r="D693" s="11">
        <v>3.6040265E7</v>
      </c>
      <c r="E693" s="10">
        <v>45112.0</v>
      </c>
      <c r="F693" s="9" t="s">
        <v>69</v>
      </c>
      <c r="G693" s="13">
        <v>2.0</v>
      </c>
      <c r="H693" s="9" t="s">
        <v>70</v>
      </c>
      <c r="I693" s="9" t="s">
        <v>71</v>
      </c>
      <c r="J693" s="9" t="s">
        <v>93</v>
      </c>
      <c r="K693" s="9" t="s">
        <v>107</v>
      </c>
    </row>
    <row r="694" ht="15.75" customHeight="1">
      <c r="A694" s="10">
        <v>45111.0</v>
      </c>
      <c r="B694" s="11">
        <v>3.268710395E9</v>
      </c>
      <c r="C694" s="12" t="s">
        <v>692</v>
      </c>
      <c r="D694" s="11">
        <v>1.4480888E7</v>
      </c>
      <c r="E694" s="10">
        <v>45112.0</v>
      </c>
      <c r="F694" s="9" t="s">
        <v>69</v>
      </c>
      <c r="G694" s="13">
        <v>3.0</v>
      </c>
      <c r="H694" s="9" t="s">
        <v>70</v>
      </c>
      <c r="I694" s="9" t="s">
        <v>71</v>
      </c>
      <c r="J694" s="9" t="s">
        <v>79</v>
      </c>
      <c r="K694" s="9" t="s">
        <v>107</v>
      </c>
    </row>
    <row r="695" ht="15.75" customHeight="1">
      <c r="A695" s="10">
        <v>45111.0</v>
      </c>
      <c r="B695" s="11">
        <v>8.174030023E9</v>
      </c>
      <c r="C695" s="12" t="s">
        <v>695</v>
      </c>
      <c r="D695" s="11">
        <v>4.4919174E7</v>
      </c>
      <c r="E695" s="10">
        <v>45112.0</v>
      </c>
      <c r="F695" s="9" t="s">
        <v>69</v>
      </c>
      <c r="G695" s="13">
        <v>1.0</v>
      </c>
      <c r="H695" s="9" t="s">
        <v>70</v>
      </c>
      <c r="I695" s="9" t="s">
        <v>71</v>
      </c>
      <c r="J695" s="9" t="s">
        <v>79</v>
      </c>
      <c r="K695" s="9" t="s">
        <v>107</v>
      </c>
    </row>
    <row r="696" ht="15.75" customHeight="1">
      <c r="A696" s="10">
        <v>45111.0</v>
      </c>
      <c r="B696" s="11">
        <v>3.639376215E9</v>
      </c>
      <c r="C696" s="12" t="s">
        <v>696</v>
      </c>
      <c r="D696" s="11">
        <v>2.5862043E7</v>
      </c>
      <c r="E696" s="10">
        <v>45112.0</v>
      </c>
      <c r="F696" s="9" t="s">
        <v>76</v>
      </c>
      <c r="G696" s="13">
        <v>3.0</v>
      </c>
      <c r="H696" s="9" t="s">
        <v>70</v>
      </c>
      <c r="I696" s="9" t="s">
        <v>71</v>
      </c>
      <c r="J696" s="9" t="s">
        <v>79</v>
      </c>
      <c r="K696" s="9" t="s">
        <v>107</v>
      </c>
    </row>
    <row r="697" ht="15.75" customHeight="1">
      <c r="A697" s="10">
        <v>45111.0</v>
      </c>
      <c r="B697" s="11">
        <v>3.0238677E9</v>
      </c>
      <c r="C697" s="12" t="s">
        <v>697</v>
      </c>
      <c r="D697" s="11">
        <v>2.765136E7</v>
      </c>
      <c r="E697" s="10">
        <v>45112.0</v>
      </c>
      <c r="F697" s="9" t="s">
        <v>69</v>
      </c>
      <c r="G697" s="13">
        <v>4.0</v>
      </c>
      <c r="H697" s="9" t="s">
        <v>70</v>
      </c>
      <c r="I697" s="9" t="s">
        <v>71</v>
      </c>
      <c r="J697" s="9" t="s">
        <v>79</v>
      </c>
      <c r="K697" s="9" t="s">
        <v>107</v>
      </c>
    </row>
    <row r="698" ht="15.75" customHeight="1">
      <c r="A698" s="10">
        <v>45111.0</v>
      </c>
      <c r="B698" s="11">
        <v>7.205562151E9</v>
      </c>
      <c r="C698" s="12" t="s">
        <v>693</v>
      </c>
      <c r="D698" s="11">
        <v>2.5212197E7</v>
      </c>
      <c r="E698" s="10">
        <v>45112.0</v>
      </c>
      <c r="F698" s="9" t="s">
        <v>69</v>
      </c>
      <c r="G698" s="13">
        <v>4.0</v>
      </c>
      <c r="H698" s="9" t="s">
        <v>92</v>
      </c>
      <c r="I698" s="9" t="s">
        <v>71</v>
      </c>
      <c r="J698" s="9" t="s">
        <v>79</v>
      </c>
      <c r="K698" s="9" t="s">
        <v>73</v>
      </c>
    </row>
    <row r="699" ht="15.75" customHeight="1">
      <c r="A699" s="10">
        <v>45111.0</v>
      </c>
      <c r="B699" s="11">
        <v>8.17405197E9</v>
      </c>
      <c r="C699" s="12" t="s">
        <v>698</v>
      </c>
      <c r="D699" s="11">
        <v>1.4351666E7</v>
      </c>
      <c r="E699" s="10">
        <v>45112.0</v>
      </c>
      <c r="F699" s="9" t="s">
        <v>69</v>
      </c>
      <c r="G699" s="13">
        <v>2.0</v>
      </c>
      <c r="H699" s="9" t="s">
        <v>92</v>
      </c>
      <c r="I699" s="9" t="s">
        <v>71</v>
      </c>
      <c r="J699" s="9" t="s">
        <v>79</v>
      </c>
      <c r="K699" s="9" t="s">
        <v>73</v>
      </c>
    </row>
    <row r="700" ht="15.75" customHeight="1">
      <c r="A700" s="10">
        <v>45111.0</v>
      </c>
      <c r="B700" s="11">
        <v>5.527582863E9</v>
      </c>
      <c r="C700" s="12" t="s">
        <v>699</v>
      </c>
      <c r="D700" s="11">
        <v>1.4494673E7</v>
      </c>
      <c r="E700" s="10">
        <v>45112.0</v>
      </c>
      <c r="F700" s="9" t="s">
        <v>69</v>
      </c>
      <c r="G700" s="13">
        <v>2.0</v>
      </c>
      <c r="H700" s="9" t="s">
        <v>92</v>
      </c>
      <c r="I700" s="9" t="s">
        <v>71</v>
      </c>
      <c r="J700" s="9" t="s">
        <v>79</v>
      </c>
      <c r="K700" s="9" t="s">
        <v>73</v>
      </c>
    </row>
    <row r="701" ht="15.75" customHeight="1">
      <c r="A701" s="10">
        <v>45107.0</v>
      </c>
      <c r="B701" s="11">
        <v>7.73941427E9</v>
      </c>
      <c r="C701" s="12" t="s">
        <v>700</v>
      </c>
      <c r="D701" s="11">
        <v>1.1239238E7</v>
      </c>
      <c r="E701" s="10">
        <v>45113.0</v>
      </c>
      <c r="F701" s="9" t="s">
        <v>69</v>
      </c>
      <c r="G701" s="13">
        <v>1.0</v>
      </c>
      <c r="H701" s="9" t="s">
        <v>81</v>
      </c>
      <c r="I701" s="9" t="s">
        <v>71</v>
      </c>
      <c r="J701" s="9" t="s">
        <v>79</v>
      </c>
      <c r="K701" s="9" t="s">
        <v>73</v>
      </c>
    </row>
    <row r="702" ht="15.75" customHeight="1">
      <c r="A702" s="10">
        <v>45107.0</v>
      </c>
      <c r="B702" s="11">
        <v>3.405601743E9</v>
      </c>
      <c r="C702" s="12" t="s">
        <v>701</v>
      </c>
      <c r="D702" s="11">
        <v>1.1091393E7</v>
      </c>
      <c r="E702" s="10">
        <v>45113.0</v>
      </c>
      <c r="F702" s="9" t="s">
        <v>69</v>
      </c>
      <c r="G702" s="13">
        <v>1.0</v>
      </c>
      <c r="H702" s="9" t="s">
        <v>81</v>
      </c>
      <c r="I702" s="9" t="s">
        <v>71</v>
      </c>
      <c r="J702" s="9" t="s">
        <v>79</v>
      </c>
      <c r="K702" s="9" t="s">
        <v>73</v>
      </c>
    </row>
    <row r="703" ht="15.75" customHeight="1">
      <c r="A703" s="10">
        <v>45107.0</v>
      </c>
      <c r="B703" s="11">
        <v>6.79369012E9</v>
      </c>
      <c r="C703" s="12" t="s">
        <v>702</v>
      </c>
      <c r="D703" s="11"/>
      <c r="E703" s="10">
        <v>45113.0</v>
      </c>
      <c r="F703" s="9" t="s">
        <v>76</v>
      </c>
      <c r="G703" s="13">
        <v>1.0</v>
      </c>
      <c r="H703" s="9" t="s">
        <v>81</v>
      </c>
      <c r="I703" s="9" t="s">
        <v>71</v>
      </c>
      <c r="J703" s="9" t="s">
        <v>79</v>
      </c>
      <c r="K703" s="9" t="s">
        <v>73</v>
      </c>
    </row>
    <row r="704" ht="15.75" customHeight="1">
      <c r="A704" s="10">
        <v>45111.0</v>
      </c>
      <c r="B704" s="11">
        <v>5.527575406E9</v>
      </c>
      <c r="C704" s="12" t="s">
        <v>703</v>
      </c>
      <c r="D704" s="11">
        <v>8590200.0</v>
      </c>
      <c r="E704" s="10">
        <v>45113.0</v>
      </c>
      <c r="F704" s="9" t="s">
        <v>76</v>
      </c>
      <c r="G704" s="13">
        <v>2.0</v>
      </c>
      <c r="H704" s="9" t="s">
        <v>81</v>
      </c>
      <c r="I704" s="9" t="s">
        <v>71</v>
      </c>
      <c r="J704" s="9" t="s">
        <v>79</v>
      </c>
      <c r="K704" s="9" t="s">
        <v>73</v>
      </c>
    </row>
    <row r="705" ht="15.75" customHeight="1">
      <c r="A705" s="10">
        <v>45111.0</v>
      </c>
      <c r="B705" s="11">
        <v>5.056235166E9</v>
      </c>
      <c r="C705" s="12" t="s">
        <v>704</v>
      </c>
      <c r="D705" s="11">
        <v>1.8184909E7</v>
      </c>
      <c r="E705" s="10">
        <v>45113.0</v>
      </c>
      <c r="F705" s="9" t="s">
        <v>76</v>
      </c>
      <c r="G705" s="13">
        <v>2.0</v>
      </c>
      <c r="H705" s="9" t="s">
        <v>81</v>
      </c>
      <c r="I705" s="9" t="s">
        <v>71</v>
      </c>
      <c r="J705" s="9" t="s">
        <v>93</v>
      </c>
      <c r="K705" s="9" t="s">
        <v>73</v>
      </c>
    </row>
    <row r="706" ht="15.75" customHeight="1">
      <c r="A706" s="10">
        <v>45111.0</v>
      </c>
      <c r="B706" s="11">
        <v>2.868663136E9</v>
      </c>
      <c r="C706" s="12" t="s">
        <v>705</v>
      </c>
      <c r="D706" s="11">
        <v>2.2264543E7</v>
      </c>
      <c r="E706" s="10">
        <v>45113.0</v>
      </c>
      <c r="F706" s="9" t="s">
        <v>69</v>
      </c>
      <c r="G706" s="13">
        <v>2.0</v>
      </c>
      <c r="H706" s="9" t="s">
        <v>81</v>
      </c>
      <c r="I706" s="9" t="s">
        <v>71</v>
      </c>
      <c r="J706" s="9" t="s">
        <v>93</v>
      </c>
      <c r="K706" s="9" t="s">
        <v>73</v>
      </c>
    </row>
    <row r="707" ht="15.75" customHeight="1">
      <c r="A707" s="10">
        <v>45111.0</v>
      </c>
      <c r="B707" s="11">
        <v>7.205564236E9</v>
      </c>
      <c r="C707" s="12" t="s">
        <v>705</v>
      </c>
      <c r="D707" s="11">
        <v>2.2264543E7</v>
      </c>
      <c r="E707" s="10">
        <v>45113.0</v>
      </c>
      <c r="F707" s="9" t="s">
        <v>69</v>
      </c>
      <c r="G707" s="13">
        <v>3.0</v>
      </c>
      <c r="H707" s="9" t="s">
        <v>81</v>
      </c>
      <c r="I707" s="9" t="s">
        <v>71</v>
      </c>
      <c r="J707" s="9" t="s">
        <v>93</v>
      </c>
      <c r="K707" s="9" t="s">
        <v>73</v>
      </c>
    </row>
    <row r="708" ht="15.75" customHeight="1">
      <c r="A708" s="10">
        <v>45111.0</v>
      </c>
      <c r="B708" s="11">
        <v>3.26862809E9</v>
      </c>
      <c r="C708" s="12" t="s">
        <v>705</v>
      </c>
      <c r="D708" s="11">
        <v>2.2264543E7</v>
      </c>
      <c r="E708" s="10">
        <v>45113.0</v>
      </c>
      <c r="F708" s="9" t="s">
        <v>69</v>
      </c>
      <c r="G708" s="13">
        <v>3.0</v>
      </c>
      <c r="H708" s="9" t="s">
        <v>81</v>
      </c>
      <c r="I708" s="9" t="s">
        <v>71</v>
      </c>
      <c r="J708" s="9" t="s">
        <v>93</v>
      </c>
      <c r="K708" s="9" t="s">
        <v>73</v>
      </c>
    </row>
    <row r="709" ht="15.75" customHeight="1">
      <c r="A709" s="10">
        <v>45112.0</v>
      </c>
      <c r="B709" s="11">
        <v>7.970855911E9</v>
      </c>
      <c r="C709" s="12" t="s">
        <v>706</v>
      </c>
      <c r="D709" s="11">
        <v>1.65408E7</v>
      </c>
      <c r="E709" s="10">
        <v>45113.0</v>
      </c>
      <c r="F709" s="9" t="s">
        <v>69</v>
      </c>
      <c r="G709" s="13">
        <v>3.0</v>
      </c>
      <c r="H709" s="9" t="s">
        <v>106</v>
      </c>
      <c r="I709" s="9" t="s">
        <v>71</v>
      </c>
      <c r="J709" s="9" t="s">
        <v>93</v>
      </c>
      <c r="K709" s="9" t="s">
        <v>73</v>
      </c>
    </row>
    <row r="710" ht="15.75" customHeight="1">
      <c r="A710" s="10">
        <v>45112.0</v>
      </c>
      <c r="B710" s="11">
        <v>5.005946374E9</v>
      </c>
      <c r="C710" s="12" t="s">
        <v>707</v>
      </c>
      <c r="D710" s="11">
        <v>2.2664571E7</v>
      </c>
      <c r="E710" s="10">
        <v>45113.0</v>
      </c>
      <c r="F710" s="9" t="s">
        <v>76</v>
      </c>
      <c r="G710" s="13">
        <v>3.0</v>
      </c>
      <c r="H710" s="9" t="s">
        <v>106</v>
      </c>
      <c r="I710" s="9" t="s">
        <v>71</v>
      </c>
      <c r="J710" s="9" t="s">
        <v>93</v>
      </c>
      <c r="K710" s="9" t="s">
        <v>99</v>
      </c>
    </row>
    <row r="711" ht="15.75" customHeight="1">
      <c r="A711" s="10">
        <v>45112.0</v>
      </c>
      <c r="B711" s="11">
        <v>7.479323961E9</v>
      </c>
      <c r="C711" s="12" t="s">
        <v>708</v>
      </c>
      <c r="D711" s="11">
        <v>2.4059533E7</v>
      </c>
      <c r="E711" s="10">
        <v>45113.0</v>
      </c>
      <c r="F711" s="9" t="s">
        <v>76</v>
      </c>
      <c r="G711" s="13">
        <v>2.0</v>
      </c>
      <c r="H711" s="9" t="s">
        <v>106</v>
      </c>
      <c r="I711" s="9" t="s">
        <v>71</v>
      </c>
      <c r="J711" s="9" t="s">
        <v>93</v>
      </c>
      <c r="K711" s="9" t="s">
        <v>99</v>
      </c>
    </row>
    <row r="712" ht="15.75" customHeight="1">
      <c r="A712" s="10">
        <v>45112.0</v>
      </c>
      <c r="B712" s="11">
        <v>5.005970454E9</v>
      </c>
      <c r="C712" s="12" t="s">
        <v>709</v>
      </c>
      <c r="D712" s="11">
        <v>5427600.0</v>
      </c>
      <c r="E712" s="10">
        <v>45113.0</v>
      </c>
      <c r="F712" s="9" t="s">
        <v>76</v>
      </c>
      <c r="G712" s="13">
        <v>2.0</v>
      </c>
      <c r="H712" s="9" t="s">
        <v>106</v>
      </c>
      <c r="I712" s="9" t="s">
        <v>71</v>
      </c>
      <c r="J712" s="9" t="s">
        <v>93</v>
      </c>
      <c r="K712" s="9" t="s">
        <v>99</v>
      </c>
    </row>
    <row r="713" ht="15.75" customHeight="1">
      <c r="A713" s="10">
        <v>45104.0</v>
      </c>
      <c r="B713" s="11">
        <v>2.434426153E9</v>
      </c>
      <c r="C713" s="12" t="s">
        <v>710</v>
      </c>
      <c r="D713" s="11">
        <v>1.1546173E7</v>
      </c>
      <c r="E713" s="10">
        <v>45114.0</v>
      </c>
      <c r="F713" s="9" t="s">
        <v>76</v>
      </c>
      <c r="G713" s="13">
        <v>2.0</v>
      </c>
      <c r="H713" s="9" t="s">
        <v>106</v>
      </c>
      <c r="I713" s="9" t="s">
        <v>71</v>
      </c>
      <c r="J713" s="9" t="s">
        <v>93</v>
      </c>
      <c r="K713" s="9" t="s">
        <v>99</v>
      </c>
    </row>
    <row r="714" ht="15.75" customHeight="1">
      <c r="A714" s="10">
        <v>45105.0</v>
      </c>
      <c r="B714" s="11">
        <v>4.729466324E9</v>
      </c>
      <c r="C714" s="12" t="s">
        <v>711</v>
      </c>
      <c r="D714" s="11">
        <v>2.5212484E7</v>
      </c>
      <c r="E714" s="10">
        <v>45114.0</v>
      </c>
      <c r="F714" s="9" t="s">
        <v>76</v>
      </c>
      <c r="G714" s="13">
        <v>2.0</v>
      </c>
      <c r="H714" s="9" t="s">
        <v>106</v>
      </c>
      <c r="I714" s="9" t="s">
        <v>71</v>
      </c>
      <c r="J714" s="9" t="s">
        <v>93</v>
      </c>
      <c r="K714" s="9" t="s">
        <v>99</v>
      </c>
    </row>
    <row r="715" ht="15.75" customHeight="1">
      <c r="A715" s="10">
        <v>45111.0</v>
      </c>
      <c r="B715" s="11">
        <v>5.16191305E9</v>
      </c>
      <c r="C715" s="12" t="s">
        <v>712</v>
      </c>
      <c r="D715" s="11">
        <v>3.2460083E7</v>
      </c>
      <c r="E715" s="10">
        <v>45114.0</v>
      </c>
      <c r="F715" s="9" t="s">
        <v>76</v>
      </c>
      <c r="G715" s="13">
        <v>2.0</v>
      </c>
      <c r="H715" s="9" t="s">
        <v>112</v>
      </c>
      <c r="I715" s="9" t="s">
        <v>77</v>
      </c>
      <c r="J715" s="9" t="s">
        <v>93</v>
      </c>
      <c r="K715" s="9" t="s">
        <v>99</v>
      </c>
    </row>
    <row r="716" ht="15.75" customHeight="1">
      <c r="A716" s="10">
        <v>45111.0</v>
      </c>
      <c r="B716" s="11">
        <v>3.639377416E9</v>
      </c>
      <c r="C716" s="12" t="s">
        <v>713</v>
      </c>
      <c r="D716" s="11">
        <v>3.2224757E7</v>
      </c>
      <c r="E716" s="10">
        <v>45114.0</v>
      </c>
      <c r="F716" s="9" t="s">
        <v>69</v>
      </c>
      <c r="G716" s="13">
        <v>3.0</v>
      </c>
      <c r="H716" s="9" t="s">
        <v>112</v>
      </c>
      <c r="I716" s="9" t="s">
        <v>77</v>
      </c>
      <c r="J716" s="9" t="s">
        <v>93</v>
      </c>
      <c r="K716" s="9" t="s">
        <v>99</v>
      </c>
    </row>
    <row r="717" ht="15.75" customHeight="1">
      <c r="A717" s="10">
        <v>45098.0</v>
      </c>
      <c r="B717" s="11">
        <v>5.541954681E9</v>
      </c>
      <c r="C717" s="12" t="s">
        <v>714</v>
      </c>
      <c r="D717" s="11">
        <v>3.6866651E7</v>
      </c>
      <c r="E717" s="10">
        <v>45117.0</v>
      </c>
      <c r="F717" s="9" t="s">
        <v>69</v>
      </c>
      <c r="G717" s="13">
        <v>3.0</v>
      </c>
      <c r="H717" s="9" t="s">
        <v>112</v>
      </c>
      <c r="I717" s="9" t="s">
        <v>77</v>
      </c>
      <c r="J717" s="9" t="s">
        <v>93</v>
      </c>
      <c r="K717" s="9" t="s">
        <v>99</v>
      </c>
    </row>
    <row r="718" ht="15.75" customHeight="1">
      <c r="A718" s="10">
        <v>45099.0</v>
      </c>
      <c r="B718" s="11">
        <v>6.282909253E9</v>
      </c>
      <c r="C718" s="12" t="s">
        <v>715</v>
      </c>
      <c r="D718" s="11">
        <v>3.7725374E7</v>
      </c>
      <c r="E718" s="10">
        <v>45117.0</v>
      </c>
      <c r="F718" s="9" t="s">
        <v>69</v>
      </c>
      <c r="G718" s="13">
        <v>3.0</v>
      </c>
      <c r="H718" s="9" t="s">
        <v>112</v>
      </c>
      <c r="I718" s="9" t="s">
        <v>77</v>
      </c>
      <c r="J718" s="9" t="s">
        <v>93</v>
      </c>
      <c r="K718" s="9" t="s">
        <v>84</v>
      </c>
    </row>
    <row r="719" ht="15.75" customHeight="1">
      <c r="A719" s="10">
        <v>45110.0</v>
      </c>
      <c r="B719" s="11">
        <v>4.902152883E9</v>
      </c>
      <c r="C719" s="12" t="s">
        <v>716</v>
      </c>
      <c r="D719" s="11">
        <v>2.1998191E7</v>
      </c>
      <c r="E719" s="10">
        <v>45117.0</v>
      </c>
      <c r="F719" s="9" t="s">
        <v>69</v>
      </c>
      <c r="G719" s="13">
        <v>3.0</v>
      </c>
      <c r="H719" s="9" t="s">
        <v>106</v>
      </c>
      <c r="I719" s="9" t="s">
        <v>77</v>
      </c>
      <c r="J719" s="9" t="s">
        <v>79</v>
      </c>
      <c r="K719" s="9" t="s">
        <v>84</v>
      </c>
    </row>
    <row r="720" ht="15.75" customHeight="1">
      <c r="A720" s="10">
        <v>45111.0</v>
      </c>
      <c r="B720" s="11">
        <v>5.250484013E9</v>
      </c>
      <c r="C720" s="12" t="s">
        <v>717</v>
      </c>
      <c r="D720" s="11">
        <v>1.8523814E7</v>
      </c>
      <c r="E720" s="10">
        <v>45117.0</v>
      </c>
      <c r="F720" s="9" t="s">
        <v>76</v>
      </c>
      <c r="G720" s="13">
        <v>3.0</v>
      </c>
      <c r="H720" s="9" t="s">
        <v>106</v>
      </c>
      <c r="I720" s="9" t="s">
        <v>77</v>
      </c>
      <c r="J720" s="9" t="s">
        <v>79</v>
      </c>
      <c r="K720" s="9" t="s">
        <v>84</v>
      </c>
    </row>
    <row r="721" ht="15.75" customHeight="1">
      <c r="A721" s="10">
        <v>45114.0</v>
      </c>
      <c r="B721" s="11">
        <v>3.867929111E9</v>
      </c>
      <c r="C721" s="12" t="s">
        <v>718</v>
      </c>
      <c r="D721" s="11">
        <v>1.1708615E7</v>
      </c>
      <c r="E721" s="10">
        <v>45117.0</v>
      </c>
      <c r="F721" s="9" t="s">
        <v>76</v>
      </c>
      <c r="G721" s="13">
        <v>3.0</v>
      </c>
      <c r="H721" s="9" t="s">
        <v>106</v>
      </c>
      <c r="I721" s="9" t="s">
        <v>77</v>
      </c>
      <c r="J721" s="9" t="s">
        <v>79</v>
      </c>
      <c r="K721" s="9" t="s">
        <v>84</v>
      </c>
    </row>
    <row r="722" ht="15.75" customHeight="1">
      <c r="A722" s="10">
        <v>45114.0</v>
      </c>
      <c r="B722" s="11">
        <v>3.86526273E9</v>
      </c>
      <c r="C722" s="12" t="s">
        <v>719</v>
      </c>
      <c r="D722" s="11">
        <v>3.3815077E7</v>
      </c>
      <c r="E722" s="10">
        <v>45117.0</v>
      </c>
      <c r="F722" s="9" t="s">
        <v>76</v>
      </c>
      <c r="G722" s="13">
        <v>2.0</v>
      </c>
      <c r="H722" s="9" t="s">
        <v>106</v>
      </c>
      <c r="I722" s="9" t="s">
        <v>77</v>
      </c>
      <c r="J722" s="9" t="s">
        <v>79</v>
      </c>
      <c r="K722" s="9" t="s">
        <v>84</v>
      </c>
    </row>
    <row r="723" ht="15.75" customHeight="1">
      <c r="A723" s="10">
        <v>45100.0</v>
      </c>
      <c r="B723" s="11">
        <v>7.729490705E9</v>
      </c>
      <c r="C723" s="12" t="s">
        <v>720</v>
      </c>
      <c r="D723" s="11">
        <v>2.17443E7</v>
      </c>
      <c r="E723" s="10">
        <v>45118.0</v>
      </c>
      <c r="F723" s="9" t="s">
        <v>76</v>
      </c>
      <c r="G723" s="13">
        <v>2.0</v>
      </c>
      <c r="H723" s="9" t="s">
        <v>106</v>
      </c>
      <c r="I723" s="9" t="s">
        <v>77</v>
      </c>
      <c r="J723" s="9" t="s">
        <v>79</v>
      </c>
      <c r="K723" s="9" t="s">
        <v>84</v>
      </c>
    </row>
    <row r="724" ht="15.75" customHeight="1">
      <c r="A724" s="10">
        <v>45107.0</v>
      </c>
      <c r="B724" s="11">
        <v>7.819776064E9</v>
      </c>
      <c r="C724" s="12" t="s">
        <v>721</v>
      </c>
      <c r="D724" s="11">
        <v>1.761493E7</v>
      </c>
      <c r="E724" s="10">
        <v>45118.0</v>
      </c>
      <c r="F724" s="9" t="s">
        <v>69</v>
      </c>
      <c r="G724" s="13">
        <v>2.0</v>
      </c>
      <c r="H724" s="9" t="s">
        <v>116</v>
      </c>
      <c r="I724" s="9" t="s">
        <v>77</v>
      </c>
      <c r="J724" s="9" t="s">
        <v>79</v>
      </c>
      <c r="K724" s="9" t="s">
        <v>90</v>
      </c>
    </row>
    <row r="725" ht="15.75" customHeight="1">
      <c r="A725" s="10">
        <v>45111.0</v>
      </c>
      <c r="B725" s="11">
        <v>3.268706792E9</v>
      </c>
      <c r="C725" s="12" t="s">
        <v>722</v>
      </c>
      <c r="D725" s="11">
        <v>2.3930219E7</v>
      </c>
      <c r="E725" s="10">
        <v>45118.0</v>
      </c>
      <c r="F725" s="9" t="s">
        <v>69</v>
      </c>
      <c r="G725" s="13">
        <v>3.0</v>
      </c>
      <c r="H725" s="9" t="s">
        <v>116</v>
      </c>
      <c r="I725" s="9" t="s">
        <v>77</v>
      </c>
      <c r="J725" s="9" t="s">
        <v>79</v>
      </c>
      <c r="K725" s="9" t="s">
        <v>90</v>
      </c>
    </row>
    <row r="726" ht="15.75" customHeight="1">
      <c r="A726" s="10">
        <v>45114.0</v>
      </c>
      <c r="B726" s="11">
        <v>3.048174441E9</v>
      </c>
      <c r="C726" s="12" t="s">
        <v>723</v>
      </c>
      <c r="D726" s="11">
        <v>2.2450969E7</v>
      </c>
      <c r="E726" s="10">
        <v>45118.0</v>
      </c>
      <c r="F726" s="9" t="s">
        <v>69</v>
      </c>
      <c r="G726" s="13">
        <v>3.0</v>
      </c>
      <c r="H726" s="9" t="s">
        <v>116</v>
      </c>
      <c r="I726" s="9" t="s">
        <v>77</v>
      </c>
      <c r="J726" s="9" t="s">
        <v>79</v>
      </c>
      <c r="K726" s="9" t="s">
        <v>90</v>
      </c>
    </row>
    <row r="727" ht="15.75" customHeight="1">
      <c r="A727" s="10">
        <v>45114.0</v>
      </c>
      <c r="B727" s="11">
        <v>8.992147522E9</v>
      </c>
      <c r="C727" s="12" t="s">
        <v>724</v>
      </c>
      <c r="D727" s="11">
        <v>3.9731219E7</v>
      </c>
      <c r="E727" s="10">
        <v>45118.0</v>
      </c>
      <c r="F727" s="9" t="s">
        <v>69</v>
      </c>
      <c r="G727" s="13">
        <v>3.0</v>
      </c>
      <c r="H727" s="9" t="s">
        <v>116</v>
      </c>
      <c r="I727" s="9" t="s">
        <v>77</v>
      </c>
      <c r="J727" s="9" t="s">
        <v>79</v>
      </c>
      <c r="K727" s="9" t="s">
        <v>90</v>
      </c>
    </row>
    <row r="728" ht="15.75" customHeight="1">
      <c r="A728" s="10">
        <v>45118.0</v>
      </c>
      <c r="B728" s="11">
        <v>4.009012081E9</v>
      </c>
      <c r="C728" s="12" t="s">
        <v>718</v>
      </c>
      <c r="D728" s="11">
        <v>1.1708615E7</v>
      </c>
      <c r="E728" s="10">
        <v>45118.0</v>
      </c>
      <c r="F728" s="9" t="s">
        <v>69</v>
      </c>
      <c r="G728" s="13">
        <v>3.0</v>
      </c>
      <c r="H728" s="9" t="s">
        <v>116</v>
      </c>
      <c r="I728" s="9" t="s">
        <v>77</v>
      </c>
      <c r="J728" s="9" t="s">
        <v>79</v>
      </c>
      <c r="K728" s="9" t="s">
        <v>84</v>
      </c>
    </row>
    <row r="729" ht="15.75" customHeight="1">
      <c r="A729" s="10">
        <v>45107.0</v>
      </c>
      <c r="B729" s="11">
        <v>7.930919883E9</v>
      </c>
      <c r="C729" s="12" t="s">
        <v>725</v>
      </c>
      <c r="D729" s="11">
        <v>3.1254083E7</v>
      </c>
      <c r="E729" s="10">
        <v>45119.0</v>
      </c>
      <c r="F729" s="9" t="s">
        <v>69</v>
      </c>
      <c r="G729" s="13">
        <v>3.0</v>
      </c>
      <c r="H729" s="9" t="s">
        <v>116</v>
      </c>
      <c r="I729" s="9" t="s">
        <v>88</v>
      </c>
      <c r="J729" s="9" t="s">
        <v>83</v>
      </c>
      <c r="K729" s="9" t="s">
        <v>84</v>
      </c>
    </row>
    <row r="730" ht="15.75" customHeight="1">
      <c r="A730" s="10">
        <v>45110.0</v>
      </c>
      <c r="B730" s="11">
        <v>2.871174456E9</v>
      </c>
      <c r="C730" s="12" t="s">
        <v>726</v>
      </c>
      <c r="D730" s="11">
        <v>4.0953029E7</v>
      </c>
      <c r="E730" s="10">
        <v>45119.0</v>
      </c>
      <c r="F730" s="9" t="s">
        <v>69</v>
      </c>
      <c r="G730" s="13">
        <v>2.0</v>
      </c>
      <c r="H730" s="9" t="s">
        <v>116</v>
      </c>
      <c r="I730" s="9" t="s">
        <v>88</v>
      </c>
      <c r="J730" s="9" t="s">
        <v>83</v>
      </c>
      <c r="K730" s="9" t="s">
        <v>84</v>
      </c>
    </row>
    <row r="731" ht="15.75" customHeight="1">
      <c r="A731" s="10">
        <v>45110.0</v>
      </c>
      <c r="B731" s="11">
        <v>6.926539863E9</v>
      </c>
      <c r="C731" s="12" t="s">
        <v>727</v>
      </c>
      <c r="D731" s="11">
        <v>4.320297E7</v>
      </c>
      <c r="E731" s="10">
        <v>45119.0</v>
      </c>
      <c r="F731" s="9" t="s">
        <v>69</v>
      </c>
      <c r="G731" s="13">
        <v>2.0</v>
      </c>
      <c r="H731" s="9" t="s">
        <v>116</v>
      </c>
      <c r="I731" s="9" t="s">
        <v>88</v>
      </c>
      <c r="J731" s="9" t="s">
        <v>83</v>
      </c>
      <c r="K731" s="9" t="s">
        <v>84</v>
      </c>
    </row>
    <row r="732" ht="15.75" customHeight="1">
      <c r="A732" s="10">
        <v>45114.0</v>
      </c>
      <c r="B732" s="11">
        <v>8.992180595E9</v>
      </c>
      <c r="C732" s="12" t="s">
        <v>728</v>
      </c>
      <c r="D732" s="11">
        <v>3.6585681E7</v>
      </c>
      <c r="E732" s="10">
        <v>45119.0</v>
      </c>
      <c r="F732" s="9" t="s">
        <v>69</v>
      </c>
      <c r="G732" s="13">
        <v>2.0</v>
      </c>
      <c r="H732" s="9" t="s">
        <v>116</v>
      </c>
      <c r="I732" s="9" t="s">
        <v>88</v>
      </c>
      <c r="J732" s="9" t="s">
        <v>83</v>
      </c>
      <c r="K732" s="9" t="s">
        <v>84</v>
      </c>
    </row>
    <row r="733" ht="15.75" customHeight="1">
      <c r="A733" s="10">
        <v>45118.0</v>
      </c>
      <c r="B733" s="11">
        <v>4.009038622E9</v>
      </c>
      <c r="C733" s="12" t="s">
        <v>729</v>
      </c>
      <c r="D733" s="11">
        <v>2.678383E7</v>
      </c>
      <c r="E733" s="10">
        <v>45119.0</v>
      </c>
      <c r="F733" s="9" t="s">
        <v>69</v>
      </c>
      <c r="G733" s="13">
        <v>2.0</v>
      </c>
      <c r="H733" s="9" t="s">
        <v>116</v>
      </c>
      <c r="I733" s="9" t="s">
        <v>88</v>
      </c>
      <c r="J733" s="9" t="s">
        <v>318</v>
      </c>
      <c r="K733" s="9" t="s">
        <v>107</v>
      </c>
    </row>
    <row r="734" ht="15.75" customHeight="1">
      <c r="A734" s="10">
        <v>45118.0</v>
      </c>
      <c r="B734" s="11">
        <v>7.203615145E9</v>
      </c>
      <c r="C734" s="12" t="s">
        <v>730</v>
      </c>
      <c r="D734" s="11">
        <v>2.9878613E7</v>
      </c>
      <c r="E734" s="10">
        <v>45119.0</v>
      </c>
      <c r="F734" s="9" t="s">
        <v>69</v>
      </c>
      <c r="G734" s="13">
        <v>5.0</v>
      </c>
      <c r="H734" s="9" t="s">
        <v>116</v>
      </c>
      <c r="I734" s="9" t="s">
        <v>88</v>
      </c>
      <c r="J734" s="9" t="s">
        <v>318</v>
      </c>
      <c r="K734" s="9" t="s">
        <v>107</v>
      </c>
    </row>
    <row r="735" ht="15.75" customHeight="1">
      <c r="A735" s="10">
        <v>45118.0</v>
      </c>
      <c r="B735" s="11">
        <v>9.812651262E9</v>
      </c>
      <c r="C735" s="12" t="s">
        <v>731</v>
      </c>
      <c r="D735" s="11">
        <v>1.2734032E7</v>
      </c>
      <c r="E735" s="10">
        <v>45119.0</v>
      </c>
      <c r="F735" s="9" t="s">
        <v>69</v>
      </c>
      <c r="G735" s="13">
        <v>5.0</v>
      </c>
      <c r="H735" s="9" t="s">
        <v>116</v>
      </c>
      <c r="I735" s="9" t="s">
        <v>88</v>
      </c>
      <c r="J735" s="9" t="s">
        <v>318</v>
      </c>
      <c r="K735" s="9" t="s">
        <v>107</v>
      </c>
    </row>
    <row r="736" ht="15.75" customHeight="1">
      <c r="A736" s="10">
        <v>45092.0</v>
      </c>
      <c r="B736" s="11">
        <v>4.233753543E9</v>
      </c>
      <c r="C736" s="12" t="s">
        <v>732</v>
      </c>
      <c r="D736" s="11">
        <v>3.6328678E7</v>
      </c>
      <c r="E736" s="10">
        <v>45120.0</v>
      </c>
      <c r="F736" s="9" t="s">
        <v>69</v>
      </c>
      <c r="G736" s="13">
        <v>5.0</v>
      </c>
      <c r="H736" s="9" t="s">
        <v>116</v>
      </c>
      <c r="I736" s="9" t="s">
        <v>88</v>
      </c>
      <c r="J736" s="9" t="s">
        <v>318</v>
      </c>
      <c r="K736" s="9" t="s">
        <v>107</v>
      </c>
    </row>
    <row r="737" ht="15.75" customHeight="1">
      <c r="A737" s="10">
        <v>45114.0</v>
      </c>
      <c r="B737" s="11">
        <v>7.098505503E9</v>
      </c>
      <c r="C737" s="12" t="s">
        <v>733</v>
      </c>
      <c r="D737" s="11">
        <v>2.8883409E7</v>
      </c>
      <c r="E737" s="10">
        <v>45120.0</v>
      </c>
      <c r="F737" s="9" t="s">
        <v>69</v>
      </c>
      <c r="G737" s="13">
        <v>6.0</v>
      </c>
      <c r="H737" s="9" t="s">
        <v>116</v>
      </c>
      <c r="I737" s="9" t="s">
        <v>88</v>
      </c>
      <c r="J737" s="9" t="s">
        <v>318</v>
      </c>
      <c r="K737" s="9" t="s">
        <v>107</v>
      </c>
    </row>
    <row r="738" ht="15.75" customHeight="1">
      <c r="A738" s="10">
        <v>45114.0</v>
      </c>
      <c r="B738" s="11">
        <v>3.865271384E9</v>
      </c>
      <c r="C738" s="12" t="s">
        <v>734</v>
      </c>
      <c r="D738" s="11">
        <v>1.726943E7</v>
      </c>
      <c r="E738" s="10">
        <v>45120.0</v>
      </c>
      <c r="F738" s="9" t="s">
        <v>69</v>
      </c>
      <c r="G738" s="13">
        <v>2.0</v>
      </c>
      <c r="H738" s="9" t="s">
        <v>116</v>
      </c>
      <c r="I738" s="9" t="s">
        <v>88</v>
      </c>
      <c r="J738" s="9" t="s">
        <v>318</v>
      </c>
      <c r="K738" s="9" t="s">
        <v>217</v>
      </c>
    </row>
    <row r="739" ht="15.75" customHeight="1">
      <c r="A739" s="10">
        <v>45117.0</v>
      </c>
      <c r="B739" s="11">
        <v>8.318918742E9</v>
      </c>
      <c r="C739" s="12" t="s">
        <v>735</v>
      </c>
      <c r="D739" s="11">
        <v>5877684.0</v>
      </c>
      <c r="E739" s="10">
        <v>45120.0</v>
      </c>
      <c r="F739" s="9" t="s">
        <v>69</v>
      </c>
      <c r="G739" s="13">
        <v>2.0</v>
      </c>
      <c r="H739" s="9" t="s">
        <v>116</v>
      </c>
      <c r="I739" s="9" t="s">
        <v>71</v>
      </c>
      <c r="J739" s="9" t="s">
        <v>318</v>
      </c>
      <c r="K739" s="9" t="s">
        <v>217</v>
      </c>
    </row>
    <row r="740" ht="15.75" customHeight="1">
      <c r="A740" s="10">
        <v>45117.0</v>
      </c>
      <c r="B740" s="11">
        <v>9.941793735E9</v>
      </c>
      <c r="C740" s="12" t="s">
        <v>736</v>
      </c>
      <c r="D740" s="11">
        <v>5877684.0</v>
      </c>
      <c r="E740" s="10">
        <v>45120.0</v>
      </c>
      <c r="F740" s="9" t="s">
        <v>76</v>
      </c>
      <c r="G740" s="13">
        <v>2.0</v>
      </c>
      <c r="H740" s="9" t="s">
        <v>116</v>
      </c>
      <c r="I740" s="9" t="s">
        <v>71</v>
      </c>
      <c r="J740" s="9" t="s">
        <v>72</v>
      </c>
      <c r="K740" s="9" t="s">
        <v>217</v>
      </c>
    </row>
    <row r="741" ht="15.75" customHeight="1">
      <c r="A741" s="10">
        <v>45117.0</v>
      </c>
      <c r="B741" s="11">
        <v>2.212850872E9</v>
      </c>
      <c r="C741" s="12" t="s">
        <v>737</v>
      </c>
      <c r="D741" s="11">
        <v>4.0355587E7</v>
      </c>
      <c r="E741" s="10">
        <v>45120.0</v>
      </c>
      <c r="F741" s="9" t="s">
        <v>69</v>
      </c>
      <c r="G741" s="13">
        <v>2.0</v>
      </c>
      <c r="H741" s="9" t="s">
        <v>70</v>
      </c>
      <c r="I741" s="9" t="s">
        <v>71</v>
      </c>
      <c r="J741" s="9" t="s">
        <v>72</v>
      </c>
      <c r="K741" s="9" t="s">
        <v>217</v>
      </c>
    </row>
    <row r="742" ht="15.75" customHeight="1">
      <c r="A742" s="10">
        <v>45117.0</v>
      </c>
      <c r="B742" s="11">
        <v>3.273118413E9</v>
      </c>
      <c r="C742" s="12" t="s">
        <v>737</v>
      </c>
      <c r="D742" s="11">
        <v>4.0355587E7</v>
      </c>
      <c r="E742" s="10">
        <v>45120.0</v>
      </c>
      <c r="F742" s="9" t="s">
        <v>69</v>
      </c>
      <c r="G742" s="13">
        <v>7.0</v>
      </c>
      <c r="H742" s="9" t="s">
        <v>70</v>
      </c>
      <c r="I742" s="9" t="s">
        <v>71</v>
      </c>
      <c r="J742" s="9" t="s">
        <v>72</v>
      </c>
      <c r="K742" s="9" t="s">
        <v>99</v>
      </c>
    </row>
    <row r="743" ht="15.75" customHeight="1">
      <c r="A743" s="10">
        <v>45119.0</v>
      </c>
      <c r="B743" s="11">
        <v>8.318932425E9</v>
      </c>
      <c r="C743" s="12" t="s">
        <v>738</v>
      </c>
      <c r="D743" s="11">
        <v>3.4326778E7</v>
      </c>
      <c r="E743" s="10">
        <v>45120.0</v>
      </c>
      <c r="F743" s="9" t="s">
        <v>69</v>
      </c>
      <c r="G743" s="13">
        <v>2.0</v>
      </c>
      <c r="H743" s="9" t="s">
        <v>70</v>
      </c>
      <c r="I743" s="9" t="s">
        <v>71</v>
      </c>
      <c r="J743" s="9" t="s">
        <v>72</v>
      </c>
      <c r="K743" s="9" t="s">
        <v>99</v>
      </c>
    </row>
    <row r="744" ht="15.75" customHeight="1">
      <c r="A744" s="10">
        <v>45119.0</v>
      </c>
      <c r="B744" s="11">
        <v>6.119499201E9</v>
      </c>
      <c r="C744" s="12" t="s">
        <v>739</v>
      </c>
      <c r="D744" s="11">
        <v>2.2877665E7</v>
      </c>
      <c r="E744" s="10">
        <v>45120.0</v>
      </c>
      <c r="F744" s="9" t="s">
        <v>69</v>
      </c>
      <c r="G744" s="13">
        <v>2.0</v>
      </c>
      <c r="H744" s="9" t="s">
        <v>106</v>
      </c>
      <c r="I744" s="9" t="s">
        <v>71</v>
      </c>
      <c r="J744" s="9" t="s">
        <v>72</v>
      </c>
      <c r="K744" s="9" t="s">
        <v>99</v>
      </c>
    </row>
    <row r="745" ht="15.75" customHeight="1">
      <c r="A745" s="10">
        <v>45119.0</v>
      </c>
      <c r="B745" s="11">
        <v>1.157946182E9</v>
      </c>
      <c r="C745" s="12" t="s">
        <v>740</v>
      </c>
      <c r="D745" s="11">
        <v>3.7507931E7</v>
      </c>
      <c r="E745" s="10">
        <v>45120.0</v>
      </c>
      <c r="F745" s="9" t="s">
        <v>69</v>
      </c>
      <c r="G745" s="13">
        <v>2.0</v>
      </c>
      <c r="H745" s="9" t="s">
        <v>106</v>
      </c>
      <c r="I745" s="9" t="s">
        <v>71</v>
      </c>
      <c r="J745" s="9" t="s">
        <v>72</v>
      </c>
      <c r="K745" s="9" t="s">
        <v>99</v>
      </c>
    </row>
    <row r="746" ht="15.75" customHeight="1">
      <c r="A746" s="10">
        <v>45099.0</v>
      </c>
      <c r="B746" s="11">
        <v>1.155619356E9</v>
      </c>
      <c r="C746" s="12" t="s">
        <v>741</v>
      </c>
      <c r="D746" s="11">
        <v>2.8314082E7</v>
      </c>
      <c r="E746" s="10">
        <v>45121.0</v>
      </c>
      <c r="F746" s="9" t="s">
        <v>69</v>
      </c>
      <c r="G746" s="13">
        <v>1.0</v>
      </c>
      <c r="H746" s="9" t="s">
        <v>106</v>
      </c>
      <c r="I746" s="9" t="s">
        <v>71</v>
      </c>
      <c r="J746" s="9" t="s">
        <v>72</v>
      </c>
      <c r="K746" s="9" t="s">
        <v>90</v>
      </c>
    </row>
    <row r="747" ht="15.75" customHeight="1">
      <c r="A747" s="10">
        <v>45100.0</v>
      </c>
      <c r="B747" s="11">
        <v>1.77046541E9</v>
      </c>
      <c r="C747" s="12" t="s">
        <v>742</v>
      </c>
      <c r="D747" s="11">
        <v>3.4285208E7</v>
      </c>
      <c r="E747" s="10">
        <v>45121.0</v>
      </c>
      <c r="F747" s="9" t="s">
        <v>76</v>
      </c>
      <c r="G747" s="13">
        <v>1.0</v>
      </c>
      <c r="H747" s="9" t="s">
        <v>106</v>
      </c>
      <c r="I747" s="9" t="s">
        <v>71</v>
      </c>
      <c r="J747" s="9" t="s">
        <v>72</v>
      </c>
      <c r="K747" s="9" t="s">
        <v>90</v>
      </c>
    </row>
    <row r="748" ht="15.75" customHeight="1">
      <c r="A748" s="10">
        <v>45112.0</v>
      </c>
      <c r="B748" s="11">
        <v>7.47929994E9</v>
      </c>
      <c r="C748" s="12" t="s">
        <v>743</v>
      </c>
      <c r="D748" s="11">
        <v>1.1985688E7</v>
      </c>
      <c r="E748" s="10">
        <v>45121.0</v>
      </c>
      <c r="F748" s="9" t="s">
        <v>69</v>
      </c>
      <c r="G748" s="13">
        <v>1.0</v>
      </c>
      <c r="H748" s="9" t="s">
        <v>106</v>
      </c>
      <c r="I748" s="9" t="s">
        <v>71</v>
      </c>
      <c r="J748" s="9" t="s">
        <v>72</v>
      </c>
      <c r="K748" s="9" t="s">
        <v>90</v>
      </c>
    </row>
    <row r="749" ht="15.75" customHeight="1">
      <c r="A749" s="10">
        <v>45114.0</v>
      </c>
      <c r="B749" s="11">
        <v>3.867937603E9</v>
      </c>
      <c r="C749" s="12" t="s">
        <v>744</v>
      </c>
      <c r="D749" s="11">
        <v>2.2264449E7</v>
      </c>
      <c r="E749" s="10">
        <v>45121.0</v>
      </c>
      <c r="F749" s="9" t="s">
        <v>69</v>
      </c>
      <c r="G749" s="13">
        <v>1.0</v>
      </c>
      <c r="H749" s="9" t="s">
        <v>106</v>
      </c>
      <c r="I749" s="9" t="s">
        <v>71</v>
      </c>
      <c r="J749" s="9" t="s">
        <v>98</v>
      </c>
      <c r="K749" s="9" t="s">
        <v>90</v>
      </c>
    </row>
    <row r="750" ht="15.75" customHeight="1">
      <c r="A750" s="10">
        <v>45117.0</v>
      </c>
      <c r="B750" s="11">
        <v>9.94194103E9</v>
      </c>
      <c r="C750" s="12" t="s">
        <v>745</v>
      </c>
      <c r="D750" s="11">
        <v>3.3540721E7</v>
      </c>
      <c r="E750" s="10">
        <v>45121.0</v>
      </c>
      <c r="F750" s="9" t="s">
        <v>69</v>
      </c>
      <c r="G750" s="13">
        <v>1.0</v>
      </c>
      <c r="H750" s="9" t="s">
        <v>106</v>
      </c>
      <c r="I750" s="9" t="s">
        <v>71</v>
      </c>
      <c r="J750" s="9" t="s">
        <v>98</v>
      </c>
      <c r="K750" s="9" t="s">
        <v>103</v>
      </c>
    </row>
    <row r="751" ht="15.75" customHeight="1">
      <c r="A751" s="10">
        <v>45118.0</v>
      </c>
      <c r="B751" s="11">
        <v>2.898574803E9</v>
      </c>
      <c r="C751" s="12" t="s">
        <v>746</v>
      </c>
      <c r="D751" s="11">
        <v>2.8137525E7</v>
      </c>
      <c r="E751" s="10">
        <v>45121.0</v>
      </c>
      <c r="F751" s="9" t="s">
        <v>69</v>
      </c>
      <c r="G751" s="13">
        <v>1.0</v>
      </c>
      <c r="H751" s="9" t="s">
        <v>106</v>
      </c>
      <c r="I751" s="9" t="s">
        <v>71</v>
      </c>
      <c r="J751" s="9" t="s">
        <v>98</v>
      </c>
      <c r="K751" s="9" t="s">
        <v>103</v>
      </c>
    </row>
    <row r="752" ht="15.75" customHeight="1">
      <c r="A752" s="10">
        <v>45119.0</v>
      </c>
      <c r="B752" s="11">
        <v>6.119496843E9</v>
      </c>
      <c r="C752" s="12" t="s">
        <v>747</v>
      </c>
      <c r="D752" s="11">
        <v>1.0012878E7</v>
      </c>
      <c r="E752" s="10">
        <v>45121.0</v>
      </c>
      <c r="F752" s="9" t="s">
        <v>69</v>
      </c>
      <c r="G752" s="13">
        <v>1.0</v>
      </c>
      <c r="H752" s="9" t="s">
        <v>106</v>
      </c>
      <c r="I752" s="9" t="s">
        <v>71</v>
      </c>
      <c r="J752" s="9" t="s">
        <v>98</v>
      </c>
      <c r="K752" s="9" t="s">
        <v>103</v>
      </c>
    </row>
    <row r="753" ht="15.75" customHeight="1">
      <c r="A753" s="10">
        <v>45107.0</v>
      </c>
      <c r="B753" s="11">
        <v>6.793667996E9</v>
      </c>
      <c r="C753" s="12" t="s">
        <v>748</v>
      </c>
      <c r="D753" s="11">
        <v>3.3969239E7</v>
      </c>
      <c r="E753" s="10">
        <v>45124.0</v>
      </c>
      <c r="F753" s="9" t="s">
        <v>76</v>
      </c>
      <c r="G753" s="13">
        <v>1.0</v>
      </c>
      <c r="H753" s="9" t="s">
        <v>70</v>
      </c>
      <c r="I753" s="9" t="s">
        <v>71</v>
      </c>
      <c r="J753" s="9" t="s">
        <v>98</v>
      </c>
      <c r="K753" s="9" t="s">
        <v>103</v>
      </c>
    </row>
    <row r="754" ht="15.75" customHeight="1">
      <c r="A754" s="10">
        <v>45112.0</v>
      </c>
      <c r="B754" s="11">
        <v>9.905629742E9</v>
      </c>
      <c r="C754" s="12" t="s">
        <v>749</v>
      </c>
      <c r="D754" s="11">
        <v>3.1588515E7</v>
      </c>
      <c r="E754" s="10">
        <v>45124.0</v>
      </c>
      <c r="F754" s="9" t="s">
        <v>69</v>
      </c>
      <c r="G754" s="13">
        <v>1.0</v>
      </c>
      <c r="H754" s="9" t="s">
        <v>70</v>
      </c>
      <c r="I754" s="9" t="s">
        <v>77</v>
      </c>
      <c r="J754" s="9" t="s">
        <v>98</v>
      </c>
      <c r="K754" s="9" t="s">
        <v>103</v>
      </c>
    </row>
    <row r="755" ht="15.75" customHeight="1">
      <c r="A755" s="10">
        <v>45117.0</v>
      </c>
      <c r="B755" s="11">
        <v>2.208285914E9</v>
      </c>
      <c r="C755" s="12" t="s">
        <v>750</v>
      </c>
      <c r="D755" s="11">
        <v>8105966.0</v>
      </c>
      <c r="E755" s="10">
        <v>45124.0</v>
      </c>
      <c r="F755" s="9" t="s">
        <v>69</v>
      </c>
      <c r="G755" s="13">
        <v>1.0</v>
      </c>
      <c r="H755" s="9" t="s">
        <v>70</v>
      </c>
      <c r="I755" s="9" t="s">
        <v>77</v>
      </c>
      <c r="J755" s="9" t="s">
        <v>98</v>
      </c>
      <c r="K755" s="9" t="s">
        <v>84</v>
      </c>
    </row>
    <row r="756" ht="15.75" customHeight="1">
      <c r="A756" s="10">
        <v>45119.0</v>
      </c>
      <c r="B756" s="11">
        <v>1.72841228E9</v>
      </c>
      <c r="C756" s="12" t="s">
        <v>751</v>
      </c>
      <c r="D756" s="11">
        <v>4.2797683E7</v>
      </c>
      <c r="E756" s="10">
        <v>45124.0</v>
      </c>
      <c r="F756" s="9" t="s">
        <v>69</v>
      </c>
      <c r="G756" s="13">
        <v>2.0</v>
      </c>
      <c r="H756" s="9" t="s">
        <v>70</v>
      </c>
      <c r="I756" s="9" t="s">
        <v>77</v>
      </c>
      <c r="J756" s="9" t="s">
        <v>98</v>
      </c>
      <c r="K756" s="9" t="s">
        <v>84</v>
      </c>
    </row>
    <row r="757" ht="15.75" customHeight="1">
      <c r="A757" s="10">
        <v>45104.0</v>
      </c>
      <c r="B757" s="11">
        <v>8.275394853E9</v>
      </c>
      <c r="C757" s="12" t="s">
        <v>720</v>
      </c>
      <c r="D757" s="11">
        <v>2.17443E7</v>
      </c>
      <c r="E757" s="10">
        <v>45125.0</v>
      </c>
      <c r="F757" s="9" t="s">
        <v>76</v>
      </c>
      <c r="G757" s="13">
        <v>3.0</v>
      </c>
      <c r="H757" s="9" t="s">
        <v>70</v>
      </c>
      <c r="I757" s="9" t="s">
        <v>77</v>
      </c>
      <c r="J757" s="9" t="s">
        <v>98</v>
      </c>
      <c r="K757" s="9" t="s">
        <v>84</v>
      </c>
    </row>
    <row r="758" ht="15.75" customHeight="1">
      <c r="A758" s="10">
        <v>45111.0</v>
      </c>
      <c r="B758" s="11">
        <v>7.958188604E9</v>
      </c>
      <c r="C758" s="12" t="s">
        <v>744</v>
      </c>
      <c r="D758" s="11">
        <v>2.2264499E7</v>
      </c>
      <c r="E758" s="10">
        <v>45126.0</v>
      </c>
      <c r="F758" s="9" t="s">
        <v>76</v>
      </c>
      <c r="G758" s="13">
        <v>2.0</v>
      </c>
      <c r="H758" s="9" t="s">
        <v>70</v>
      </c>
      <c r="I758" s="9" t="s">
        <v>77</v>
      </c>
      <c r="J758" s="9" t="s">
        <v>83</v>
      </c>
      <c r="K758" s="9" t="s">
        <v>84</v>
      </c>
    </row>
    <row r="759" ht="15.75" customHeight="1">
      <c r="A759" s="10">
        <v>45114.0</v>
      </c>
      <c r="B759" s="11">
        <v>3.865258876E9</v>
      </c>
      <c r="C759" s="12" t="s">
        <v>752</v>
      </c>
      <c r="D759" s="11">
        <v>4.6054335E7</v>
      </c>
      <c r="E759" s="10">
        <v>45126.0</v>
      </c>
      <c r="F759" s="9" t="s">
        <v>76</v>
      </c>
      <c r="G759" s="13">
        <v>3.0</v>
      </c>
      <c r="H759" s="9" t="s">
        <v>70</v>
      </c>
      <c r="I759" s="9" t="s">
        <v>77</v>
      </c>
      <c r="J759" s="9" t="s">
        <v>83</v>
      </c>
      <c r="K759" s="9" t="s">
        <v>90</v>
      </c>
    </row>
    <row r="760" ht="15.75" customHeight="1">
      <c r="A760" s="10">
        <v>45118.0</v>
      </c>
      <c r="B760" s="11">
        <v>5.872565775E9</v>
      </c>
      <c r="C760" s="12" t="s">
        <v>753</v>
      </c>
      <c r="D760" s="11">
        <v>1.4410877E7</v>
      </c>
      <c r="E760" s="10">
        <v>45126.0</v>
      </c>
      <c r="F760" s="9" t="s">
        <v>69</v>
      </c>
      <c r="G760" s="13">
        <v>3.0</v>
      </c>
      <c r="H760" s="9" t="s">
        <v>70</v>
      </c>
      <c r="I760" s="9" t="s">
        <v>77</v>
      </c>
      <c r="J760" s="9" t="s">
        <v>83</v>
      </c>
      <c r="K760" s="9" t="s">
        <v>90</v>
      </c>
    </row>
    <row r="761" ht="15.75" customHeight="1">
      <c r="A761" s="10">
        <v>45125.0</v>
      </c>
      <c r="B761" s="11">
        <v>1.341126043E9</v>
      </c>
      <c r="C761" s="12" t="s">
        <v>754</v>
      </c>
      <c r="D761" s="11">
        <v>7601400.0</v>
      </c>
      <c r="E761" s="10">
        <v>45126.0</v>
      </c>
      <c r="F761" s="9" t="s">
        <v>69</v>
      </c>
      <c r="G761" s="13">
        <v>3.0</v>
      </c>
      <c r="H761" s="9" t="s">
        <v>70</v>
      </c>
      <c r="I761" s="9" t="s">
        <v>77</v>
      </c>
      <c r="J761" s="9" t="s">
        <v>83</v>
      </c>
      <c r="K761" s="9" t="s">
        <v>90</v>
      </c>
    </row>
    <row r="762" ht="15.75" customHeight="1">
      <c r="A762" s="10">
        <v>45125.0</v>
      </c>
      <c r="B762" s="11">
        <v>2.864897221E9</v>
      </c>
      <c r="C762" s="12" t="s">
        <v>755</v>
      </c>
      <c r="D762" s="11">
        <v>1.7696053E7</v>
      </c>
      <c r="E762" s="10">
        <v>45126.0</v>
      </c>
      <c r="F762" s="9" t="s">
        <v>76</v>
      </c>
      <c r="G762" s="13">
        <v>3.0</v>
      </c>
      <c r="H762" s="9" t="s">
        <v>70</v>
      </c>
      <c r="I762" s="9" t="s">
        <v>77</v>
      </c>
      <c r="J762" s="9" t="s">
        <v>83</v>
      </c>
      <c r="K762" s="9" t="s">
        <v>90</v>
      </c>
    </row>
    <row r="763" ht="15.75" customHeight="1">
      <c r="A763" s="10">
        <v>45125.0</v>
      </c>
      <c r="B763" s="11">
        <v>5.144498892E9</v>
      </c>
      <c r="C763" s="12" t="s">
        <v>756</v>
      </c>
      <c r="D763" s="11">
        <v>2.0284967E7</v>
      </c>
      <c r="E763" s="10">
        <v>45126.0</v>
      </c>
      <c r="F763" s="9" t="s">
        <v>69</v>
      </c>
      <c r="G763" s="13">
        <v>3.0</v>
      </c>
      <c r="H763" s="9" t="s">
        <v>70</v>
      </c>
      <c r="I763" s="9" t="s">
        <v>77</v>
      </c>
      <c r="J763" s="9" t="s">
        <v>79</v>
      </c>
      <c r="K763" s="9" t="s">
        <v>90</v>
      </c>
    </row>
    <row r="764" ht="15.75" customHeight="1">
      <c r="A764" s="10">
        <v>45125.0</v>
      </c>
      <c r="B764" s="11">
        <v>6.290436106E9</v>
      </c>
      <c r="C764" s="12" t="s">
        <v>757</v>
      </c>
      <c r="D764" s="11">
        <v>2.8221025E7</v>
      </c>
      <c r="E764" s="10">
        <v>45126.0</v>
      </c>
      <c r="F764" s="9" t="s">
        <v>69</v>
      </c>
      <c r="G764" s="13">
        <v>2.0</v>
      </c>
      <c r="H764" s="9" t="s">
        <v>70</v>
      </c>
      <c r="I764" s="9" t="s">
        <v>77</v>
      </c>
      <c r="J764" s="9" t="s">
        <v>79</v>
      </c>
      <c r="K764" s="9" t="s">
        <v>84</v>
      </c>
    </row>
    <row r="765" ht="15.75" customHeight="1">
      <c r="A765" s="10">
        <v>45125.0</v>
      </c>
      <c r="B765" s="11">
        <v>2.882944433E9</v>
      </c>
      <c r="C765" s="12" t="s">
        <v>758</v>
      </c>
      <c r="D765" s="11">
        <v>3.8063297E7</v>
      </c>
      <c r="E765" s="10">
        <v>45126.0</v>
      </c>
      <c r="F765" s="9" t="s">
        <v>76</v>
      </c>
      <c r="G765" s="13">
        <v>3.0</v>
      </c>
      <c r="H765" s="9" t="s">
        <v>70</v>
      </c>
      <c r="I765" s="9" t="s">
        <v>77</v>
      </c>
      <c r="J765" s="9" t="s">
        <v>79</v>
      </c>
      <c r="K765" s="9" t="s">
        <v>84</v>
      </c>
    </row>
    <row r="766" ht="15.75" customHeight="1">
      <c r="A766" s="10">
        <v>45125.0</v>
      </c>
      <c r="B766" s="11">
        <v>4.96718285E9</v>
      </c>
      <c r="C766" s="12" t="s">
        <v>759</v>
      </c>
      <c r="D766" s="11">
        <v>1.8619024E7</v>
      </c>
      <c r="E766" s="10">
        <v>45126.0</v>
      </c>
      <c r="F766" s="9" t="s">
        <v>76</v>
      </c>
      <c r="G766" s="13">
        <v>2.0</v>
      </c>
      <c r="H766" s="9" t="s">
        <v>70</v>
      </c>
      <c r="I766" s="9" t="s">
        <v>77</v>
      </c>
      <c r="J766" s="9" t="s">
        <v>79</v>
      </c>
      <c r="K766" s="9" t="s">
        <v>84</v>
      </c>
    </row>
    <row r="767" ht="15.75" customHeight="1">
      <c r="A767" s="10">
        <v>45125.0</v>
      </c>
      <c r="B767" s="11">
        <v>2.864919923E9</v>
      </c>
      <c r="C767" s="12" t="s">
        <v>760</v>
      </c>
      <c r="D767" s="11">
        <v>3.337497E7</v>
      </c>
      <c r="E767" s="10">
        <v>45126.0</v>
      </c>
      <c r="F767" s="9" t="s">
        <v>76</v>
      </c>
      <c r="G767" s="13">
        <v>2.0</v>
      </c>
      <c r="H767" s="9" t="s">
        <v>70</v>
      </c>
      <c r="I767" s="9" t="s">
        <v>77</v>
      </c>
      <c r="J767" s="9" t="s">
        <v>79</v>
      </c>
      <c r="K767" s="9" t="s">
        <v>84</v>
      </c>
    </row>
    <row r="768" ht="15.75" customHeight="1">
      <c r="A768" s="10">
        <v>45125.0</v>
      </c>
      <c r="B768" s="11">
        <v>6.382610651E9</v>
      </c>
      <c r="C768" s="12" t="s">
        <v>760</v>
      </c>
      <c r="D768" s="11">
        <v>3.337497E7</v>
      </c>
      <c r="E768" s="10">
        <v>45126.0</v>
      </c>
      <c r="F768" s="9" t="s">
        <v>76</v>
      </c>
      <c r="G768" s="13">
        <v>3.0</v>
      </c>
      <c r="H768" s="9" t="s">
        <v>70</v>
      </c>
      <c r="I768" s="9" t="s">
        <v>77</v>
      </c>
      <c r="J768" s="9" t="s">
        <v>79</v>
      </c>
      <c r="K768" s="9" t="s">
        <v>84</v>
      </c>
    </row>
    <row r="769" ht="15.75" customHeight="1">
      <c r="A769" s="10">
        <v>45125.0</v>
      </c>
      <c r="B769" s="11">
        <v>5.442297302E9</v>
      </c>
      <c r="C769" s="12" t="s">
        <v>761</v>
      </c>
      <c r="D769" s="11">
        <v>2.4169927E7</v>
      </c>
      <c r="E769" s="10">
        <v>45126.0</v>
      </c>
      <c r="F769" s="9" t="s">
        <v>69</v>
      </c>
      <c r="G769" s="13">
        <v>4.0</v>
      </c>
      <c r="H769" s="9" t="s">
        <v>112</v>
      </c>
      <c r="I769" s="9" t="s">
        <v>71</v>
      </c>
      <c r="J769" s="9" t="s">
        <v>79</v>
      </c>
      <c r="K769" s="9" t="s">
        <v>84</v>
      </c>
    </row>
    <row r="770" ht="15.75" customHeight="1">
      <c r="A770" s="10">
        <v>45125.0</v>
      </c>
      <c r="B770" s="11">
        <v>2.130604722E9</v>
      </c>
      <c r="C770" s="12" t="s">
        <v>762</v>
      </c>
      <c r="D770" s="11">
        <v>3.7188867E7</v>
      </c>
      <c r="E770" s="10">
        <v>45126.0</v>
      </c>
      <c r="F770" s="9" t="s">
        <v>76</v>
      </c>
      <c r="G770" s="13">
        <v>2.0</v>
      </c>
      <c r="H770" s="9" t="s">
        <v>112</v>
      </c>
      <c r="I770" s="9" t="s">
        <v>71</v>
      </c>
      <c r="J770" s="9" t="s">
        <v>79</v>
      </c>
      <c r="K770" s="9" t="s">
        <v>84</v>
      </c>
    </row>
    <row r="771" ht="15.75" customHeight="1">
      <c r="A771" s="10">
        <v>45125.0</v>
      </c>
      <c r="B771" s="11">
        <v>5.775069926E9</v>
      </c>
      <c r="C771" s="12" t="s">
        <v>762</v>
      </c>
      <c r="D771" s="11">
        <v>3.7188867E7</v>
      </c>
      <c r="E771" s="10">
        <v>45126.0</v>
      </c>
      <c r="F771" s="9" t="s">
        <v>69</v>
      </c>
      <c r="G771" s="13">
        <v>2.0</v>
      </c>
      <c r="H771" s="9" t="s">
        <v>112</v>
      </c>
      <c r="I771" s="9" t="s">
        <v>71</v>
      </c>
      <c r="J771" s="9" t="s">
        <v>79</v>
      </c>
      <c r="K771" s="9" t="s">
        <v>73</v>
      </c>
    </row>
    <row r="772" ht="15.75" customHeight="1">
      <c r="A772" s="10">
        <v>45105.0</v>
      </c>
      <c r="B772" s="11">
        <v>9.609296572E9</v>
      </c>
      <c r="C772" s="12" t="s">
        <v>763</v>
      </c>
      <c r="D772" s="11">
        <v>1.0298364E7</v>
      </c>
      <c r="E772" s="10">
        <v>45127.0</v>
      </c>
      <c r="F772" s="9" t="s">
        <v>69</v>
      </c>
      <c r="G772" s="13">
        <v>3.0</v>
      </c>
      <c r="H772" s="9" t="s">
        <v>112</v>
      </c>
      <c r="I772" s="9" t="s">
        <v>71</v>
      </c>
      <c r="J772" s="9" t="s">
        <v>79</v>
      </c>
      <c r="K772" s="9" t="s">
        <v>73</v>
      </c>
    </row>
    <row r="773" ht="15.75" customHeight="1">
      <c r="A773" s="10">
        <v>45106.0</v>
      </c>
      <c r="B773" s="11">
        <v>8.730430914E9</v>
      </c>
      <c r="C773" s="12" t="s">
        <v>763</v>
      </c>
      <c r="D773" s="11">
        <v>1.0298364E7</v>
      </c>
      <c r="E773" s="10">
        <v>45127.0</v>
      </c>
      <c r="F773" s="9" t="s">
        <v>69</v>
      </c>
      <c r="G773" s="13">
        <v>4.0</v>
      </c>
      <c r="H773" s="9" t="s">
        <v>112</v>
      </c>
      <c r="I773" s="9" t="s">
        <v>71</v>
      </c>
      <c r="J773" s="9" t="s">
        <v>98</v>
      </c>
      <c r="K773" s="9" t="s">
        <v>73</v>
      </c>
    </row>
    <row r="774" ht="15.75" customHeight="1">
      <c r="A774" s="10">
        <v>45106.0</v>
      </c>
      <c r="B774" s="11">
        <v>1.239132716E9</v>
      </c>
      <c r="C774" s="12" t="s">
        <v>764</v>
      </c>
      <c r="D774" s="11">
        <v>2.393012E7</v>
      </c>
      <c r="E774" s="10">
        <v>45127.0</v>
      </c>
      <c r="F774" s="9" t="s">
        <v>69</v>
      </c>
      <c r="G774" s="13">
        <v>2.0</v>
      </c>
      <c r="H774" s="9" t="s">
        <v>112</v>
      </c>
      <c r="I774" s="9" t="s">
        <v>71</v>
      </c>
      <c r="J774" s="9" t="s">
        <v>98</v>
      </c>
      <c r="K774" s="9" t="s">
        <v>73</v>
      </c>
    </row>
    <row r="775" ht="15.75" customHeight="1">
      <c r="A775" s="10">
        <v>45119.0</v>
      </c>
      <c r="B775" s="11">
        <v>4.431213555E9</v>
      </c>
      <c r="C775" s="12" t="s">
        <v>765</v>
      </c>
      <c r="D775" s="11">
        <v>2.2263137E7</v>
      </c>
      <c r="E775" s="10">
        <v>45127.0</v>
      </c>
      <c r="F775" s="9" t="s">
        <v>69</v>
      </c>
      <c r="G775" s="13">
        <v>4.0</v>
      </c>
      <c r="H775" s="9" t="s">
        <v>106</v>
      </c>
      <c r="I775" s="9" t="s">
        <v>71</v>
      </c>
      <c r="J775" s="9" t="s">
        <v>98</v>
      </c>
      <c r="K775" s="9" t="s">
        <v>90</v>
      </c>
    </row>
    <row r="776" ht="15.75" customHeight="1">
      <c r="A776" s="10">
        <v>45125.0</v>
      </c>
      <c r="B776" s="11">
        <v>7.982468966E9</v>
      </c>
      <c r="C776" s="12" t="s">
        <v>766</v>
      </c>
      <c r="D776" s="11">
        <v>2.4553061E7</v>
      </c>
      <c r="E776" s="10">
        <v>45127.0</v>
      </c>
      <c r="F776" s="9" t="s">
        <v>69</v>
      </c>
      <c r="G776" s="13">
        <v>5.0</v>
      </c>
      <c r="H776" s="9" t="s">
        <v>106</v>
      </c>
      <c r="I776" s="9" t="s">
        <v>71</v>
      </c>
      <c r="J776" s="9" t="s">
        <v>98</v>
      </c>
      <c r="K776" s="9" t="s">
        <v>90</v>
      </c>
    </row>
    <row r="777" ht="15.75" customHeight="1">
      <c r="A777" s="10">
        <v>45125.0</v>
      </c>
      <c r="B777" s="11">
        <v>7.703331274E9</v>
      </c>
      <c r="C777" s="12" t="s">
        <v>767</v>
      </c>
      <c r="D777" s="11">
        <v>2.6400114E7</v>
      </c>
      <c r="E777" s="10">
        <v>45127.0</v>
      </c>
      <c r="F777" s="9" t="s">
        <v>69</v>
      </c>
      <c r="G777" s="13">
        <v>4.0</v>
      </c>
      <c r="H777" s="9" t="s">
        <v>106</v>
      </c>
      <c r="I777" s="9" t="s">
        <v>71</v>
      </c>
      <c r="J777" s="9" t="s">
        <v>98</v>
      </c>
      <c r="K777" s="9" t="s">
        <v>90</v>
      </c>
    </row>
    <row r="778" ht="15.75" customHeight="1">
      <c r="A778" s="10">
        <v>45125.0</v>
      </c>
      <c r="B778" s="11">
        <v>9.228505915E9</v>
      </c>
      <c r="C778" s="12" t="s">
        <v>767</v>
      </c>
      <c r="D778" s="11">
        <v>2.6400114E7</v>
      </c>
      <c r="E778" s="10">
        <v>45127.0</v>
      </c>
      <c r="F778" s="9" t="s">
        <v>69</v>
      </c>
      <c r="G778" s="13">
        <v>2.0</v>
      </c>
      <c r="H778" s="9" t="s">
        <v>92</v>
      </c>
      <c r="I778" s="9" t="s">
        <v>71</v>
      </c>
      <c r="J778" s="9" t="s">
        <v>98</v>
      </c>
      <c r="K778" s="9" t="s">
        <v>73</v>
      </c>
    </row>
    <row r="779" ht="15.75" customHeight="1">
      <c r="A779" s="10">
        <v>45125.0</v>
      </c>
      <c r="B779" s="11">
        <v>8.009730831E9</v>
      </c>
      <c r="C779" s="12" t="s">
        <v>768</v>
      </c>
      <c r="D779" s="11">
        <v>1.6540392E7</v>
      </c>
      <c r="E779" s="10">
        <v>45127.0</v>
      </c>
      <c r="F779" s="9" t="s">
        <v>69</v>
      </c>
      <c r="G779" s="13">
        <v>3.0</v>
      </c>
      <c r="H779" s="9" t="s">
        <v>92</v>
      </c>
      <c r="I779" s="9" t="s">
        <v>71</v>
      </c>
      <c r="J779" s="9" t="s">
        <v>98</v>
      </c>
      <c r="K779" s="9" t="s">
        <v>73</v>
      </c>
    </row>
    <row r="780" ht="15.75" customHeight="1">
      <c r="A780" s="10">
        <v>45127.0</v>
      </c>
      <c r="B780" s="11">
        <v>6.07055001E9</v>
      </c>
      <c r="C780" s="12" t="s">
        <v>769</v>
      </c>
      <c r="D780" s="11">
        <v>1.4135207E7</v>
      </c>
      <c r="E780" s="10">
        <v>45127.0</v>
      </c>
      <c r="F780" s="9" t="s">
        <v>69</v>
      </c>
      <c r="G780" s="13">
        <v>4.0</v>
      </c>
      <c r="H780" s="9" t="s">
        <v>92</v>
      </c>
      <c r="I780" s="9" t="s">
        <v>71</v>
      </c>
      <c r="J780" s="9" t="s">
        <v>98</v>
      </c>
      <c r="K780" s="9" t="s">
        <v>73</v>
      </c>
    </row>
    <row r="781" ht="15.75" customHeight="1">
      <c r="A781" s="10">
        <v>45114.0</v>
      </c>
      <c r="B781" s="11">
        <v>3.867930043E9</v>
      </c>
      <c r="C781" s="12" t="s">
        <v>770</v>
      </c>
      <c r="D781" s="11">
        <v>3.0504273E7</v>
      </c>
      <c r="E781" s="10">
        <v>45128.0</v>
      </c>
      <c r="F781" s="9" t="s">
        <v>69</v>
      </c>
      <c r="G781" s="13">
        <v>5.0</v>
      </c>
      <c r="H781" s="9" t="s">
        <v>92</v>
      </c>
      <c r="I781" s="9" t="s">
        <v>71</v>
      </c>
      <c r="J781" s="9" t="s">
        <v>98</v>
      </c>
      <c r="K781" s="9" t="s">
        <v>73</v>
      </c>
    </row>
    <row r="782" ht="15.75" customHeight="1">
      <c r="A782" s="10">
        <v>45125.0</v>
      </c>
      <c r="B782" s="11">
        <v>7.703295655E9</v>
      </c>
      <c r="C782" s="12" t="s">
        <v>771</v>
      </c>
      <c r="D782" s="11">
        <v>4.2172532E7</v>
      </c>
      <c r="E782" s="10">
        <v>45128.0</v>
      </c>
      <c r="F782" s="9" t="s">
        <v>69</v>
      </c>
      <c r="G782" s="13">
        <v>2.0</v>
      </c>
      <c r="H782" s="9" t="s">
        <v>92</v>
      </c>
      <c r="I782" s="9" t="s">
        <v>71</v>
      </c>
      <c r="J782" s="9" t="s">
        <v>98</v>
      </c>
      <c r="K782" s="9" t="s">
        <v>73</v>
      </c>
    </row>
    <row r="783" ht="15.75" customHeight="1">
      <c r="A783" s="10">
        <v>45125.0</v>
      </c>
      <c r="B783" s="11">
        <v>2.486908141E9</v>
      </c>
      <c r="C783" s="12" t="s">
        <v>772</v>
      </c>
      <c r="D783" s="11">
        <v>3.8023461E7</v>
      </c>
      <c r="E783" s="10">
        <v>45128.0</v>
      </c>
      <c r="F783" s="9" t="s">
        <v>69</v>
      </c>
      <c r="G783" s="13">
        <v>3.0</v>
      </c>
      <c r="H783" s="9" t="s">
        <v>92</v>
      </c>
      <c r="I783" s="9" t="s">
        <v>71</v>
      </c>
      <c r="J783" s="9" t="s">
        <v>72</v>
      </c>
      <c r="K783" s="9" t="s">
        <v>73</v>
      </c>
    </row>
    <row r="784" ht="15.75" customHeight="1">
      <c r="A784" s="10">
        <v>45125.0</v>
      </c>
      <c r="B784" s="11">
        <v>3.831685701E9</v>
      </c>
      <c r="C784" s="12" t="s">
        <v>773</v>
      </c>
      <c r="D784" s="11">
        <v>3.1030764E7</v>
      </c>
      <c r="E784" s="10">
        <v>45128.0</v>
      </c>
      <c r="F784" s="9" t="s">
        <v>69</v>
      </c>
      <c r="G784" s="13">
        <v>3.0</v>
      </c>
      <c r="H784" s="9" t="s">
        <v>92</v>
      </c>
      <c r="I784" s="9" t="s">
        <v>88</v>
      </c>
      <c r="J784" s="9" t="s">
        <v>72</v>
      </c>
      <c r="K784" s="9" t="s">
        <v>107</v>
      </c>
    </row>
    <row r="785" ht="15.75" customHeight="1">
      <c r="A785" s="10">
        <v>45125.0</v>
      </c>
      <c r="B785" s="11">
        <v>5.837292624E9</v>
      </c>
      <c r="C785" s="12" t="s">
        <v>774</v>
      </c>
      <c r="D785" s="11">
        <v>2.9878119E7</v>
      </c>
      <c r="E785" s="10">
        <v>45128.0</v>
      </c>
      <c r="F785" s="9" t="s">
        <v>69</v>
      </c>
      <c r="G785" s="9"/>
      <c r="H785" s="9" t="s">
        <v>92</v>
      </c>
      <c r="I785" s="9" t="s">
        <v>88</v>
      </c>
      <c r="J785" s="9" t="s">
        <v>72</v>
      </c>
      <c r="K785" s="9" t="s">
        <v>107</v>
      </c>
    </row>
    <row r="786" ht="15.75" customHeight="1">
      <c r="A786" s="10">
        <v>45125.0</v>
      </c>
      <c r="B786" s="11">
        <v>2.48665473E9</v>
      </c>
      <c r="C786" s="12" t="s">
        <v>775</v>
      </c>
      <c r="D786" s="11">
        <v>2.7365309E7</v>
      </c>
      <c r="E786" s="10">
        <v>45128.0</v>
      </c>
      <c r="F786" s="9" t="s">
        <v>69</v>
      </c>
      <c r="G786" s="9">
        <v>2.0</v>
      </c>
      <c r="H786" s="9" t="s">
        <v>81</v>
      </c>
      <c r="I786" s="9" t="s">
        <v>88</v>
      </c>
      <c r="J786" s="9" t="s">
        <v>72</v>
      </c>
      <c r="K786" s="9" t="s">
        <v>107</v>
      </c>
    </row>
    <row r="787" ht="15.75" customHeight="1">
      <c r="A787" s="10">
        <v>45127.0</v>
      </c>
      <c r="B787" s="11">
        <v>6.034144281E9</v>
      </c>
      <c r="C787" s="12" t="s">
        <v>776</v>
      </c>
      <c r="D787" s="11">
        <v>3.4958192E7</v>
      </c>
      <c r="E787" s="10">
        <v>45128.0</v>
      </c>
      <c r="F787" s="9" t="s">
        <v>69</v>
      </c>
      <c r="G787" s="13">
        <v>5.0</v>
      </c>
      <c r="H787" s="9" t="s">
        <v>81</v>
      </c>
      <c r="I787" s="9" t="s">
        <v>88</v>
      </c>
      <c r="J787" s="9" t="s">
        <v>72</v>
      </c>
      <c r="K787" s="9" t="s">
        <v>107</v>
      </c>
    </row>
    <row r="788" ht="15.75" customHeight="1">
      <c r="A788" s="10">
        <v>45127.0</v>
      </c>
      <c r="B788" s="11">
        <v>2.826640191E9</v>
      </c>
      <c r="C788" s="12" t="s">
        <v>777</v>
      </c>
      <c r="D788" s="11">
        <v>1.0013134E7</v>
      </c>
      <c r="E788" s="10">
        <v>45128.0</v>
      </c>
      <c r="F788" s="9" t="s">
        <v>69</v>
      </c>
      <c r="G788" s="13">
        <v>4.0</v>
      </c>
      <c r="H788" s="9" t="s">
        <v>81</v>
      </c>
      <c r="I788" s="9" t="s">
        <v>88</v>
      </c>
      <c r="J788" s="9" t="s">
        <v>93</v>
      </c>
      <c r="K788" s="9" t="s">
        <v>107</v>
      </c>
    </row>
    <row r="789" ht="15.75" customHeight="1">
      <c r="A789" s="10">
        <v>45127.0</v>
      </c>
      <c r="B789" s="11">
        <v>3.83651933E9</v>
      </c>
      <c r="C789" s="12" t="s">
        <v>778</v>
      </c>
      <c r="D789" s="11">
        <v>2.4340598E7</v>
      </c>
      <c r="E789" s="10">
        <v>45128.0</v>
      </c>
      <c r="F789" s="9" t="s">
        <v>69</v>
      </c>
      <c r="G789" s="13">
        <v>2.0</v>
      </c>
      <c r="H789" s="9" t="s">
        <v>81</v>
      </c>
      <c r="I789" s="9" t="s">
        <v>88</v>
      </c>
      <c r="J789" s="9" t="s">
        <v>93</v>
      </c>
      <c r="K789" s="9" t="s">
        <v>90</v>
      </c>
    </row>
    <row r="790" ht="15.75" customHeight="1">
      <c r="A790" s="10">
        <v>45128.0</v>
      </c>
      <c r="B790" s="11">
        <v>5.555312556E9</v>
      </c>
      <c r="C790" s="12" t="s">
        <v>777</v>
      </c>
      <c r="D790" s="11">
        <v>1.0013134E7</v>
      </c>
      <c r="E790" s="10">
        <v>45128.0</v>
      </c>
      <c r="F790" s="9" t="s">
        <v>69</v>
      </c>
      <c r="G790" s="13">
        <v>4.0</v>
      </c>
      <c r="H790" s="9" t="s">
        <v>81</v>
      </c>
      <c r="I790" s="9" t="s">
        <v>88</v>
      </c>
      <c r="J790" s="9" t="s">
        <v>93</v>
      </c>
      <c r="K790" s="9" t="s">
        <v>90</v>
      </c>
    </row>
    <row r="791" ht="15.75" customHeight="1">
      <c r="A791" s="10">
        <v>45128.0</v>
      </c>
      <c r="B791" s="11">
        <v>3.144584951E9</v>
      </c>
      <c r="C791" s="12" t="s">
        <v>779</v>
      </c>
      <c r="D791" s="11">
        <v>3.6420649E7</v>
      </c>
      <c r="E791" s="10">
        <v>45128.0</v>
      </c>
      <c r="F791" s="9" t="s">
        <v>69</v>
      </c>
      <c r="G791" s="13">
        <v>4.0</v>
      </c>
      <c r="H791" s="9" t="s">
        <v>81</v>
      </c>
      <c r="I791" s="9" t="s">
        <v>88</v>
      </c>
      <c r="J791" s="9" t="s">
        <v>93</v>
      </c>
      <c r="K791" s="9" t="s">
        <v>90</v>
      </c>
    </row>
    <row r="792" ht="15.75" customHeight="1">
      <c r="A792" s="10">
        <v>45128.0</v>
      </c>
      <c r="B792" s="11">
        <v>3.144509336E9</v>
      </c>
      <c r="C792" s="12" t="s">
        <v>780</v>
      </c>
      <c r="D792" s="11">
        <v>3.5856657E7</v>
      </c>
      <c r="E792" s="10">
        <v>45128.0</v>
      </c>
      <c r="F792" s="9" t="s">
        <v>69</v>
      </c>
      <c r="G792" s="13">
        <v>4.0</v>
      </c>
      <c r="H792" s="9" t="s">
        <v>81</v>
      </c>
      <c r="I792" s="9" t="s">
        <v>88</v>
      </c>
      <c r="J792" s="9" t="s">
        <v>93</v>
      </c>
      <c r="K792" s="9" t="s">
        <v>90</v>
      </c>
    </row>
    <row r="793" ht="15.75" customHeight="1">
      <c r="A793" s="10">
        <v>45111.0</v>
      </c>
      <c r="B793" s="11">
        <v>9.099556734E9</v>
      </c>
      <c r="C793" s="12" t="s">
        <v>781</v>
      </c>
      <c r="D793" s="11">
        <v>2.7751287E7</v>
      </c>
      <c r="E793" s="10">
        <v>45131.0</v>
      </c>
      <c r="F793" s="9" t="s">
        <v>69</v>
      </c>
      <c r="G793" s="13">
        <v>3.0</v>
      </c>
      <c r="H793" s="9" t="s">
        <v>81</v>
      </c>
      <c r="I793" s="9" t="s">
        <v>88</v>
      </c>
      <c r="J793" s="9" t="s">
        <v>93</v>
      </c>
      <c r="K793" s="9" t="s">
        <v>90</v>
      </c>
    </row>
    <row r="794" ht="15.75" customHeight="1">
      <c r="A794" s="10">
        <v>45112.0</v>
      </c>
      <c r="B794" s="11">
        <v>7.211697124E9</v>
      </c>
      <c r="C794" s="12" t="s">
        <v>782</v>
      </c>
      <c r="D794" s="11">
        <v>3.5185315E7</v>
      </c>
      <c r="E794" s="10">
        <v>45131.0</v>
      </c>
      <c r="F794" s="9" t="s">
        <v>69</v>
      </c>
      <c r="G794" s="13">
        <v>4.0</v>
      </c>
      <c r="H794" s="9" t="s">
        <v>106</v>
      </c>
      <c r="I794" s="9" t="s">
        <v>71</v>
      </c>
      <c r="J794" s="9" t="s">
        <v>93</v>
      </c>
      <c r="K794" s="9" t="s">
        <v>103</v>
      </c>
    </row>
    <row r="795" ht="15.75" customHeight="1">
      <c r="A795" s="10">
        <v>45125.0</v>
      </c>
      <c r="B795" s="11">
        <v>6.382674476E9</v>
      </c>
      <c r="C795" s="12" t="s">
        <v>783</v>
      </c>
      <c r="D795" s="11">
        <v>3.4285239E7</v>
      </c>
      <c r="E795" s="10">
        <v>45131.0</v>
      </c>
      <c r="F795" s="9" t="s">
        <v>69</v>
      </c>
      <c r="G795" s="13">
        <v>4.0</v>
      </c>
      <c r="H795" s="9" t="s">
        <v>106</v>
      </c>
      <c r="I795" s="9" t="s">
        <v>71</v>
      </c>
      <c r="J795" s="9" t="s">
        <v>93</v>
      </c>
      <c r="K795" s="9" t="s">
        <v>103</v>
      </c>
    </row>
    <row r="796" ht="15.75" customHeight="1">
      <c r="A796" s="10">
        <v>45127.0</v>
      </c>
      <c r="B796" s="11">
        <v>9.024572874E9</v>
      </c>
      <c r="C796" s="12" t="s">
        <v>784</v>
      </c>
      <c r="D796" s="11">
        <v>2.592384E7</v>
      </c>
      <c r="E796" s="10">
        <v>45131.0</v>
      </c>
      <c r="F796" s="9" t="s">
        <v>69</v>
      </c>
      <c r="G796" s="13">
        <v>4.0</v>
      </c>
      <c r="H796" s="9" t="s">
        <v>106</v>
      </c>
      <c r="I796" s="9" t="s">
        <v>71</v>
      </c>
      <c r="J796" s="9" t="s">
        <v>93</v>
      </c>
      <c r="K796" s="9" t="s">
        <v>103</v>
      </c>
    </row>
    <row r="797" ht="15.75" customHeight="1">
      <c r="A797" s="10">
        <v>45127.0</v>
      </c>
      <c r="B797" s="11">
        <v>8.294632054E9</v>
      </c>
      <c r="C797" s="12" t="s">
        <v>784</v>
      </c>
      <c r="D797" s="11">
        <v>2.592384E7</v>
      </c>
      <c r="E797" s="10">
        <v>45131.0</v>
      </c>
      <c r="F797" s="9" t="s">
        <v>69</v>
      </c>
      <c r="G797" s="13">
        <v>2.0</v>
      </c>
      <c r="H797" s="9" t="s">
        <v>106</v>
      </c>
      <c r="I797" s="9" t="s">
        <v>71</v>
      </c>
      <c r="J797" s="9" t="s">
        <v>93</v>
      </c>
      <c r="K797" s="9" t="s">
        <v>103</v>
      </c>
    </row>
    <row r="798" ht="15.75" customHeight="1">
      <c r="A798" s="10">
        <v>45128.0</v>
      </c>
      <c r="B798" s="11">
        <v>4.610943783E9</v>
      </c>
      <c r="C798" s="12" t="s">
        <v>785</v>
      </c>
      <c r="D798" s="11">
        <v>4.4919227E7</v>
      </c>
      <c r="E798" s="10">
        <v>45131.0</v>
      </c>
      <c r="F798" s="9" t="s">
        <v>69</v>
      </c>
      <c r="G798" s="13">
        <v>2.0</v>
      </c>
      <c r="H798" s="9" t="s">
        <v>116</v>
      </c>
      <c r="I798" s="9" t="s">
        <v>71</v>
      </c>
      <c r="J798" s="9" t="s">
        <v>93</v>
      </c>
      <c r="K798" s="9" t="s">
        <v>217</v>
      </c>
    </row>
    <row r="799" ht="15.75" customHeight="1">
      <c r="A799" s="10">
        <v>45128.0</v>
      </c>
      <c r="B799" s="11">
        <v>3.14454777E9</v>
      </c>
      <c r="C799" s="12" t="s">
        <v>784</v>
      </c>
      <c r="D799" s="11">
        <v>2.592384E7</v>
      </c>
      <c r="E799" s="10">
        <v>45131.0</v>
      </c>
      <c r="F799" s="9" t="s">
        <v>69</v>
      </c>
      <c r="G799" s="13">
        <v>1.0</v>
      </c>
      <c r="H799" s="9" t="s">
        <v>116</v>
      </c>
      <c r="I799" s="9" t="s">
        <v>71</v>
      </c>
      <c r="J799" s="9" t="s">
        <v>98</v>
      </c>
      <c r="K799" s="9" t="s">
        <v>217</v>
      </c>
    </row>
    <row r="800" ht="15.75" customHeight="1">
      <c r="A800" s="10">
        <v>45128.0</v>
      </c>
      <c r="B800" s="11">
        <v>3.144544023E9</v>
      </c>
      <c r="C800" s="12" t="s">
        <v>786</v>
      </c>
      <c r="D800" s="11">
        <v>2.1894057E7</v>
      </c>
      <c r="E800" s="10">
        <v>45131.0</v>
      </c>
      <c r="F800" s="9" t="s">
        <v>69</v>
      </c>
      <c r="G800" s="13">
        <v>1.0</v>
      </c>
      <c r="H800" s="9" t="s">
        <v>116</v>
      </c>
      <c r="I800" s="9" t="s">
        <v>71</v>
      </c>
      <c r="J800" s="9" t="s">
        <v>98</v>
      </c>
      <c r="K800" s="9" t="s">
        <v>217</v>
      </c>
    </row>
    <row r="801" ht="15.75" customHeight="1">
      <c r="A801" s="10">
        <v>45128.0</v>
      </c>
      <c r="B801" s="11">
        <v>5.383708783E9</v>
      </c>
      <c r="C801" s="12" t="s">
        <v>787</v>
      </c>
      <c r="D801" s="11">
        <v>3.9359041E7</v>
      </c>
      <c r="E801" s="10">
        <v>45131.0</v>
      </c>
      <c r="F801" s="9" t="s">
        <v>69</v>
      </c>
      <c r="G801" s="13">
        <v>2.0</v>
      </c>
      <c r="H801" s="9" t="s">
        <v>116</v>
      </c>
      <c r="I801" s="9" t="s">
        <v>71</v>
      </c>
      <c r="J801" s="9" t="s">
        <v>98</v>
      </c>
      <c r="K801" s="9" t="s">
        <v>217</v>
      </c>
    </row>
    <row r="802" ht="15.75" customHeight="1">
      <c r="A802" s="10">
        <v>45128.0</v>
      </c>
      <c r="B802" s="11">
        <v>3.464852742E9</v>
      </c>
      <c r="C802" s="12" t="s">
        <v>788</v>
      </c>
      <c r="D802" s="11">
        <v>2.0422221E7</v>
      </c>
      <c r="E802" s="10">
        <v>45131.0</v>
      </c>
      <c r="F802" s="9" t="s">
        <v>76</v>
      </c>
      <c r="G802" s="13">
        <v>3.0</v>
      </c>
      <c r="H802" s="9" t="s">
        <v>116</v>
      </c>
      <c r="I802" s="9" t="s">
        <v>71</v>
      </c>
      <c r="J802" s="9" t="s">
        <v>98</v>
      </c>
      <c r="K802" s="9" t="s">
        <v>217</v>
      </c>
    </row>
    <row r="803" ht="15.75" customHeight="1">
      <c r="A803" s="10">
        <v>45128.0</v>
      </c>
      <c r="B803" s="11">
        <v>7.908795086E9</v>
      </c>
      <c r="C803" s="12" t="s">
        <v>789</v>
      </c>
      <c r="D803" s="11">
        <v>3.2371708E7</v>
      </c>
      <c r="E803" s="10">
        <v>45131.0</v>
      </c>
      <c r="F803" s="9" t="s">
        <v>69</v>
      </c>
      <c r="G803" s="13">
        <v>4.0</v>
      </c>
      <c r="H803" s="9" t="s">
        <v>116</v>
      </c>
      <c r="I803" s="9" t="s">
        <v>71</v>
      </c>
      <c r="J803" s="9" t="s">
        <v>98</v>
      </c>
      <c r="K803" s="9" t="s">
        <v>107</v>
      </c>
    </row>
    <row r="804" ht="15.75" customHeight="1">
      <c r="A804" s="10">
        <v>45128.0</v>
      </c>
      <c r="B804" s="11">
        <v>2.254716984E9</v>
      </c>
      <c r="C804" s="12" t="s">
        <v>790</v>
      </c>
      <c r="D804" s="11">
        <v>2.0219915E7</v>
      </c>
      <c r="E804" s="10">
        <v>45131.0</v>
      </c>
      <c r="F804" s="9" t="s">
        <v>69</v>
      </c>
      <c r="G804" s="13">
        <v>4.0</v>
      </c>
      <c r="H804" s="9" t="s">
        <v>116</v>
      </c>
      <c r="I804" s="9" t="s">
        <v>71</v>
      </c>
      <c r="J804" s="9" t="s">
        <v>98</v>
      </c>
      <c r="K804" s="9" t="s">
        <v>107</v>
      </c>
    </row>
    <row r="805" ht="15.75" customHeight="1">
      <c r="A805" s="10">
        <v>45125.0</v>
      </c>
      <c r="B805" s="11">
        <v>5.811997225E9</v>
      </c>
      <c r="C805" s="12" t="s">
        <v>791</v>
      </c>
      <c r="D805" s="11">
        <v>1.4073163E7</v>
      </c>
      <c r="E805" s="10">
        <v>45132.0</v>
      </c>
      <c r="F805" s="9" t="s">
        <v>69</v>
      </c>
      <c r="G805" s="13">
        <v>4.0</v>
      </c>
      <c r="H805" s="9" t="s">
        <v>116</v>
      </c>
      <c r="I805" s="9" t="s">
        <v>88</v>
      </c>
      <c r="J805" s="9" t="s">
        <v>98</v>
      </c>
      <c r="K805" s="9" t="s">
        <v>107</v>
      </c>
    </row>
    <row r="806" ht="15.75" customHeight="1">
      <c r="A806" s="10">
        <v>45125.0</v>
      </c>
      <c r="B806" s="11">
        <v>5.144501633E9</v>
      </c>
      <c r="C806" s="12" t="s">
        <v>792</v>
      </c>
      <c r="D806" s="11">
        <v>4.1833146E7</v>
      </c>
      <c r="E806" s="10">
        <v>45132.0</v>
      </c>
      <c r="F806" s="9" t="s">
        <v>76</v>
      </c>
      <c r="G806" s="13">
        <v>3.0</v>
      </c>
      <c r="H806" s="9" t="s">
        <v>116</v>
      </c>
      <c r="I806" s="9" t="s">
        <v>88</v>
      </c>
      <c r="J806" s="9" t="s">
        <v>98</v>
      </c>
      <c r="K806" s="9" t="s">
        <v>107</v>
      </c>
    </row>
    <row r="807" ht="15.75" customHeight="1">
      <c r="A807" s="10">
        <v>45125.0</v>
      </c>
      <c r="B807" s="11">
        <v>2.486941494E9</v>
      </c>
      <c r="C807" s="12" t="s">
        <v>793</v>
      </c>
      <c r="D807" s="11">
        <v>2.2263572E7</v>
      </c>
      <c r="E807" s="10">
        <v>45132.0</v>
      </c>
      <c r="F807" s="9" t="s">
        <v>69</v>
      </c>
      <c r="G807" s="13">
        <v>3.0</v>
      </c>
      <c r="H807" s="9" t="s">
        <v>116</v>
      </c>
      <c r="I807" s="9" t="s">
        <v>88</v>
      </c>
      <c r="J807" s="9" t="s">
        <v>98</v>
      </c>
      <c r="K807" s="9" t="s">
        <v>107</v>
      </c>
    </row>
    <row r="808" ht="15.75" customHeight="1">
      <c r="A808" s="10">
        <v>45127.0</v>
      </c>
      <c r="B808" s="11">
        <v>6.034148223E9</v>
      </c>
      <c r="C808" s="12" t="s">
        <v>794</v>
      </c>
      <c r="D808" s="11">
        <v>1.8230692E7</v>
      </c>
      <c r="E808" s="10">
        <v>45132.0</v>
      </c>
      <c r="F808" s="9" t="s">
        <v>69</v>
      </c>
      <c r="G808" s="13">
        <v>2.0</v>
      </c>
      <c r="H808" s="9" t="s">
        <v>116</v>
      </c>
      <c r="I808" s="9" t="s">
        <v>88</v>
      </c>
      <c r="J808" s="9" t="s">
        <v>98</v>
      </c>
      <c r="K808" s="9" t="s">
        <v>99</v>
      </c>
    </row>
    <row r="809" ht="15.75" customHeight="1">
      <c r="A809" s="10">
        <v>45127.0</v>
      </c>
      <c r="B809" s="11">
        <v>5.383758704E9</v>
      </c>
      <c r="C809" s="12" t="s">
        <v>795</v>
      </c>
      <c r="D809" s="11">
        <v>2.9060153E7</v>
      </c>
      <c r="E809" s="10">
        <v>45132.0</v>
      </c>
      <c r="F809" s="9" t="s">
        <v>69</v>
      </c>
      <c r="G809" s="13">
        <v>2.0</v>
      </c>
      <c r="H809" s="9" t="s">
        <v>116</v>
      </c>
      <c r="I809" s="9" t="s">
        <v>88</v>
      </c>
      <c r="J809" s="9" t="s">
        <v>83</v>
      </c>
      <c r="K809" s="9" t="s">
        <v>99</v>
      </c>
    </row>
    <row r="810" ht="15.75" customHeight="1">
      <c r="A810" s="10">
        <v>45128.0</v>
      </c>
      <c r="B810" s="11">
        <v>7.908821292E9</v>
      </c>
      <c r="C810" s="12" t="s">
        <v>796</v>
      </c>
      <c r="D810" s="11">
        <v>2.2877077E7</v>
      </c>
      <c r="E810" s="10">
        <v>45132.0</v>
      </c>
      <c r="F810" s="9" t="s">
        <v>69</v>
      </c>
      <c r="G810" s="13">
        <v>3.0</v>
      </c>
      <c r="H810" s="9" t="s">
        <v>116</v>
      </c>
      <c r="I810" s="9" t="s">
        <v>77</v>
      </c>
      <c r="J810" s="9" t="s">
        <v>83</v>
      </c>
      <c r="K810" s="9" t="s">
        <v>99</v>
      </c>
    </row>
    <row r="811" ht="15.75" customHeight="1">
      <c r="A811" s="10">
        <v>45128.0</v>
      </c>
      <c r="B811" s="11">
        <v>5.990108084E9</v>
      </c>
      <c r="C811" s="12" t="s">
        <v>797</v>
      </c>
      <c r="D811" s="11">
        <v>3.414107E7</v>
      </c>
      <c r="E811" s="10">
        <v>45132.0</v>
      </c>
      <c r="F811" s="9" t="s">
        <v>76</v>
      </c>
      <c r="G811" s="13">
        <v>5.0</v>
      </c>
      <c r="H811" s="9" t="s">
        <v>116</v>
      </c>
      <c r="I811" s="9" t="s">
        <v>77</v>
      </c>
      <c r="J811" s="9" t="s">
        <v>83</v>
      </c>
      <c r="K811" s="9" t="s">
        <v>99</v>
      </c>
    </row>
    <row r="812" ht="15.75" customHeight="1">
      <c r="A812" s="10">
        <v>45128.0</v>
      </c>
      <c r="B812" s="11">
        <v>3.079169752E9</v>
      </c>
      <c r="C812" s="12" t="s">
        <v>798</v>
      </c>
      <c r="D812" s="11"/>
      <c r="E812" s="10">
        <v>45132.0</v>
      </c>
      <c r="F812" s="9" t="s">
        <v>69</v>
      </c>
      <c r="G812" s="13">
        <v>3.0</v>
      </c>
      <c r="H812" s="9" t="s">
        <v>116</v>
      </c>
      <c r="I812" s="9" t="s">
        <v>77</v>
      </c>
      <c r="J812" s="9" t="s">
        <v>83</v>
      </c>
      <c r="K812" s="9" t="s">
        <v>99</v>
      </c>
    </row>
    <row r="813" ht="15.75" customHeight="1">
      <c r="A813" s="10">
        <v>45128.0</v>
      </c>
      <c r="B813" s="11">
        <v>1.010483375E9</v>
      </c>
      <c r="C813" s="12" t="s">
        <v>799</v>
      </c>
      <c r="D813" s="11">
        <v>2.9998244E7</v>
      </c>
      <c r="E813" s="10">
        <v>45132.0</v>
      </c>
      <c r="F813" s="9" t="s">
        <v>69</v>
      </c>
      <c r="G813" s="13">
        <v>1.0</v>
      </c>
      <c r="H813" s="9" t="s">
        <v>116</v>
      </c>
      <c r="I813" s="9" t="s">
        <v>77</v>
      </c>
      <c r="J813" s="9" t="s">
        <v>83</v>
      </c>
      <c r="K813" s="9" t="s">
        <v>84</v>
      </c>
    </row>
    <row r="814" ht="15.75" customHeight="1">
      <c r="A814" s="10">
        <v>45128.0</v>
      </c>
      <c r="B814" s="11">
        <v>5.99009103E9</v>
      </c>
      <c r="C814" s="12" t="s">
        <v>800</v>
      </c>
      <c r="D814" s="11">
        <v>4.2371415E7</v>
      </c>
      <c r="E814" s="10">
        <v>45132.0</v>
      </c>
      <c r="F814" s="9" t="s">
        <v>69</v>
      </c>
      <c r="G814" s="13">
        <v>1.0</v>
      </c>
      <c r="H814" s="9" t="s">
        <v>116</v>
      </c>
      <c r="I814" s="9" t="s">
        <v>77</v>
      </c>
      <c r="J814" s="9" t="s">
        <v>83</v>
      </c>
      <c r="K814" s="9" t="s">
        <v>84</v>
      </c>
    </row>
    <row r="815" ht="15.75" customHeight="1">
      <c r="A815" s="10">
        <v>45128.0</v>
      </c>
      <c r="B815" s="11">
        <v>2.44985825E9</v>
      </c>
      <c r="C815" s="12" t="s">
        <v>801</v>
      </c>
      <c r="D815" s="11">
        <v>2.0760961E7</v>
      </c>
      <c r="E815" s="10">
        <v>45132.0</v>
      </c>
      <c r="F815" s="9" t="s">
        <v>69</v>
      </c>
      <c r="G815" s="13">
        <v>2.0</v>
      </c>
      <c r="H815" s="9" t="s">
        <v>116</v>
      </c>
      <c r="I815" s="9" t="s">
        <v>77</v>
      </c>
      <c r="J815" s="9" t="s">
        <v>83</v>
      </c>
      <c r="K815" s="9" t="s">
        <v>84</v>
      </c>
    </row>
    <row r="816" ht="15.75" customHeight="1">
      <c r="A816" s="10">
        <v>45132.0</v>
      </c>
      <c r="B816" s="11">
        <v>2.54002504E9</v>
      </c>
      <c r="C816" s="12" t="s">
        <v>802</v>
      </c>
      <c r="D816" s="11">
        <v>1.8908094E7</v>
      </c>
      <c r="E816" s="10">
        <v>45132.0</v>
      </c>
      <c r="F816" s="9" t="s">
        <v>69</v>
      </c>
      <c r="G816" s="13">
        <v>2.0</v>
      </c>
      <c r="H816" s="9" t="s">
        <v>116</v>
      </c>
      <c r="I816" s="9" t="s">
        <v>77</v>
      </c>
      <c r="J816" s="9" t="s">
        <v>83</v>
      </c>
      <c r="K816" s="9" t="s">
        <v>84</v>
      </c>
    </row>
    <row r="817" ht="15.75" customHeight="1">
      <c r="A817" s="10">
        <v>45132.0</v>
      </c>
      <c r="B817" s="11">
        <v>3.497821003E9</v>
      </c>
      <c r="C817" s="12" t="s">
        <v>803</v>
      </c>
      <c r="D817" s="11">
        <v>3.7500343E7</v>
      </c>
      <c r="E817" s="10">
        <v>45132.0</v>
      </c>
      <c r="F817" s="9" t="s">
        <v>69</v>
      </c>
      <c r="G817" s="13">
        <v>3.0</v>
      </c>
      <c r="H817" s="9" t="s">
        <v>116</v>
      </c>
      <c r="I817" s="9" t="s">
        <v>77</v>
      </c>
      <c r="J817" s="9" t="s">
        <v>83</v>
      </c>
      <c r="K817" s="9" t="s">
        <v>84</v>
      </c>
    </row>
    <row r="818" ht="15.75" customHeight="1">
      <c r="A818" s="10">
        <v>45132.0</v>
      </c>
      <c r="B818" s="11">
        <v>1.462063934E9</v>
      </c>
      <c r="C818" s="12" t="s">
        <v>801</v>
      </c>
      <c r="D818" s="11">
        <v>2.0760961E7</v>
      </c>
      <c r="E818" s="10">
        <v>45132.0</v>
      </c>
      <c r="F818" s="9" t="s">
        <v>69</v>
      </c>
      <c r="G818" s="13">
        <v>4.0</v>
      </c>
      <c r="H818" s="9" t="s">
        <v>70</v>
      </c>
      <c r="I818" s="9" t="s">
        <v>77</v>
      </c>
      <c r="J818" s="9" t="s">
        <v>83</v>
      </c>
      <c r="K818" s="9" t="s">
        <v>84</v>
      </c>
    </row>
    <row r="819" ht="15.75" customHeight="1">
      <c r="A819" s="10">
        <v>45114.0</v>
      </c>
      <c r="B819" s="11">
        <v>1.6047164E9</v>
      </c>
      <c r="C819" s="12" t="s">
        <v>804</v>
      </c>
      <c r="D819" s="11">
        <v>1.0429165E7</v>
      </c>
      <c r="E819" s="10">
        <v>45133.0</v>
      </c>
      <c r="F819" s="9" t="s">
        <v>69</v>
      </c>
      <c r="G819" s="13">
        <v>4.0</v>
      </c>
      <c r="H819" s="9" t="s">
        <v>70</v>
      </c>
      <c r="I819" s="9" t="s">
        <v>88</v>
      </c>
      <c r="J819" s="9" t="s">
        <v>79</v>
      </c>
      <c r="K819" s="9" t="s">
        <v>84</v>
      </c>
    </row>
    <row r="820" ht="15.75" customHeight="1">
      <c r="A820" s="10">
        <v>45119.0</v>
      </c>
      <c r="B820" s="11">
        <v>2.231467313E9</v>
      </c>
      <c r="C820" s="12" t="s">
        <v>805</v>
      </c>
      <c r="D820" s="11">
        <v>1.4966188E7</v>
      </c>
      <c r="E820" s="10">
        <v>45133.0</v>
      </c>
      <c r="F820" s="9" t="s">
        <v>69</v>
      </c>
      <c r="G820" s="13">
        <v>4.0</v>
      </c>
      <c r="H820" s="9" t="s">
        <v>70</v>
      </c>
      <c r="I820" s="9" t="s">
        <v>88</v>
      </c>
      <c r="J820" s="9" t="s">
        <v>79</v>
      </c>
      <c r="K820" s="9" t="s">
        <v>84</v>
      </c>
    </row>
    <row r="821" ht="15.75" customHeight="1">
      <c r="A821" s="10">
        <v>45125.0</v>
      </c>
      <c r="B821" s="11">
        <v>2.23446643E9</v>
      </c>
      <c r="C821" s="12" t="s">
        <v>806</v>
      </c>
      <c r="D821" s="11">
        <v>3.314769E7</v>
      </c>
      <c r="E821" s="10">
        <v>45133.0</v>
      </c>
      <c r="F821" s="9" t="s">
        <v>76</v>
      </c>
      <c r="G821" s="13">
        <v>3.0</v>
      </c>
      <c r="H821" s="9" t="s">
        <v>70</v>
      </c>
      <c r="I821" s="9" t="s">
        <v>88</v>
      </c>
      <c r="J821" s="9" t="s">
        <v>79</v>
      </c>
      <c r="K821" s="9" t="s">
        <v>84</v>
      </c>
    </row>
    <row r="822" ht="15.75" customHeight="1">
      <c r="A822" s="10">
        <v>45125.0</v>
      </c>
      <c r="B822" s="11">
        <v>2.104892366E9</v>
      </c>
      <c r="C822" s="12" t="s">
        <v>807</v>
      </c>
      <c r="D822" s="11">
        <v>4.0923948E7</v>
      </c>
      <c r="E822" s="10">
        <v>45133.0</v>
      </c>
      <c r="F822" s="9" t="s">
        <v>69</v>
      </c>
      <c r="G822" s="13">
        <v>3.0</v>
      </c>
      <c r="H822" s="9" t="s">
        <v>70</v>
      </c>
      <c r="I822" s="9" t="s">
        <v>88</v>
      </c>
      <c r="J822" s="9" t="s">
        <v>79</v>
      </c>
      <c r="K822" s="9" t="s">
        <v>84</v>
      </c>
    </row>
    <row r="823" ht="15.75" customHeight="1">
      <c r="A823" s="10">
        <v>45125.0</v>
      </c>
      <c r="B823" s="11">
        <v>6.3826588E9</v>
      </c>
      <c r="C823" s="12" t="s">
        <v>808</v>
      </c>
      <c r="D823" s="11">
        <v>8135920.0</v>
      </c>
      <c r="E823" s="10">
        <v>45133.0</v>
      </c>
      <c r="F823" s="9" t="s">
        <v>69</v>
      </c>
      <c r="G823" s="13">
        <v>3.0</v>
      </c>
      <c r="H823" s="9" t="s">
        <v>70</v>
      </c>
      <c r="I823" s="9" t="s">
        <v>88</v>
      </c>
      <c r="J823" s="9" t="s">
        <v>79</v>
      </c>
      <c r="K823" s="9" t="s">
        <v>84</v>
      </c>
    </row>
    <row r="824" ht="15.75" customHeight="1">
      <c r="A824" s="10">
        <v>45125.0</v>
      </c>
      <c r="B824" s="11">
        <v>6.274071016E9</v>
      </c>
      <c r="C824" s="12" t="s">
        <v>808</v>
      </c>
      <c r="D824" s="11">
        <v>8135920.0</v>
      </c>
      <c r="E824" s="10">
        <v>45133.0</v>
      </c>
      <c r="F824" s="9" t="s">
        <v>69</v>
      </c>
      <c r="G824" s="13">
        <v>4.0</v>
      </c>
      <c r="H824" s="9" t="s">
        <v>70</v>
      </c>
      <c r="I824" s="9" t="s">
        <v>88</v>
      </c>
      <c r="J824" s="9" t="s">
        <v>79</v>
      </c>
      <c r="K824" s="9" t="s">
        <v>84</v>
      </c>
    </row>
    <row r="825" ht="15.75" customHeight="1">
      <c r="A825" s="10">
        <v>45127.0</v>
      </c>
      <c r="B825" s="11">
        <v>9.102747802E9</v>
      </c>
      <c r="C825" s="12" t="s">
        <v>809</v>
      </c>
      <c r="D825" s="11">
        <v>1.8777018E7</v>
      </c>
      <c r="E825" s="10">
        <v>45133.0</v>
      </c>
      <c r="F825" s="9" t="s">
        <v>69</v>
      </c>
      <c r="G825" s="13">
        <v>2.0</v>
      </c>
      <c r="H825" s="9" t="s">
        <v>70</v>
      </c>
      <c r="I825" s="9" t="s">
        <v>88</v>
      </c>
      <c r="J825" s="9" t="s">
        <v>79</v>
      </c>
      <c r="K825" s="9" t="s">
        <v>84</v>
      </c>
    </row>
    <row r="826" ht="15.75" customHeight="1">
      <c r="A826" s="10">
        <v>45128.0</v>
      </c>
      <c r="B826" s="11">
        <v>5.383659676E9</v>
      </c>
      <c r="C826" s="12" t="s">
        <v>810</v>
      </c>
      <c r="D826" s="11">
        <v>2.1330375E7</v>
      </c>
      <c r="E826" s="10">
        <v>45133.0</v>
      </c>
      <c r="F826" s="9" t="s">
        <v>69</v>
      </c>
      <c r="G826" s="13">
        <v>2.0</v>
      </c>
      <c r="H826" s="9" t="s">
        <v>92</v>
      </c>
      <c r="I826" s="9" t="s">
        <v>88</v>
      </c>
      <c r="J826" s="9" t="s">
        <v>79</v>
      </c>
      <c r="K826" s="9" t="s">
        <v>90</v>
      </c>
    </row>
    <row r="827" ht="15.75" customHeight="1">
      <c r="A827" s="10">
        <v>45128.0</v>
      </c>
      <c r="B827" s="11">
        <v>3.144521811E9</v>
      </c>
      <c r="C827" s="12" t="s">
        <v>811</v>
      </c>
      <c r="D827" s="11">
        <v>4.2499754E7</v>
      </c>
      <c r="E827" s="10">
        <v>45133.0</v>
      </c>
      <c r="F827" s="9" t="s">
        <v>69</v>
      </c>
      <c r="G827" s="13">
        <v>1.0</v>
      </c>
      <c r="H827" s="9" t="s">
        <v>92</v>
      </c>
      <c r="I827" s="9" t="s">
        <v>71</v>
      </c>
      <c r="J827" s="9" t="s">
        <v>79</v>
      </c>
      <c r="K827" s="9" t="s">
        <v>90</v>
      </c>
    </row>
    <row r="828" ht="15.75" customHeight="1">
      <c r="A828" s="10">
        <v>45128.0</v>
      </c>
      <c r="B828" s="11">
        <v>2.415319933E9</v>
      </c>
      <c r="C828" s="12" t="s">
        <v>812</v>
      </c>
      <c r="D828" s="11">
        <v>2.9034033E7</v>
      </c>
      <c r="E828" s="10">
        <v>45133.0</v>
      </c>
      <c r="F828" s="9" t="s">
        <v>69</v>
      </c>
      <c r="G828" s="13">
        <v>1.0</v>
      </c>
      <c r="H828" s="9" t="s">
        <v>92</v>
      </c>
      <c r="I828" s="9" t="s">
        <v>71</v>
      </c>
      <c r="J828" s="9" t="s">
        <v>79</v>
      </c>
      <c r="K828" s="9" t="s">
        <v>90</v>
      </c>
    </row>
    <row r="829" ht="15.75" customHeight="1">
      <c r="A829" s="10">
        <v>45132.0</v>
      </c>
      <c r="B829" s="11">
        <v>3.496229015E9</v>
      </c>
      <c r="C829" s="12" t="s">
        <v>813</v>
      </c>
      <c r="D829" s="11">
        <v>3.6998356E7</v>
      </c>
      <c r="E829" s="10">
        <v>45133.0</v>
      </c>
      <c r="F829" s="9" t="s">
        <v>76</v>
      </c>
      <c r="G829" s="13">
        <v>2.0</v>
      </c>
      <c r="H829" s="9" t="s">
        <v>92</v>
      </c>
      <c r="I829" s="9" t="s">
        <v>71</v>
      </c>
      <c r="J829" s="9" t="s">
        <v>83</v>
      </c>
      <c r="K829" s="9" t="s">
        <v>90</v>
      </c>
    </row>
    <row r="830" ht="15.75" customHeight="1">
      <c r="A830" s="10">
        <v>45132.0</v>
      </c>
      <c r="B830" s="11">
        <v>4.728852483E9</v>
      </c>
      <c r="C830" s="12" t="s">
        <v>814</v>
      </c>
      <c r="D830" s="11">
        <v>3.2116042E7</v>
      </c>
      <c r="E830" s="10">
        <v>45133.0</v>
      </c>
      <c r="F830" s="9" t="s">
        <v>69</v>
      </c>
      <c r="G830" s="13">
        <v>2.0</v>
      </c>
      <c r="H830" s="9" t="s">
        <v>92</v>
      </c>
      <c r="I830" s="9" t="s">
        <v>71</v>
      </c>
      <c r="J830" s="9" t="s">
        <v>83</v>
      </c>
      <c r="K830" s="9" t="s">
        <v>90</v>
      </c>
    </row>
    <row r="831" ht="15.75" customHeight="1">
      <c r="A831" s="10">
        <v>45132.0</v>
      </c>
      <c r="B831" s="11">
        <v>2.59884436E9</v>
      </c>
      <c r="C831" s="12" t="s">
        <v>815</v>
      </c>
      <c r="D831" s="11">
        <v>2.7961772E7</v>
      </c>
      <c r="E831" s="10">
        <v>45133.0</v>
      </c>
      <c r="F831" s="9" t="s">
        <v>69</v>
      </c>
      <c r="G831" s="13">
        <v>4.0</v>
      </c>
      <c r="H831" s="9" t="s">
        <v>81</v>
      </c>
      <c r="I831" s="9" t="s">
        <v>71</v>
      </c>
      <c r="J831" s="9" t="s">
        <v>83</v>
      </c>
      <c r="K831" s="9" t="s">
        <v>73</v>
      </c>
    </row>
    <row r="832" ht="15.75" customHeight="1">
      <c r="A832" s="10">
        <v>45132.0</v>
      </c>
      <c r="B832" s="11">
        <v>1.46206844E9</v>
      </c>
      <c r="C832" s="12" t="s">
        <v>816</v>
      </c>
      <c r="D832" s="11">
        <v>3.8745509E7</v>
      </c>
      <c r="E832" s="10">
        <v>45133.0</v>
      </c>
      <c r="F832" s="9" t="s">
        <v>69</v>
      </c>
      <c r="G832" s="13">
        <v>3.0</v>
      </c>
      <c r="H832" s="9" t="s">
        <v>81</v>
      </c>
      <c r="I832" s="9" t="s">
        <v>71</v>
      </c>
      <c r="J832" s="9" t="s">
        <v>83</v>
      </c>
      <c r="K832" s="9" t="s">
        <v>73</v>
      </c>
    </row>
    <row r="833" ht="15.75" customHeight="1">
      <c r="A833" s="10">
        <v>45132.0</v>
      </c>
      <c r="B833" s="11">
        <v>7.925078674E9</v>
      </c>
      <c r="C833" s="12" t="s">
        <v>817</v>
      </c>
      <c r="D833" s="11">
        <v>3.9138914E7</v>
      </c>
      <c r="E833" s="10">
        <v>45133.0</v>
      </c>
      <c r="F833" s="9" t="s">
        <v>69</v>
      </c>
      <c r="G833" s="13">
        <v>3.0</v>
      </c>
      <c r="H833" s="9" t="s">
        <v>81</v>
      </c>
      <c r="I833" s="9" t="s">
        <v>71</v>
      </c>
      <c r="J833" s="9" t="s">
        <v>83</v>
      </c>
      <c r="K833" s="9" t="s">
        <v>73</v>
      </c>
    </row>
    <row r="834" ht="15.75" customHeight="1">
      <c r="A834" s="10">
        <v>45132.0</v>
      </c>
      <c r="B834" s="11">
        <v>4.96506458E9</v>
      </c>
      <c r="C834" s="12" t="s">
        <v>818</v>
      </c>
      <c r="D834" s="11">
        <v>3.1620839E7</v>
      </c>
      <c r="E834" s="10">
        <v>45133.0</v>
      </c>
      <c r="F834" s="9" t="s">
        <v>76</v>
      </c>
      <c r="G834" s="13">
        <v>2.0</v>
      </c>
      <c r="H834" s="9" t="s">
        <v>81</v>
      </c>
      <c r="I834" s="9" t="s">
        <v>71</v>
      </c>
      <c r="J834" s="9" t="s">
        <v>83</v>
      </c>
      <c r="K834" s="9" t="s">
        <v>73</v>
      </c>
    </row>
    <row r="835" ht="15.75" customHeight="1">
      <c r="A835" s="10">
        <v>45114.0</v>
      </c>
      <c r="B835" s="11">
        <v>3.865224694E9</v>
      </c>
      <c r="C835" s="12" t="s">
        <v>819</v>
      </c>
      <c r="D835" s="11">
        <v>4.5231381E7</v>
      </c>
      <c r="E835" s="10">
        <v>45134.0</v>
      </c>
      <c r="F835" s="9" t="s">
        <v>69</v>
      </c>
      <c r="G835" s="13">
        <v>2.0</v>
      </c>
      <c r="H835" s="9" t="s">
        <v>81</v>
      </c>
      <c r="I835" s="9" t="s">
        <v>71</v>
      </c>
      <c r="J835" s="9" t="s">
        <v>83</v>
      </c>
      <c r="K835" s="9" t="s">
        <v>73</v>
      </c>
    </row>
    <row r="836" ht="15.75" customHeight="1">
      <c r="A836" s="10">
        <v>45128.0</v>
      </c>
      <c r="B836" s="11">
        <v>4.610938636E9</v>
      </c>
      <c r="C836" s="12" t="s">
        <v>820</v>
      </c>
      <c r="D836" s="11">
        <v>2.8883271E7</v>
      </c>
      <c r="E836" s="10">
        <v>45134.0</v>
      </c>
      <c r="F836" s="9" t="s">
        <v>69</v>
      </c>
      <c r="G836" s="13">
        <v>1.0</v>
      </c>
      <c r="H836" s="9" t="s">
        <v>81</v>
      </c>
      <c r="I836" s="9" t="s">
        <v>71</v>
      </c>
      <c r="J836" s="9" t="s">
        <v>83</v>
      </c>
      <c r="K836" s="9" t="s">
        <v>73</v>
      </c>
    </row>
    <row r="837" ht="15.75" customHeight="1">
      <c r="A837" s="10">
        <v>45132.0</v>
      </c>
      <c r="B837" s="11">
        <v>1.462026252E9</v>
      </c>
      <c r="C837" s="12" t="s">
        <v>821</v>
      </c>
      <c r="D837" s="11">
        <v>2.4803833E7</v>
      </c>
      <c r="E837" s="10">
        <v>45134.0</v>
      </c>
      <c r="F837" s="9" t="s">
        <v>69</v>
      </c>
      <c r="G837" s="13">
        <v>2.0</v>
      </c>
      <c r="H837" s="9" t="s">
        <v>106</v>
      </c>
      <c r="I837" s="9" t="s">
        <v>71</v>
      </c>
      <c r="J837" s="9" t="s">
        <v>83</v>
      </c>
      <c r="K837" s="9" t="s">
        <v>73</v>
      </c>
    </row>
    <row r="838" ht="15.75" customHeight="1">
      <c r="A838" s="10">
        <v>45132.0</v>
      </c>
      <c r="B838" s="11">
        <v>7.11125457E9</v>
      </c>
      <c r="C838" s="12" t="s">
        <v>822</v>
      </c>
      <c r="D838" s="11">
        <v>1.7892711E7</v>
      </c>
      <c r="E838" s="10">
        <v>45134.0</v>
      </c>
      <c r="F838" s="9" t="s">
        <v>69</v>
      </c>
      <c r="G838" s="13">
        <v>2.0</v>
      </c>
      <c r="H838" s="9" t="s">
        <v>106</v>
      </c>
      <c r="I838" s="9" t="s">
        <v>71</v>
      </c>
      <c r="J838" s="9" t="s">
        <v>83</v>
      </c>
      <c r="K838" s="9" t="s">
        <v>73</v>
      </c>
    </row>
    <row r="839" ht="15.75" customHeight="1">
      <c r="A839" s="10">
        <v>45132.0</v>
      </c>
      <c r="B839" s="11">
        <v>4.214112523E9</v>
      </c>
      <c r="C839" s="12" t="s">
        <v>823</v>
      </c>
      <c r="D839" s="11">
        <v>4.2929442E7</v>
      </c>
      <c r="E839" s="10">
        <v>45134.0</v>
      </c>
      <c r="F839" s="9" t="s">
        <v>69</v>
      </c>
      <c r="G839" s="13">
        <v>4.0</v>
      </c>
      <c r="H839" s="9" t="s">
        <v>106</v>
      </c>
      <c r="I839" s="9" t="s">
        <v>71</v>
      </c>
      <c r="J839" s="9" t="s">
        <v>93</v>
      </c>
      <c r="K839" s="9" t="s">
        <v>73</v>
      </c>
    </row>
    <row r="840" ht="15.75" customHeight="1">
      <c r="A840" s="10">
        <v>45132.0</v>
      </c>
      <c r="B840" s="11">
        <v>1.46214957E9</v>
      </c>
      <c r="C840" s="12" t="s">
        <v>824</v>
      </c>
      <c r="D840" s="11">
        <v>4.4581635E7</v>
      </c>
      <c r="E840" s="10">
        <v>45134.0</v>
      </c>
      <c r="F840" s="9" t="s">
        <v>69</v>
      </c>
      <c r="G840" s="13">
        <v>3.0</v>
      </c>
      <c r="H840" s="9" t="s">
        <v>106</v>
      </c>
      <c r="I840" s="9" t="s">
        <v>71</v>
      </c>
      <c r="J840" s="9" t="s">
        <v>93</v>
      </c>
      <c r="K840" s="9" t="s">
        <v>73</v>
      </c>
    </row>
    <row r="841" ht="15.75" customHeight="1">
      <c r="A841" s="10">
        <v>45133.0</v>
      </c>
      <c r="B841" s="11">
        <v>2.652082705E9</v>
      </c>
      <c r="C841" s="12" t="s">
        <v>821</v>
      </c>
      <c r="D841" s="11">
        <v>2.4803833E7</v>
      </c>
      <c r="E841" s="10">
        <v>45134.0</v>
      </c>
      <c r="F841" s="9" t="s">
        <v>76</v>
      </c>
      <c r="G841" s="13">
        <v>3.0</v>
      </c>
      <c r="H841" s="9" t="s">
        <v>106</v>
      </c>
      <c r="I841" s="9" t="s">
        <v>71</v>
      </c>
      <c r="J841" s="9" t="s">
        <v>93</v>
      </c>
      <c r="K841" s="9" t="s">
        <v>217</v>
      </c>
    </row>
    <row r="842" ht="15.75" customHeight="1">
      <c r="A842" s="10">
        <v>45134.0</v>
      </c>
      <c r="B842" s="11">
        <v>3.43793793E9</v>
      </c>
      <c r="C842" s="12" t="s">
        <v>825</v>
      </c>
      <c r="D842" s="11">
        <v>1.4225736E7</v>
      </c>
      <c r="E842" s="10">
        <v>45134.0</v>
      </c>
      <c r="F842" s="9" t="s">
        <v>69</v>
      </c>
      <c r="G842" s="13">
        <v>3.0</v>
      </c>
      <c r="H842" s="9" t="s">
        <v>112</v>
      </c>
      <c r="I842" s="9" t="s">
        <v>71</v>
      </c>
      <c r="J842" s="9" t="s">
        <v>93</v>
      </c>
      <c r="K842" s="9" t="s">
        <v>217</v>
      </c>
    </row>
    <row r="843" ht="15.75" customHeight="1">
      <c r="A843" s="10">
        <v>45114.0</v>
      </c>
      <c r="B843" s="11">
        <v>7.197197206E9</v>
      </c>
      <c r="C843" s="12" t="s">
        <v>826</v>
      </c>
      <c r="D843" s="11">
        <v>1.3790478E7</v>
      </c>
      <c r="E843" s="10">
        <v>45135.0</v>
      </c>
      <c r="F843" s="9" t="s">
        <v>69</v>
      </c>
      <c r="G843" s="13">
        <v>2.0</v>
      </c>
      <c r="H843" s="9" t="s">
        <v>112</v>
      </c>
      <c r="I843" s="9" t="s">
        <v>71</v>
      </c>
      <c r="J843" s="9" t="s">
        <v>93</v>
      </c>
      <c r="K843" s="9" t="s">
        <v>217</v>
      </c>
    </row>
    <row r="844" ht="15.75" customHeight="1">
      <c r="A844" s="10">
        <v>45128.0</v>
      </c>
      <c r="B844" s="11">
        <v>2.415351046E9</v>
      </c>
      <c r="C844" s="12" t="s">
        <v>827</v>
      </c>
      <c r="D844" s="11">
        <v>1.6457607E7</v>
      </c>
      <c r="E844" s="10">
        <v>45135.0</v>
      </c>
      <c r="F844" s="9" t="s">
        <v>69</v>
      </c>
      <c r="G844" s="13">
        <v>2.0</v>
      </c>
      <c r="H844" s="9" t="s">
        <v>112</v>
      </c>
      <c r="I844" s="9" t="s">
        <v>71</v>
      </c>
      <c r="J844" s="9" t="s">
        <v>93</v>
      </c>
      <c r="K844" s="9" t="s">
        <v>107</v>
      </c>
    </row>
    <row r="845" ht="15.75" customHeight="1">
      <c r="A845" s="10">
        <v>45128.0</v>
      </c>
      <c r="B845" s="11">
        <v>3.874471705E9</v>
      </c>
      <c r="C845" s="12" t="s">
        <v>828</v>
      </c>
      <c r="D845" s="11"/>
      <c r="E845" s="10">
        <v>45135.0</v>
      </c>
      <c r="F845" s="9" t="s">
        <v>69</v>
      </c>
      <c r="G845" s="13">
        <v>2.0</v>
      </c>
      <c r="H845" s="9" t="s">
        <v>116</v>
      </c>
      <c r="I845" s="9" t="s">
        <v>71</v>
      </c>
      <c r="J845" s="9" t="s">
        <v>93</v>
      </c>
      <c r="K845" s="9" t="s">
        <v>107</v>
      </c>
    </row>
    <row r="846" ht="15.75" customHeight="1">
      <c r="A846" s="10">
        <v>45132.0</v>
      </c>
      <c r="B846" s="11">
        <v>7.014890411E9</v>
      </c>
      <c r="C846" s="12" t="s">
        <v>829</v>
      </c>
      <c r="D846" s="11">
        <v>2.2028951E7</v>
      </c>
      <c r="E846" s="10">
        <v>45135.0</v>
      </c>
      <c r="F846" s="9" t="s">
        <v>76</v>
      </c>
      <c r="G846" s="13">
        <v>2.0</v>
      </c>
      <c r="H846" s="9" t="s">
        <v>116</v>
      </c>
      <c r="I846" s="9" t="s">
        <v>71</v>
      </c>
      <c r="J846" s="9" t="s">
        <v>93</v>
      </c>
      <c r="K846" s="9" t="s">
        <v>107</v>
      </c>
    </row>
    <row r="847" ht="15.75" customHeight="1">
      <c r="A847" s="10">
        <v>45132.0</v>
      </c>
      <c r="B847" s="11">
        <v>7.014879141E9</v>
      </c>
      <c r="C847" s="12" t="s">
        <v>829</v>
      </c>
      <c r="D847" s="11">
        <v>2.2028951E7</v>
      </c>
      <c r="E847" s="10">
        <v>45135.0</v>
      </c>
      <c r="F847" s="9" t="s">
        <v>76</v>
      </c>
      <c r="G847" s="13">
        <v>2.0</v>
      </c>
      <c r="H847" s="9" t="s">
        <v>116</v>
      </c>
      <c r="I847" s="9" t="s">
        <v>71</v>
      </c>
      <c r="J847" s="9" t="s">
        <v>93</v>
      </c>
      <c r="K847" s="9" t="s">
        <v>107</v>
      </c>
    </row>
    <row r="848" ht="15.75" customHeight="1">
      <c r="A848" s="10">
        <v>45132.0</v>
      </c>
      <c r="B848" s="11">
        <v>3.497815031E9</v>
      </c>
      <c r="C848" s="12" t="s">
        <v>830</v>
      </c>
      <c r="D848" s="11">
        <v>4.0357925E7</v>
      </c>
      <c r="E848" s="10">
        <v>45135.0</v>
      </c>
      <c r="F848" s="9" t="s">
        <v>69</v>
      </c>
      <c r="G848" s="13">
        <v>1.0</v>
      </c>
      <c r="H848" s="9" t="s">
        <v>116</v>
      </c>
      <c r="I848" s="9" t="s">
        <v>71</v>
      </c>
      <c r="J848" s="9" t="s">
        <v>93</v>
      </c>
      <c r="K848" s="9" t="s">
        <v>107</v>
      </c>
    </row>
    <row r="849" ht="15.75" customHeight="1">
      <c r="A849" s="10">
        <v>45134.0</v>
      </c>
      <c r="B849" s="11">
        <v>6.931989525E9</v>
      </c>
      <c r="C849" s="12" t="s">
        <v>831</v>
      </c>
      <c r="D849" s="11">
        <v>4163362.0</v>
      </c>
      <c r="E849" s="10">
        <v>45135.0</v>
      </c>
      <c r="F849" s="9" t="s">
        <v>69</v>
      </c>
      <c r="G849" s="13">
        <v>1.0</v>
      </c>
      <c r="H849" s="9" t="s">
        <v>70</v>
      </c>
      <c r="I849" s="9" t="s">
        <v>71</v>
      </c>
      <c r="J849" s="9" t="s">
        <v>318</v>
      </c>
      <c r="K849" s="9" t="s">
        <v>107</v>
      </c>
    </row>
    <row r="850" ht="15.75" customHeight="1">
      <c r="A850" s="10">
        <v>45125.0</v>
      </c>
      <c r="B850" s="11">
        <v>1.34108065E9</v>
      </c>
      <c r="C850" s="12" t="s">
        <v>832</v>
      </c>
      <c r="D850" s="11">
        <v>3.24131713E8</v>
      </c>
      <c r="E850" s="10">
        <v>45138.0</v>
      </c>
      <c r="F850" s="9" t="s">
        <v>69</v>
      </c>
      <c r="G850" s="13">
        <v>2.0</v>
      </c>
      <c r="H850" s="9" t="s">
        <v>70</v>
      </c>
      <c r="I850" s="9" t="s">
        <v>71</v>
      </c>
      <c r="J850" s="9" t="s">
        <v>318</v>
      </c>
      <c r="K850" s="9" t="s">
        <v>107</v>
      </c>
    </row>
    <row r="851" ht="15.75" customHeight="1">
      <c r="A851" s="10">
        <v>45128.0</v>
      </c>
      <c r="B851" s="11">
        <v>3.144577133E9</v>
      </c>
      <c r="C851" s="12" t="s">
        <v>833</v>
      </c>
      <c r="D851" s="11">
        <v>3.9573249E7</v>
      </c>
      <c r="E851" s="10">
        <v>45138.0</v>
      </c>
      <c r="F851" s="9" t="s">
        <v>69</v>
      </c>
      <c r="G851" s="13">
        <v>2.0</v>
      </c>
      <c r="H851" s="9" t="s">
        <v>70</v>
      </c>
      <c r="I851" s="9" t="s">
        <v>71</v>
      </c>
      <c r="J851" s="9" t="s">
        <v>318</v>
      </c>
      <c r="K851" s="9" t="s">
        <v>107</v>
      </c>
    </row>
    <row r="852" ht="15.75" customHeight="1">
      <c r="A852" s="10">
        <v>45132.0</v>
      </c>
      <c r="B852" s="11">
        <v>4.214116686E9</v>
      </c>
      <c r="C852" s="12" t="s">
        <v>834</v>
      </c>
      <c r="D852" s="11">
        <v>1.4225524E7</v>
      </c>
      <c r="E852" s="10">
        <v>45138.0</v>
      </c>
      <c r="F852" s="9" t="s">
        <v>69</v>
      </c>
      <c r="G852" s="13">
        <v>1.0</v>
      </c>
      <c r="H852" s="9" t="s">
        <v>70</v>
      </c>
      <c r="I852" s="9" t="s">
        <v>71</v>
      </c>
      <c r="J852" s="9" t="s">
        <v>318</v>
      </c>
      <c r="K852" s="9" t="s">
        <v>99</v>
      </c>
    </row>
    <row r="853" ht="15.75" customHeight="1">
      <c r="A853" s="10">
        <v>45134.0</v>
      </c>
      <c r="B853" s="11">
        <v>6.571439803E9</v>
      </c>
      <c r="C853" s="12" t="s">
        <v>835</v>
      </c>
      <c r="D853" s="11">
        <v>3.1254423E7</v>
      </c>
      <c r="E853" s="10">
        <v>45138.0</v>
      </c>
      <c r="F853" s="9" t="s">
        <v>76</v>
      </c>
      <c r="G853" s="13">
        <v>1.0</v>
      </c>
      <c r="H853" s="9" t="s">
        <v>70</v>
      </c>
      <c r="I853" s="9" t="s">
        <v>71</v>
      </c>
      <c r="J853" s="9" t="s">
        <v>318</v>
      </c>
      <c r="K853" s="9" t="s">
        <v>99</v>
      </c>
    </row>
    <row r="854" ht="15.75" customHeight="1">
      <c r="A854" s="10">
        <v>45134.0</v>
      </c>
      <c r="B854" s="11">
        <v>2.455258816E9</v>
      </c>
      <c r="C854" s="12" t="s">
        <v>836</v>
      </c>
      <c r="D854" s="11">
        <v>4.1061801E7</v>
      </c>
      <c r="E854" s="10">
        <v>45138.0</v>
      </c>
      <c r="F854" s="9" t="s">
        <v>69</v>
      </c>
      <c r="G854" s="13">
        <v>1.0</v>
      </c>
      <c r="H854" s="9" t="s">
        <v>70</v>
      </c>
      <c r="I854" s="9" t="s">
        <v>71</v>
      </c>
      <c r="J854" s="9" t="s">
        <v>72</v>
      </c>
      <c r="K854" s="9" t="s">
        <v>99</v>
      </c>
    </row>
    <row r="855" ht="15.75" customHeight="1">
      <c r="A855" s="10">
        <v>45135.0</v>
      </c>
      <c r="B855" s="11">
        <v>2.878338772E9</v>
      </c>
      <c r="C855" s="12" t="s">
        <v>837</v>
      </c>
      <c r="D855" s="11">
        <v>2.8222731E7</v>
      </c>
      <c r="E855" s="10">
        <v>45138.0</v>
      </c>
      <c r="F855" s="9" t="s">
        <v>76</v>
      </c>
      <c r="G855" s="13">
        <v>1.0</v>
      </c>
      <c r="H855" s="9" t="s">
        <v>106</v>
      </c>
      <c r="I855" s="9" t="s">
        <v>71</v>
      </c>
      <c r="J855" s="9" t="s">
        <v>72</v>
      </c>
      <c r="K855" s="9" t="s">
        <v>99</v>
      </c>
    </row>
    <row r="856" ht="15.75" customHeight="1">
      <c r="A856" s="10">
        <v>45135.0</v>
      </c>
      <c r="B856" s="11">
        <v>9.612726605E9</v>
      </c>
      <c r="C856" s="12" t="s">
        <v>837</v>
      </c>
      <c r="D856" s="11">
        <v>2.8222731E7</v>
      </c>
      <c r="E856" s="10">
        <v>45138.0</v>
      </c>
      <c r="F856" s="9" t="s">
        <v>69</v>
      </c>
      <c r="G856" s="13">
        <v>1.0</v>
      </c>
      <c r="H856" s="9" t="s">
        <v>106</v>
      </c>
      <c r="I856" s="9" t="s">
        <v>71</v>
      </c>
      <c r="J856" s="9" t="s">
        <v>72</v>
      </c>
      <c r="K856" s="9" t="s">
        <v>99</v>
      </c>
    </row>
    <row r="857" ht="15.75" customHeight="1">
      <c r="A857" s="10">
        <v>45135.0</v>
      </c>
      <c r="B857" s="11">
        <v>6.580999515E9</v>
      </c>
      <c r="C857" s="12" t="s">
        <v>838</v>
      </c>
      <c r="D857" s="11">
        <v>2.5212989E7</v>
      </c>
      <c r="E857" s="10">
        <v>45138.0</v>
      </c>
      <c r="F857" s="9" t="s">
        <v>69</v>
      </c>
      <c r="G857" s="13">
        <v>1.0</v>
      </c>
      <c r="H857" s="9" t="s">
        <v>106</v>
      </c>
      <c r="I857" s="9" t="s">
        <v>71</v>
      </c>
      <c r="J857" s="9" t="s">
        <v>72</v>
      </c>
      <c r="K857" s="9" t="s">
        <v>99</v>
      </c>
    </row>
    <row r="858" ht="15.75" customHeight="1">
      <c r="A858" s="10">
        <v>45117.0</v>
      </c>
      <c r="B858" s="11">
        <v>3.27312706E9</v>
      </c>
      <c r="C858" s="12" t="s">
        <v>839</v>
      </c>
      <c r="D858" s="11">
        <v>3.799759E7</v>
      </c>
      <c r="E858" s="10">
        <v>45139.0</v>
      </c>
      <c r="F858" s="9" t="s">
        <v>69</v>
      </c>
      <c r="G858" s="13">
        <v>1.0</v>
      </c>
      <c r="H858" s="9" t="s">
        <v>106</v>
      </c>
      <c r="I858" s="9" t="s">
        <v>71</v>
      </c>
      <c r="J858" s="9" t="s">
        <v>72</v>
      </c>
      <c r="K858" s="9" t="s">
        <v>99</v>
      </c>
    </row>
    <row r="859" ht="15.75" customHeight="1">
      <c r="A859" s="10">
        <v>45125.0</v>
      </c>
      <c r="B859" s="11">
        <v>6.274097443E9</v>
      </c>
      <c r="C859" s="12" t="s">
        <v>840</v>
      </c>
      <c r="D859" s="11">
        <v>4.1232755E7</v>
      </c>
      <c r="E859" s="10">
        <v>45139.0</v>
      </c>
      <c r="F859" s="9" t="s">
        <v>69</v>
      </c>
      <c r="G859" s="13">
        <v>1.0</v>
      </c>
      <c r="H859" s="9" t="s">
        <v>106</v>
      </c>
      <c r="I859" s="9" t="s">
        <v>71</v>
      </c>
      <c r="J859" s="9" t="s">
        <v>72</v>
      </c>
      <c r="K859" s="9" t="s">
        <v>90</v>
      </c>
    </row>
    <row r="860" ht="15.75" customHeight="1">
      <c r="A860" s="10">
        <v>45127.0</v>
      </c>
      <c r="B860" s="11">
        <v>2.826590476E9</v>
      </c>
      <c r="C860" s="12" t="s">
        <v>841</v>
      </c>
      <c r="D860" s="11">
        <v>3.0357831E7</v>
      </c>
      <c r="E860" s="10">
        <v>45139.0</v>
      </c>
      <c r="F860" s="9" t="s">
        <v>69</v>
      </c>
      <c r="G860" s="13">
        <v>1.0</v>
      </c>
      <c r="H860" s="9" t="s">
        <v>106</v>
      </c>
      <c r="I860" s="9" t="s">
        <v>77</v>
      </c>
      <c r="J860" s="9" t="s">
        <v>72</v>
      </c>
      <c r="K860" s="9" t="s">
        <v>90</v>
      </c>
    </row>
    <row r="861" ht="15.75" customHeight="1">
      <c r="A861" s="10">
        <v>45128.0</v>
      </c>
      <c r="B861" s="11">
        <v>3.189003311E9</v>
      </c>
      <c r="C861" s="12" t="s">
        <v>842</v>
      </c>
      <c r="D861" s="11">
        <v>2.4803818E7</v>
      </c>
      <c r="E861" s="10">
        <v>45139.0</v>
      </c>
      <c r="F861" s="9" t="s">
        <v>69</v>
      </c>
      <c r="G861" s="13">
        <v>2.0</v>
      </c>
      <c r="H861" s="9" t="s">
        <v>106</v>
      </c>
      <c r="I861" s="9" t="s">
        <v>77</v>
      </c>
      <c r="J861" s="9" t="s">
        <v>72</v>
      </c>
      <c r="K861" s="9" t="s">
        <v>90</v>
      </c>
    </row>
    <row r="862" ht="15.75" customHeight="1">
      <c r="A862" s="10">
        <v>45128.0</v>
      </c>
      <c r="B862" s="11">
        <v>9.522577842E9</v>
      </c>
      <c r="C862" s="12" t="s">
        <v>843</v>
      </c>
      <c r="D862" s="11">
        <v>2.2804801E7</v>
      </c>
      <c r="E862" s="10">
        <v>45139.0</v>
      </c>
      <c r="F862" s="9" t="s">
        <v>69</v>
      </c>
      <c r="G862" s="13">
        <v>2.0</v>
      </c>
      <c r="H862" s="9" t="s">
        <v>81</v>
      </c>
      <c r="I862" s="9" t="s">
        <v>77</v>
      </c>
      <c r="J862" s="9" t="s">
        <v>72</v>
      </c>
      <c r="K862" s="9" t="s">
        <v>90</v>
      </c>
    </row>
    <row r="863" ht="15.75" customHeight="1">
      <c r="A863" s="10">
        <v>45139.0</v>
      </c>
      <c r="B863" s="11">
        <v>3.451939175E9</v>
      </c>
      <c r="C863" s="12" t="s">
        <v>844</v>
      </c>
      <c r="D863" s="11">
        <v>4.0087934E7</v>
      </c>
      <c r="E863" s="10">
        <v>45139.0</v>
      </c>
      <c r="F863" s="9" t="s">
        <v>76</v>
      </c>
      <c r="G863" s="13">
        <v>3.0</v>
      </c>
      <c r="H863" s="9" t="s">
        <v>81</v>
      </c>
      <c r="I863" s="9" t="s">
        <v>77</v>
      </c>
      <c r="J863" s="9" t="s">
        <v>72</v>
      </c>
      <c r="K863" s="9" t="s">
        <v>90</v>
      </c>
    </row>
    <row r="864" ht="15.75" customHeight="1">
      <c r="A864" s="10">
        <v>45139.0</v>
      </c>
      <c r="B864" s="11">
        <v>5.250092794E9</v>
      </c>
      <c r="C864" s="12" t="s">
        <v>845</v>
      </c>
      <c r="D864" s="11">
        <v>1.3627742E7</v>
      </c>
      <c r="E864" s="10">
        <v>45139.0</v>
      </c>
      <c r="F864" s="9" t="s">
        <v>69</v>
      </c>
      <c r="G864" s="13">
        <v>3.0</v>
      </c>
      <c r="H864" s="9" t="s">
        <v>81</v>
      </c>
      <c r="I864" s="9" t="s">
        <v>77</v>
      </c>
      <c r="J864" s="9" t="s">
        <v>318</v>
      </c>
      <c r="K864" s="9" t="s">
        <v>90</v>
      </c>
    </row>
    <row r="865" ht="15.75" customHeight="1">
      <c r="A865" s="10">
        <v>45125.0</v>
      </c>
      <c r="B865" s="11">
        <v>1.726884924E9</v>
      </c>
      <c r="C865" s="12" t="s">
        <v>846</v>
      </c>
      <c r="D865" s="11">
        <v>2.0219423E7</v>
      </c>
      <c r="E865" s="10">
        <v>45140.0</v>
      </c>
      <c r="F865" s="9" t="s">
        <v>69</v>
      </c>
      <c r="G865" s="13">
        <v>2.0</v>
      </c>
      <c r="H865" s="9" t="s">
        <v>81</v>
      </c>
      <c r="I865" s="9" t="s">
        <v>77</v>
      </c>
      <c r="J865" s="9" t="s">
        <v>318</v>
      </c>
      <c r="K865" s="9" t="s">
        <v>90</v>
      </c>
    </row>
    <row r="866" ht="15.75" customHeight="1">
      <c r="A866" s="10">
        <v>45128.0</v>
      </c>
      <c r="B866" s="11">
        <v>4.61096713E9</v>
      </c>
      <c r="C866" s="12" t="s">
        <v>847</v>
      </c>
      <c r="D866" s="11">
        <v>8085908.0</v>
      </c>
      <c r="E866" s="10">
        <v>45140.0</v>
      </c>
      <c r="F866" s="9" t="s">
        <v>69</v>
      </c>
      <c r="G866" s="13">
        <v>1.0</v>
      </c>
      <c r="H866" s="9" t="s">
        <v>81</v>
      </c>
      <c r="I866" s="9" t="s">
        <v>77</v>
      </c>
      <c r="J866" s="9" t="s">
        <v>318</v>
      </c>
      <c r="K866" s="9" t="s">
        <v>90</v>
      </c>
    </row>
    <row r="867" ht="15.75" customHeight="1">
      <c r="A867" s="10">
        <v>45132.0</v>
      </c>
      <c r="B867" s="11">
        <v>7.71190091E9</v>
      </c>
      <c r="C867" s="12" t="s">
        <v>848</v>
      </c>
      <c r="D867" s="11">
        <v>2.2073843E7</v>
      </c>
      <c r="E867" s="10">
        <v>45140.0</v>
      </c>
      <c r="F867" s="9" t="s">
        <v>69</v>
      </c>
      <c r="G867" s="13">
        <v>1.0</v>
      </c>
      <c r="H867" s="9" t="s">
        <v>81</v>
      </c>
      <c r="I867" s="9" t="s">
        <v>77</v>
      </c>
      <c r="J867" s="9" t="s">
        <v>318</v>
      </c>
      <c r="K867" s="9" t="s">
        <v>90</v>
      </c>
    </row>
    <row r="868" ht="15.75" customHeight="1">
      <c r="A868" s="10">
        <v>45132.0</v>
      </c>
      <c r="B868" s="11">
        <v>7.014959652E9</v>
      </c>
      <c r="C868" s="12" t="s">
        <v>849</v>
      </c>
      <c r="D868" s="11">
        <v>3.7191208E7</v>
      </c>
      <c r="E868" s="10">
        <v>45140.0</v>
      </c>
      <c r="F868" s="9" t="s">
        <v>69</v>
      </c>
      <c r="G868" s="13">
        <v>1.0</v>
      </c>
      <c r="H868" s="9" t="s">
        <v>81</v>
      </c>
      <c r="I868" s="9" t="s">
        <v>77</v>
      </c>
      <c r="J868" s="9" t="s">
        <v>318</v>
      </c>
      <c r="K868" s="9" t="s">
        <v>90</v>
      </c>
    </row>
    <row r="869" ht="15.75" customHeight="1">
      <c r="A869" s="10">
        <v>45132.0</v>
      </c>
      <c r="B869" s="11">
        <v>5.828591926E9</v>
      </c>
      <c r="C869" s="12" t="s">
        <v>850</v>
      </c>
      <c r="D869" s="11">
        <v>3.3374317E7</v>
      </c>
      <c r="E869" s="10">
        <v>45140.0</v>
      </c>
      <c r="F869" s="9" t="s">
        <v>69</v>
      </c>
      <c r="G869" s="13">
        <v>1.0</v>
      </c>
      <c r="H869" s="9" t="s">
        <v>81</v>
      </c>
      <c r="I869" s="9" t="s">
        <v>77</v>
      </c>
      <c r="J869" s="9" t="s">
        <v>318</v>
      </c>
      <c r="K869" s="9" t="s">
        <v>84</v>
      </c>
    </row>
    <row r="870" ht="15.75" customHeight="1">
      <c r="A870" s="10">
        <v>45133.0</v>
      </c>
      <c r="B870" s="11">
        <v>3.064693516E9</v>
      </c>
      <c r="C870" s="12" t="s">
        <v>851</v>
      </c>
      <c r="D870" s="11">
        <v>4.0437419E7</v>
      </c>
      <c r="E870" s="10">
        <v>45140.0</v>
      </c>
      <c r="F870" s="9" t="s">
        <v>69</v>
      </c>
      <c r="G870" s="13">
        <v>1.0</v>
      </c>
      <c r="H870" s="9" t="s">
        <v>81</v>
      </c>
      <c r="I870" s="9" t="s">
        <v>77</v>
      </c>
      <c r="J870" s="9" t="s">
        <v>318</v>
      </c>
      <c r="K870" s="9" t="s">
        <v>84</v>
      </c>
    </row>
    <row r="871" ht="15.75" customHeight="1">
      <c r="A871" s="10">
        <v>45133.0</v>
      </c>
      <c r="B871" s="11">
        <v>6.686919621E9</v>
      </c>
      <c r="C871" s="12" t="s">
        <v>852</v>
      </c>
      <c r="D871" s="11">
        <v>3.3374726E7</v>
      </c>
      <c r="E871" s="10">
        <v>45140.0</v>
      </c>
      <c r="F871" s="9" t="s">
        <v>69</v>
      </c>
      <c r="G871" s="13">
        <v>2.0</v>
      </c>
      <c r="H871" s="9" t="s">
        <v>92</v>
      </c>
      <c r="I871" s="9" t="s">
        <v>77</v>
      </c>
      <c r="J871" s="9" t="s">
        <v>318</v>
      </c>
      <c r="K871" s="9" t="s">
        <v>84</v>
      </c>
    </row>
    <row r="872" ht="15.75" customHeight="1">
      <c r="A872" s="10">
        <v>45134.0</v>
      </c>
      <c r="B872" s="11">
        <v>7.154766382E9</v>
      </c>
      <c r="C872" s="12" t="s">
        <v>853</v>
      </c>
      <c r="D872" s="11">
        <v>2.2414879E7</v>
      </c>
      <c r="E872" s="10">
        <v>45140.0</v>
      </c>
      <c r="F872" s="9" t="s">
        <v>76</v>
      </c>
      <c r="G872" s="13">
        <v>2.0</v>
      </c>
      <c r="H872" s="9" t="s">
        <v>92</v>
      </c>
      <c r="I872" s="9" t="s">
        <v>77</v>
      </c>
      <c r="J872" s="9" t="s">
        <v>318</v>
      </c>
      <c r="K872" s="9" t="s">
        <v>84</v>
      </c>
    </row>
    <row r="873" ht="15.75" customHeight="1">
      <c r="A873" s="10">
        <v>45135.0</v>
      </c>
      <c r="B873" s="11">
        <v>3.100307011E9</v>
      </c>
      <c r="C873" s="12" t="s">
        <v>854</v>
      </c>
      <c r="D873" s="11">
        <v>3.6838642E7</v>
      </c>
      <c r="E873" s="10">
        <v>45140.0</v>
      </c>
      <c r="F873" s="9" t="s">
        <v>69</v>
      </c>
      <c r="G873" s="13">
        <v>3.0</v>
      </c>
      <c r="H873" s="9" t="s">
        <v>92</v>
      </c>
      <c r="I873" s="9" t="s">
        <v>88</v>
      </c>
      <c r="J873" s="9" t="s">
        <v>318</v>
      </c>
      <c r="K873" s="9" t="s">
        <v>107</v>
      </c>
    </row>
    <row r="874" ht="15.75" customHeight="1">
      <c r="A874" s="10">
        <v>45135.0</v>
      </c>
      <c r="B874" s="11">
        <v>2.878403743E9</v>
      </c>
      <c r="C874" s="12" t="s">
        <v>853</v>
      </c>
      <c r="D874" s="11">
        <v>2.2414879E7</v>
      </c>
      <c r="E874" s="10">
        <v>45140.0</v>
      </c>
      <c r="F874" s="9" t="s">
        <v>69</v>
      </c>
      <c r="G874" s="13">
        <v>3.0</v>
      </c>
      <c r="H874" s="9" t="s">
        <v>106</v>
      </c>
      <c r="I874" s="9" t="s">
        <v>88</v>
      </c>
      <c r="J874" s="9" t="s">
        <v>318</v>
      </c>
      <c r="K874" s="9" t="s">
        <v>107</v>
      </c>
    </row>
    <row r="875" ht="15.75" customHeight="1">
      <c r="A875" s="10">
        <v>45139.0</v>
      </c>
      <c r="B875" s="11">
        <v>5.373314074E9</v>
      </c>
      <c r="C875" s="12" t="s">
        <v>855</v>
      </c>
      <c r="D875" s="11">
        <v>2.8883761E7</v>
      </c>
      <c r="E875" s="10">
        <v>45140.0</v>
      </c>
      <c r="F875" s="9" t="s">
        <v>69</v>
      </c>
      <c r="G875" s="13">
        <v>3.0</v>
      </c>
      <c r="H875" s="9" t="s">
        <v>106</v>
      </c>
      <c r="I875" s="9" t="s">
        <v>88</v>
      </c>
      <c r="J875" s="9" t="s">
        <v>318</v>
      </c>
      <c r="K875" s="9" t="s">
        <v>107</v>
      </c>
    </row>
    <row r="876" ht="15.75" customHeight="1">
      <c r="A876" s="10">
        <v>45139.0</v>
      </c>
      <c r="B876" s="11">
        <v>4.59068435E9</v>
      </c>
      <c r="C876" s="12" t="s">
        <v>856</v>
      </c>
      <c r="D876" s="11">
        <v>4.2547174E7</v>
      </c>
      <c r="E876" s="10">
        <v>45140.0</v>
      </c>
      <c r="F876" s="9" t="s">
        <v>76</v>
      </c>
      <c r="G876" s="13">
        <v>1.0</v>
      </c>
      <c r="H876" s="9" t="s">
        <v>106</v>
      </c>
      <c r="I876" s="9" t="s">
        <v>88</v>
      </c>
      <c r="J876" s="9" t="s">
        <v>318</v>
      </c>
      <c r="K876" s="9" t="s">
        <v>107</v>
      </c>
    </row>
    <row r="877" ht="15.75" customHeight="1">
      <c r="A877" s="10">
        <v>45139.0</v>
      </c>
      <c r="B877" s="11">
        <v>2.07883599E9</v>
      </c>
      <c r="C877" s="12" t="s">
        <v>856</v>
      </c>
      <c r="D877" s="11">
        <v>4.2547174E7</v>
      </c>
      <c r="E877" s="10">
        <v>45140.0</v>
      </c>
      <c r="F877" s="9" t="s">
        <v>69</v>
      </c>
      <c r="G877" s="13">
        <v>2.0</v>
      </c>
      <c r="H877" s="9" t="s">
        <v>106</v>
      </c>
      <c r="I877" s="9" t="s">
        <v>88</v>
      </c>
      <c r="J877" s="9" t="s">
        <v>318</v>
      </c>
      <c r="K877" s="9" t="s">
        <v>107</v>
      </c>
    </row>
    <row r="878" ht="15.75" customHeight="1">
      <c r="A878" s="10">
        <v>45139.0</v>
      </c>
      <c r="B878" s="11">
        <v>5.417493594E9</v>
      </c>
      <c r="C878" s="12" t="s">
        <v>856</v>
      </c>
      <c r="D878" s="11">
        <v>4.2547174E7</v>
      </c>
      <c r="E878" s="10">
        <v>45140.0</v>
      </c>
      <c r="F878" s="9" t="s">
        <v>69</v>
      </c>
      <c r="G878" s="13">
        <v>1.0</v>
      </c>
      <c r="H878" s="9" t="s">
        <v>106</v>
      </c>
      <c r="I878" s="9" t="s">
        <v>71</v>
      </c>
      <c r="J878" s="9" t="s">
        <v>318</v>
      </c>
      <c r="K878" s="9" t="s">
        <v>107</v>
      </c>
    </row>
    <row r="879" ht="15.75" customHeight="1">
      <c r="A879" s="10">
        <v>45139.0</v>
      </c>
      <c r="B879" s="11">
        <v>4.627964106E9</v>
      </c>
      <c r="C879" s="12" t="s">
        <v>857</v>
      </c>
      <c r="D879" s="11">
        <v>4886224.0</v>
      </c>
      <c r="E879" s="10">
        <v>45140.0</v>
      </c>
      <c r="F879" s="9" t="s">
        <v>69</v>
      </c>
      <c r="G879" s="13">
        <v>1.0</v>
      </c>
      <c r="H879" s="9" t="s">
        <v>106</v>
      </c>
      <c r="I879" s="9" t="s">
        <v>71</v>
      </c>
      <c r="J879" s="9" t="s">
        <v>318</v>
      </c>
      <c r="K879" s="9" t="s">
        <v>107</v>
      </c>
    </row>
    <row r="880" ht="15.75" customHeight="1">
      <c r="A880" s="10">
        <v>45139.0</v>
      </c>
      <c r="B880" s="11">
        <v>7.355304504E9</v>
      </c>
      <c r="C880" s="12" t="s">
        <v>858</v>
      </c>
      <c r="D880" s="11">
        <v>2.9878025E7</v>
      </c>
      <c r="E880" s="10">
        <v>45140.0</v>
      </c>
      <c r="F880" s="9" t="s">
        <v>69</v>
      </c>
      <c r="G880" s="13">
        <v>1.0</v>
      </c>
      <c r="H880" s="9" t="s">
        <v>116</v>
      </c>
      <c r="I880" s="9" t="s">
        <v>71</v>
      </c>
      <c r="J880" s="9" t="s">
        <v>318</v>
      </c>
      <c r="K880" s="9" t="s">
        <v>107</v>
      </c>
    </row>
    <row r="881" ht="15.75" customHeight="1">
      <c r="A881" s="10">
        <v>45139.0</v>
      </c>
      <c r="B881" s="11">
        <v>4.627953525E9</v>
      </c>
      <c r="C881" s="12" t="s">
        <v>859</v>
      </c>
      <c r="D881" s="11">
        <v>1.4073414E7</v>
      </c>
      <c r="E881" s="10">
        <v>45140.0</v>
      </c>
      <c r="F881" s="9" t="s">
        <v>69</v>
      </c>
      <c r="G881" s="13">
        <v>1.0</v>
      </c>
      <c r="H881" s="9" t="s">
        <v>116</v>
      </c>
      <c r="I881" s="9" t="s">
        <v>71</v>
      </c>
      <c r="J881" s="9" t="s">
        <v>318</v>
      </c>
      <c r="K881" s="9" t="s">
        <v>107</v>
      </c>
    </row>
    <row r="882" ht="15.75" customHeight="1">
      <c r="A882" s="10">
        <v>45139.0</v>
      </c>
      <c r="B882" s="11">
        <v>5.836342864E9</v>
      </c>
      <c r="C882" s="12" t="s">
        <v>859</v>
      </c>
      <c r="D882" s="11">
        <v>1.4073414E7</v>
      </c>
      <c r="E882" s="10">
        <v>45140.0</v>
      </c>
      <c r="F882" s="9" t="s">
        <v>76</v>
      </c>
      <c r="G882" s="13">
        <v>1.0</v>
      </c>
      <c r="H882" s="9" t="s">
        <v>116</v>
      </c>
      <c r="I882" s="9" t="s">
        <v>71</v>
      </c>
      <c r="J882" s="9" t="s">
        <v>318</v>
      </c>
      <c r="K882" s="9" t="s">
        <v>107</v>
      </c>
    </row>
    <row r="883" ht="15.75" customHeight="1">
      <c r="A883" s="10">
        <v>45139.0</v>
      </c>
      <c r="B883" s="11">
        <v>5.543359706E9</v>
      </c>
      <c r="C883" s="12" t="s">
        <v>860</v>
      </c>
      <c r="D883" s="11">
        <v>4.1833354E7</v>
      </c>
      <c r="E883" s="10">
        <v>45140.0</v>
      </c>
      <c r="F883" s="9" t="s">
        <v>69</v>
      </c>
      <c r="G883" s="13">
        <v>1.0</v>
      </c>
      <c r="H883" s="9" t="s">
        <v>116</v>
      </c>
      <c r="I883" s="9" t="s">
        <v>71</v>
      </c>
      <c r="J883" s="9" t="s">
        <v>318</v>
      </c>
      <c r="K883" s="9" t="s">
        <v>103</v>
      </c>
    </row>
    <row r="884" ht="15.75" customHeight="1">
      <c r="A884" s="10">
        <v>45139.0</v>
      </c>
      <c r="B884" s="11">
        <v>3.633922283E9</v>
      </c>
      <c r="C884" s="12" t="s">
        <v>861</v>
      </c>
      <c r="D884" s="11">
        <v>4.3431961E7</v>
      </c>
      <c r="E884" s="10">
        <v>45140.0</v>
      </c>
      <c r="F884" s="9" t="s">
        <v>69</v>
      </c>
      <c r="G884" s="13">
        <v>1.0</v>
      </c>
      <c r="H884" s="9" t="s">
        <v>116</v>
      </c>
      <c r="I884" s="9" t="s">
        <v>71</v>
      </c>
      <c r="J884" s="9" t="s">
        <v>318</v>
      </c>
      <c r="K884" s="9" t="s">
        <v>103</v>
      </c>
    </row>
    <row r="885" ht="15.75" customHeight="1">
      <c r="A885" s="10">
        <v>45119.0</v>
      </c>
      <c r="B885" s="11">
        <v>9.93127625E9</v>
      </c>
      <c r="C885" s="12" t="s">
        <v>862</v>
      </c>
      <c r="D885" s="11">
        <v>4.3431841E7</v>
      </c>
      <c r="E885" s="10">
        <v>45141.0</v>
      </c>
      <c r="F885" s="9" t="s">
        <v>69</v>
      </c>
      <c r="G885" s="13">
        <v>2.0</v>
      </c>
      <c r="H885" s="9" t="s">
        <v>116</v>
      </c>
      <c r="I885" s="9" t="s">
        <v>71</v>
      </c>
      <c r="J885" s="9" t="s">
        <v>83</v>
      </c>
      <c r="K885" s="9" t="s">
        <v>103</v>
      </c>
    </row>
    <row r="886" ht="15.75" customHeight="1">
      <c r="A886" s="10">
        <v>45132.0</v>
      </c>
      <c r="B886" s="11">
        <v>2.540025574E9</v>
      </c>
      <c r="C886" s="12" t="s">
        <v>863</v>
      </c>
      <c r="D886" s="11">
        <v>4.2270212E7</v>
      </c>
      <c r="E886" s="10">
        <v>45141.0</v>
      </c>
      <c r="F886" s="9" t="s">
        <v>69</v>
      </c>
      <c r="G886" s="13">
        <v>2.0</v>
      </c>
      <c r="H886" s="9" t="s">
        <v>112</v>
      </c>
      <c r="I886" s="9" t="s">
        <v>71</v>
      </c>
      <c r="J886" s="9" t="s">
        <v>83</v>
      </c>
      <c r="K886" s="9" t="s">
        <v>103</v>
      </c>
    </row>
    <row r="887" ht="15.75" customHeight="1">
      <c r="A887" s="10">
        <v>45132.0</v>
      </c>
      <c r="B887" s="11">
        <v>1.462163544E9</v>
      </c>
      <c r="C887" s="12" t="s">
        <v>864</v>
      </c>
      <c r="D887" s="11">
        <v>2.7650818E7</v>
      </c>
      <c r="E887" s="10">
        <v>45141.0</v>
      </c>
      <c r="F887" s="9" t="s">
        <v>69</v>
      </c>
      <c r="G887" s="13">
        <v>3.0</v>
      </c>
      <c r="H887" s="9" t="s">
        <v>112</v>
      </c>
      <c r="I887" s="9" t="s">
        <v>71</v>
      </c>
      <c r="J887" s="9" t="s">
        <v>83</v>
      </c>
      <c r="K887" s="9" t="s">
        <v>103</v>
      </c>
    </row>
    <row r="888" ht="15.75" customHeight="1">
      <c r="A888" s="10">
        <v>45133.0</v>
      </c>
      <c r="B888" s="11">
        <v>2.436907476E9</v>
      </c>
      <c r="C888" s="12" t="s">
        <v>864</v>
      </c>
      <c r="D888" s="11">
        <v>2.7650818E7</v>
      </c>
      <c r="E888" s="10">
        <v>45141.0</v>
      </c>
      <c r="F888" s="9" t="s">
        <v>69</v>
      </c>
      <c r="G888" s="13">
        <v>3.0</v>
      </c>
      <c r="H888" s="9" t="s">
        <v>112</v>
      </c>
      <c r="I888" s="9" t="s">
        <v>71</v>
      </c>
      <c r="J888" s="9" t="s">
        <v>83</v>
      </c>
      <c r="K888" s="9" t="s">
        <v>103</v>
      </c>
    </row>
    <row r="889" ht="15.75" customHeight="1">
      <c r="A889" s="10">
        <v>45133.0</v>
      </c>
      <c r="B889" s="11">
        <v>1.496997176E9</v>
      </c>
      <c r="C889" s="12" t="s">
        <v>865</v>
      </c>
      <c r="D889" s="11">
        <v>2.4509809E7</v>
      </c>
      <c r="E889" s="10">
        <v>45141.0</v>
      </c>
      <c r="F889" s="9" t="s">
        <v>69</v>
      </c>
      <c r="G889" s="13">
        <v>3.0</v>
      </c>
      <c r="H889" s="9" t="s">
        <v>112</v>
      </c>
      <c r="I889" s="9" t="s">
        <v>71</v>
      </c>
      <c r="J889" s="9" t="s">
        <v>83</v>
      </c>
      <c r="K889" s="9" t="s">
        <v>103</v>
      </c>
    </row>
    <row r="890" ht="15.75" customHeight="1">
      <c r="A890" s="10">
        <v>45134.0</v>
      </c>
      <c r="B890" s="11">
        <v>7.079741771E9</v>
      </c>
      <c r="C890" s="12" t="s">
        <v>864</v>
      </c>
      <c r="D890" s="11">
        <v>2.7650818E7</v>
      </c>
      <c r="E890" s="10">
        <v>45141.0</v>
      </c>
      <c r="F890" s="9" t="s">
        <v>69</v>
      </c>
      <c r="G890" s="13">
        <v>2.0</v>
      </c>
      <c r="H890" s="9" t="s">
        <v>112</v>
      </c>
      <c r="I890" s="9" t="s">
        <v>71</v>
      </c>
      <c r="J890" s="9" t="s">
        <v>83</v>
      </c>
      <c r="K890" s="9" t="s">
        <v>103</v>
      </c>
    </row>
    <row r="891" ht="15.75" customHeight="1">
      <c r="A891" s="10">
        <v>45134.0</v>
      </c>
      <c r="B891" s="11">
        <v>5.50676791E9</v>
      </c>
      <c r="C891" s="12" t="s">
        <v>866</v>
      </c>
      <c r="D891" s="11">
        <v>2.8531514E7</v>
      </c>
      <c r="E891" s="10">
        <v>45141.0</v>
      </c>
      <c r="F891" s="9" t="s">
        <v>76</v>
      </c>
      <c r="G891" s="13">
        <v>1.0</v>
      </c>
      <c r="H891" s="9" t="s">
        <v>112</v>
      </c>
      <c r="I891" s="9" t="s">
        <v>71</v>
      </c>
      <c r="J891" s="9" t="s">
        <v>83</v>
      </c>
      <c r="K891" s="9" t="s">
        <v>103</v>
      </c>
    </row>
    <row r="892" ht="15.75" customHeight="1">
      <c r="A892" s="10">
        <v>45139.0</v>
      </c>
      <c r="B892" s="11">
        <v>4.502961982E9</v>
      </c>
      <c r="C892" s="12" t="s">
        <v>867</v>
      </c>
      <c r="D892" s="11">
        <v>2.5212989E7</v>
      </c>
      <c r="E892" s="10">
        <v>45141.0</v>
      </c>
      <c r="F892" s="9" t="s">
        <v>69</v>
      </c>
      <c r="G892" s="13">
        <v>2.0</v>
      </c>
      <c r="H892" s="9" t="s">
        <v>70</v>
      </c>
      <c r="I892" s="9" t="s">
        <v>71</v>
      </c>
      <c r="J892" s="9" t="s">
        <v>83</v>
      </c>
      <c r="K892" s="9" t="s">
        <v>103</v>
      </c>
    </row>
    <row r="893" ht="15.75" customHeight="1">
      <c r="A893" s="10">
        <v>45139.0</v>
      </c>
      <c r="B893" s="11">
        <v>1.384084656E9</v>
      </c>
      <c r="C893" s="12" t="s">
        <v>868</v>
      </c>
      <c r="D893" s="11">
        <v>3.498113E7</v>
      </c>
      <c r="E893" s="10">
        <v>45141.0</v>
      </c>
      <c r="F893" s="9" t="s">
        <v>69</v>
      </c>
      <c r="G893" s="13">
        <v>2.0</v>
      </c>
      <c r="H893" s="9" t="s">
        <v>70</v>
      </c>
      <c r="I893" s="9" t="s">
        <v>77</v>
      </c>
      <c r="J893" s="9" t="s">
        <v>83</v>
      </c>
      <c r="K893" s="9" t="s">
        <v>73</v>
      </c>
    </row>
    <row r="894" ht="15.75" customHeight="1">
      <c r="A894" s="10">
        <v>45139.0</v>
      </c>
      <c r="B894" s="11">
        <v>3.123819591E9</v>
      </c>
      <c r="C894" s="12" t="s">
        <v>869</v>
      </c>
      <c r="D894" s="11">
        <v>2.7016163E7</v>
      </c>
      <c r="E894" s="10">
        <v>45141.0</v>
      </c>
      <c r="F894" s="9" t="s">
        <v>69</v>
      </c>
      <c r="G894" s="13">
        <v>2.0</v>
      </c>
      <c r="H894" s="9" t="s">
        <v>70</v>
      </c>
      <c r="I894" s="9" t="s">
        <v>77</v>
      </c>
      <c r="J894" s="9" t="s">
        <v>83</v>
      </c>
      <c r="K894" s="9" t="s">
        <v>73</v>
      </c>
    </row>
    <row r="895" ht="15.75" customHeight="1">
      <c r="A895" s="10">
        <v>45139.0</v>
      </c>
      <c r="B895" s="11">
        <v>5.250104635E9</v>
      </c>
      <c r="C895" s="12" t="s">
        <v>869</v>
      </c>
      <c r="D895" s="11">
        <v>2.7016163E7</v>
      </c>
      <c r="E895" s="10">
        <v>45141.0</v>
      </c>
      <c r="F895" s="9" t="s">
        <v>69</v>
      </c>
      <c r="G895" s="13">
        <v>2.0</v>
      </c>
      <c r="H895" s="9" t="s">
        <v>70</v>
      </c>
      <c r="I895" s="9" t="s">
        <v>77</v>
      </c>
      <c r="J895" s="9" t="s">
        <v>83</v>
      </c>
      <c r="K895" s="9" t="s">
        <v>73</v>
      </c>
    </row>
    <row r="896" ht="15.75" customHeight="1">
      <c r="A896" s="10">
        <v>45139.0</v>
      </c>
      <c r="B896" s="11">
        <v>3.421355011E9</v>
      </c>
      <c r="C896" s="12" t="s">
        <v>865</v>
      </c>
      <c r="D896" s="11">
        <v>2.4509809E7</v>
      </c>
      <c r="E896" s="10">
        <v>45141.0</v>
      </c>
      <c r="F896" s="9" t="s">
        <v>69</v>
      </c>
      <c r="G896" s="13">
        <v>1.0</v>
      </c>
      <c r="H896" s="9" t="s">
        <v>70</v>
      </c>
      <c r="I896" s="9" t="s">
        <v>77</v>
      </c>
      <c r="J896" s="9" t="s">
        <v>98</v>
      </c>
      <c r="K896" s="9" t="s">
        <v>73</v>
      </c>
    </row>
    <row r="897" ht="15.75" customHeight="1">
      <c r="A897" s="10">
        <v>45139.0</v>
      </c>
      <c r="B897" s="11">
        <v>6.572606913E9</v>
      </c>
      <c r="C897" s="12" t="s">
        <v>870</v>
      </c>
      <c r="D897" s="11">
        <v>3.7457372E7</v>
      </c>
      <c r="E897" s="10">
        <v>45141.0</v>
      </c>
      <c r="F897" s="9" t="s">
        <v>69</v>
      </c>
      <c r="G897" s="13">
        <v>1.0</v>
      </c>
      <c r="H897" s="9" t="s">
        <v>70</v>
      </c>
      <c r="I897" s="9" t="s">
        <v>77</v>
      </c>
      <c r="J897" s="9" t="s">
        <v>98</v>
      </c>
      <c r="K897" s="9" t="s">
        <v>73</v>
      </c>
    </row>
    <row r="898" ht="15.75" customHeight="1">
      <c r="A898" s="10">
        <v>45139.0</v>
      </c>
      <c r="B898" s="11">
        <v>5.249991865E9</v>
      </c>
      <c r="C898" s="12" t="s">
        <v>871</v>
      </c>
      <c r="D898" s="11">
        <v>3.8184294E7</v>
      </c>
      <c r="E898" s="10">
        <v>45141.0</v>
      </c>
      <c r="F898" s="9" t="s">
        <v>69</v>
      </c>
      <c r="G898" s="13">
        <v>2.0</v>
      </c>
      <c r="H898" s="9" t="s">
        <v>70</v>
      </c>
      <c r="I898" s="9" t="s">
        <v>77</v>
      </c>
      <c r="J898" s="9" t="s">
        <v>98</v>
      </c>
      <c r="K898" s="9" t="s">
        <v>73</v>
      </c>
    </row>
    <row r="899" ht="15.75" customHeight="1">
      <c r="A899" s="10">
        <v>45140.0</v>
      </c>
      <c r="B899" s="11">
        <v>5.971892721E9</v>
      </c>
      <c r="C899" s="12" t="s">
        <v>872</v>
      </c>
      <c r="D899" s="11">
        <v>8036865.0</v>
      </c>
      <c r="E899" s="10">
        <v>45141.0</v>
      </c>
      <c r="F899" s="9" t="s">
        <v>69</v>
      </c>
      <c r="G899" s="13">
        <v>2.0</v>
      </c>
      <c r="H899" s="9" t="s">
        <v>70</v>
      </c>
      <c r="I899" s="9" t="s">
        <v>77</v>
      </c>
      <c r="J899" s="9" t="s">
        <v>98</v>
      </c>
      <c r="K899" s="9" t="s">
        <v>73</v>
      </c>
    </row>
    <row r="900" ht="15.75" customHeight="1">
      <c r="A900" s="10">
        <v>45128.0</v>
      </c>
      <c r="B900" s="11">
        <v>6.485397074E9</v>
      </c>
      <c r="C900" s="12" t="s">
        <v>873</v>
      </c>
      <c r="D900" s="11">
        <v>3.3628449E7</v>
      </c>
      <c r="E900" s="10">
        <v>45142.0</v>
      </c>
      <c r="F900" s="9" t="s">
        <v>69</v>
      </c>
      <c r="G900" s="13">
        <v>1.0</v>
      </c>
      <c r="H900" s="9" t="s">
        <v>70</v>
      </c>
      <c r="I900" s="9" t="s">
        <v>77</v>
      </c>
      <c r="J900" s="9" t="s">
        <v>98</v>
      </c>
      <c r="K900" s="9" t="s">
        <v>73</v>
      </c>
    </row>
    <row r="901" ht="15.75" customHeight="1">
      <c r="A901" s="10">
        <v>45135.0</v>
      </c>
      <c r="B901" s="11">
        <v>3.100334436E9</v>
      </c>
      <c r="C901" s="12" t="s">
        <v>874</v>
      </c>
      <c r="D901" s="11">
        <v>2.1028706E7</v>
      </c>
      <c r="E901" s="10">
        <v>45142.0</v>
      </c>
      <c r="F901" s="9" t="s">
        <v>69</v>
      </c>
      <c r="G901" s="13">
        <v>1.0</v>
      </c>
      <c r="H901" s="9" t="s">
        <v>70</v>
      </c>
      <c r="I901" s="9" t="s">
        <v>77</v>
      </c>
      <c r="J901" s="9" t="s">
        <v>98</v>
      </c>
      <c r="K901" s="9" t="s">
        <v>90</v>
      </c>
    </row>
    <row r="902" ht="15.75" customHeight="1">
      <c r="A902" s="10">
        <v>45139.0</v>
      </c>
      <c r="B902" s="11">
        <v>4.502959565E9</v>
      </c>
      <c r="C902" s="12" t="s">
        <v>875</v>
      </c>
      <c r="D902" s="11">
        <v>3.7656254E7</v>
      </c>
      <c r="E902" s="10">
        <v>45142.0</v>
      </c>
      <c r="F902" s="9" t="s">
        <v>69</v>
      </c>
      <c r="G902" s="13">
        <v>1.0</v>
      </c>
      <c r="H902" s="9" t="s">
        <v>70</v>
      </c>
      <c r="I902" s="9" t="s">
        <v>77</v>
      </c>
      <c r="J902" s="9" t="s">
        <v>98</v>
      </c>
      <c r="K902" s="9" t="s">
        <v>90</v>
      </c>
    </row>
    <row r="903" ht="15.75" customHeight="1">
      <c r="A903" s="10">
        <v>45139.0</v>
      </c>
      <c r="B903" s="11">
        <v>5.417435446E9</v>
      </c>
      <c r="C903" s="12" t="s">
        <v>876</v>
      </c>
      <c r="D903" s="11">
        <v>2.6805954E7</v>
      </c>
      <c r="E903" s="10">
        <v>45142.0</v>
      </c>
      <c r="F903" s="9" t="s">
        <v>69</v>
      </c>
      <c r="G903" s="13">
        <v>1.0</v>
      </c>
      <c r="H903" s="9" t="s">
        <v>70</v>
      </c>
      <c r="I903" s="9" t="s">
        <v>77</v>
      </c>
      <c r="J903" s="9" t="s">
        <v>98</v>
      </c>
      <c r="K903" s="9" t="s">
        <v>90</v>
      </c>
    </row>
    <row r="904" ht="15.75" customHeight="1">
      <c r="A904" s="10">
        <v>45139.0</v>
      </c>
      <c r="B904" s="11">
        <v>3.45194661E9</v>
      </c>
      <c r="C904" s="12" t="s">
        <v>877</v>
      </c>
      <c r="D904" s="11">
        <v>2.440932E7</v>
      </c>
      <c r="E904" s="10">
        <v>45142.0</v>
      </c>
      <c r="F904" s="9" t="s">
        <v>69</v>
      </c>
      <c r="G904" s="13">
        <v>2.0</v>
      </c>
      <c r="H904" s="9" t="s">
        <v>70</v>
      </c>
      <c r="I904" s="9" t="s">
        <v>77</v>
      </c>
      <c r="J904" s="9" t="s">
        <v>98</v>
      </c>
      <c r="K904" s="9" t="s">
        <v>90</v>
      </c>
    </row>
    <row r="905" ht="15.75" customHeight="1">
      <c r="A905" s="10">
        <v>45142.0</v>
      </c>
      <c r="B905" s="11">
        <v>4.158995153E9</v>
      </c>
      <c r="C905" s="12" t="s">
        <v>878</v>
      </c>
      <c r="D905" s="11">
        <v>3.3139841E7</v>
      </c>
      <c r="E905" s="10">
        <v>45142.0</v>
      </c>
      <c r="F905" s="9" t="s">
        <v>69</v>
      </c>
      <c r="G905" s="13">
        <v>2.0</v>
      </c>
      <c r="H905" s="9" t="s">
        <v>106</v>
      </c>
      <c r="I905" s="9" t="s">
        <v>77</v>
      </c>
      <c r="J905" s="9" t="s">
        <v>79</v>
      </c>
      <c r="K905" s="9" t="s">
        <v>90</v>
      </c>
    </row>
    <row r="906" ht="15.75" customHeight="1">
      <c r="A906" s="10">
        <v>45142.0</v>
      </c>
      <c r="B906" s="11">
        <v>4.897015056E9</v>
      </c>
      <c r="C906" s="12" t="s">
        <v>879</v>
      </c>
      <c r="D906" s="11">
        <v>4.3289877E7</v>
      </c>
      <c r="E906" s="10">
        <v>45142.0</v>
      </c>
      <c r="F906" s="9" t="s">
        <v>69</v>
      </c>
      <c r="G906" s="13">
        <v>3.0</v>
      </c>
      <c r="H906" s="9" t="s">
        <v>106</v>
      </c>
      <c r="I906" s="9" t="s">
        <v>77</v>
      </c>
      <c r="J906" s="9" t="s">
        <v>79</v>
      </c>
      <c r="K906" s="9" t="s">
        <v>90</v>
      </c>
    </row>
    <row r="907" ht="15.75" customHeight="1">
      <c r="A907" s="10">
        <v>45119.0</v>
      </c>
      <c r="B907" s="11">
        <v>3.486545694E9</v>
      </c>
      <c r="C907" s="12" t="s">
        <v>880</v>
      </c>
      <c r="D907" s="11">
        <v>3.3628004E8</v>
      </c>
      <c r="E907" s="10">
        <v>45145.0</v>
      </c>
      <c r="F907" s="9" t="s">
        <v>76</v>
      </c>
      <c r="G907" s="13">
        <v>1.0</v>
      </c>
      <c r="H907" s="9" t="s">
        <v>106</v>
      </c>
      <c r="I907" s="9" t="s">
        <v>77</v>
      </c>
      <c r="J907" s="9" t="s">
        <v>79</v>
      </c>
      <c r="K907" s="9" t="s">
        <v>90</v>
      </c>
    </row>
    <row r="908" ht="15.75" customHeight="1">
      <c r="A908" s="10">
        <v>45128.0</v>
      </c>
      <c r="B908" s="11">
        <v>3.464801255E9</v>
      </c>
      <c r="C908" s="12" t="s">
        <v>881</v>
      </c>
      <c r="D908" s="11">
        <v>2.1328335E7</v>
      </c>
      <c r="E908" s="10">
        <v>45145.0</v>
      </c>
      <c r="F908" s="9" t="s">
        <v>76</v>
      </c>
      <c r="G908" s="13">
        <v>1.0</v>
      </c>
      <c r="H908" s="9" t="s">
        <v>106</v>
      </c>
      <c r="I908" s="9" t="s">
        <v>77</v>
      </c>
      <c r="J908" s="9" t="s">
        <v>79</v>
      </c>
      <c r="K908" s="9" t="s">
        <v>90</v>
      </c>
    </row>
    <row r="909" ht="15.75" customHeight="1">
      <c r="A909" s="10">
        <v>45132.0</v>
      </c>
      <c r="B909" s="11">
        <v>4.214122452E9</v>
      </c>
      <c r="C909" s="12" t="s">
        <v>882</v>
      </c>
      <c r="D909" s="11">
        <v>3.3815057E7</v>
      </c>
      <c r="E909" s="10">
        <v>45145.0</v>
      </c>
      <c r="F909" s="9" t="s">
        <v>76</v>
      </c>
      <c r="G909" s="13">
        <v>3.0</v>
      </c>
      <c r="H909" s="9" t="s">
        <v>106</v>
      </c>
      <c r="I909" s="9" t="s">
        <v>77</v>
      </c>
      <c r="J909" s="9" t="s">
        <v>79</v>
      </c>
      <c r="K909" s="9" t="s">
        <v>90</v>
      </c>
    </row>
    <row r="910" ht="15.75" customHeight="1">
      <c r="A910" s="10">
        <v>45135.0</v>
      </c>
      <c r="B910" s="11">
        <v>2.317478365E9</v>
      </c>
      <c r="C910" s="12" t="s">
        <v>883</v>
      </c>
      <c r="D910" s="11">
        <v>2.5543843E7</v>
      </c>
      <c r="E910" s="10">
        <v>45145.0</v>
      </c>
      <c r="F910" s="9" t="s">
        <v>76</v>
      </c>
      <c r="G910" s="13">
        <v>2.0</v>
      </c>
      <c r="H910" s="9" t="s">
        <v>112</v>
      </c>
      <c r="I910" s="9" t="s">
        <v>88</v>
      </c>
      <c r="J910" s="9" t="s">
        <v>79</v>
      </c>
      <c r="K910" s="9" t="s">
        <v>90</v>
      </c>
    </row>
    <row r="911" ht="15.75" customHeight="1">
      <c r="A911" s="10">
        <v>45135.0</v>
      </c>
      <c r="B911" s="11">
        <v>2.190676946E9</v>
      </c>
      <c r="C911" s="12" t="s">
        <v>884</v>
      </c>
      <c r="D911" s="11">
        <v>2.2429501E7</v>
      </c>
      <c r="E911" s="10">
        <v>45145.0</v>
      </c>
      <c r="F911" s="9" t="s">
        <v>76</v>
      </c>
      <c r="G911" s="13">
        <v>2.0</v>
      </c>
      <c r="H911" s="9" t="s">
        <v>112</v>
      </c>
      <c r="I911" s="9" t="s">
        <v>88</v>
      </c>
      <c r="J911" s="9" t="s">
        <v>79</v>
      </c>
      <c r="K911" s="9" t="s">
        <v>90</v>
      </c>
    </row>
    <row r="912" ht="15.75" customHeight="1">
      <c r="A912" s="10">
        <v>45139.0</v>
      </c>
      <c r="B912" s="11">
        <v>9.987917833E9</v>
      </c>
      <c r="C912" s="12" t="s">
        <v>885</v>
      </c>
      <c r="D912" s="11">
        <v>2.6408519E7</v>
      </c>
      <c r="E912" s="10">
        <v>45145.0</v>
      </c>
      <c r="F912" s="9" t="s">
        <v>76</v>
      </c>
      <c r="G912" s="13">
        <v>1.0</v>
      </c>
      <c r="H912" s="9" t="s">
        <v>112</v>
      </c>
      <c r="I912" s="9" t="s">
        <v>88</v>
      </c>
      <c r="J912" s="9" t="s">
        <v>79</v>
      </c>
      <c r="K912" s="9" t="s">
        <v>90</v>
      </c>
    </row>
    <row r="913" ht="15.75" customHeight="1">
      <c r="A913" s="10">
        <v>45140.0</v>
      </c>
      <c r="B913" s="11">
        <v>7.055170323E9</v>
      </c>
      <c r="C913" s="12" t="s">
        <v>886</v>
      </c>
      <c r="D913" s="11">
        <v>2.1745624E7</v>
      </c>
      <c r="E913" s="10">
        <v>45145.0</v>
      </c>
      <c r="F913" s="9" t="s">
        <v>76</v>
      </c>
      <c r="G913" s="13">
        <v>2.0</v>
      </c>
      <c r="H913" s="9" t="s">
        <v>112</v>
      </c>
      <c r="I913" s="9" t="s">
        <v>88</v>
      </c>
      <c r="J913" s="9" t="s">
        <v>79</v>
      </c>
      <c r="K913" s="9" t="s">
        <v>217</v>
      </c>
    </row>
    <row r="914" ht="15.75" customHeight="1">
      <c r="A914" s="10">
        <v>45142.0</v>
      </c>
      <c r="B914" s="11">
        <v>6.326903811E9</v>
      </c>
      <c r="C914" s="12" t="s">
        <v>887</v>
      </c>
      <c r="D914" s="11">
        <v>2.3015576E7</v>
      </c>
      <c r="E914" s="10">
        <v>45145.0</v>
      </c>
      <c r="F914" s="9" t="s">
        <v>76</v>
      </c>
      <c r="G914" s="13">
        <v>1.0</v>
      </c>
      <c r="H914" s="9" t="s">
        <v>106</v>
      </c>
      <c r="I914" s="9" t="s">
        <v>88</v>
      </c>
      <c r="J914" s="9" t="s">
        <v>79</v>
      </c>
      <c r="K914" s="9" t="s">
        <v>217</v>
      </c>
    </row>
    <row r="915" ht="15.75" customHeight="1">
      <c r="A915" s="10">
        <v>45142.0</v>
      </c>
      <c r="B915" s="11">
        <v>6.304181343E9</v>
      </c>
      <c r="C915" s="12" t="s">
        <v>888</v>
      </c>
      <c r="D915" s="11">
        <v>2.9877933E7</v>
      </c>
      <c r="E915" s="10">
        <v>45145.0</v>
      </c>
      <c r="F915" s="9" t="s">
        <v>76</v>
      </c>
      <c r="G915" s="13">
        <v>1.0</v>
      </c>
      <c r="H915" s="9" t="s">
        <v>106</v>
      </c>
      <c r="I915" s="9" t="s">
        <v>88</v>
      </c>
      <c r="J915" s="9" t="s">
        <v>79</v>
      </c>
      <c r="K915" s="9" t="s">
        <v>217</v>
      </c>
    </row>
    <row r="916" ht="15.75" customHeight="1">
      <c r="A916" s="10">
        <v>45142.0</v>
      </c>
      <c r="B916" s="11">
        <v>9.761146743E9</v>
      </c>
      <c r="C916" s="12" t="s">
        <v>889</v>
      </c>
      <c r="D916" s="11">
        <v>4955609.0</v>
      </c>
      <c r="E916" s="10">
        <v>45145.0</v>
      </c>
      <c r="F916" s="9" t="s">
        <v>76</v>
      </c>
      <c r="G916" s="13">
        <v>6.0</v>
      </c>
      <c r="H916" s="9" t="s">
        <v>106</v>
      </c>
      <c r="I916" s="9" t="s">
        <v>88</v>
      </c>
      <c r="J916" s="9" t="s">
        <v>79</v>
      </c>
      <c r="K916" s="9" t="s">
        <v>217</v>
      </c>
    </row>
    <row r="917" ht="15.75" customHeight="1">
      <c r="A917" s="10">
        <v>45142.0</v>
      </c>
      <c r="B917" s="11">
        <v>1.018463143E9</v>
      </c>
      <c r="C917" s="12" t="s">
        <v>890</v>
      </c>
      <c r="D917" s="11">
        <v>3.3756947E7</v>
      </c>
      <c r="E917" s="10">
        <v>45145.0</v>
      </c>
      <c r="F917" s="9" t="s">
        <v>76</v>
      </c>
      <c r="G917" s="13">
        <v>7.0</v>
      </c>
      <c r="H917" s="9" t="s">
        <v>106</v>
      </c>
      <c r="I917" s="9" t="s">
        <v>88</v>
      </c>
      <c r="J917" s="9" t="s">
        <v>79</v>
      </c>
      <c r="K917" s="9" t="s">
        <v>217</v>
      </c>
    </row>
    <row r="918" ht="15.75" customHeight="1">
      <c r="A918" s="10">
        <v>45134.0</v>
      </c>
      <c r="B918" s="11">
        <v>5.506743513E9</v>
      </c>
      <c r="C918" s="12" t="s">
        <v>891</v>
      </c>
      <c r="D918" s="11">
        <v>2.1744844E7</v>
      </c>
      <c r="E918" s="10">
        <v>45146.0</v>
      </c>
      <c r="F918" s="9" t="s">
        <v>76</v>
      </c>
      <c r="G918" s="13">
        <v>8.0</v>
      </c>
      <c r="H918" s="9" t="s">
        <v>81</v>
      </c>
      <c r="I918" s="9" t="s">
        <v>88</v>
      </c>
      <c r="J918" s="9" t="s">
        <v>79</v>
      </c>
      <c r="K918" s="9" t="s">
        <v>84</v>
      </c>
    </row>
    <row r="919" ht="15.75" customHeight="1">
      <c r="A919" s="10">
        <v>45140.0</v>
      </c>
      <c r="B919" s="11">
        <v>3.218014236E9</v>
      </c>
      <c r="C919" s="12" t="s">
        <v>892</v>
      </c>
      <c r="D919" s="11">
        <v>5779284.0</v>
      </c>
      <c r="E919" s="10">
        <v>45146.0</v>
      </c>
      <c r="F919" s="9" t="s">
        <v>76</v>
      </c>
      <c r="G919" s="13">
        <v>4.0</v>
      </c>
      <c r="H919" s="9" t="s">
        <v>81</v>
      </c>
      <c r="I919" s="9" t="s">
        <v>88</v>
      </c>
      <c r="J919" s="9" t="s">
        <v>79</v>
      </c>
      <c r="K919" s="9" t="s">
        <v>84</v>
      </c>
    </row>
    <row r="920" ht="15.75" customHeight="1">
      <c r="A920" s="10">
        <v>45140.0</v>
      </c>
      <c r="B920" s="11">
        <v>1.386276986E9</v>
      </c>
      <c r="C920" s="12" t="s">
        <v>859</v>
      </c>
      <c r="D920" s="11">
        <v>1.4073414E7</v>
      </c>
      <c r="E920" s="10">
        <v>45146.0</v>
      </c>
      <c r="F920" s="9" t="s">
        <v>69</v>
      </c>
      <c r="G920" s="13">
        <v>1.0</v>
      </c>
      <c r="H920" s="9" t="s">
        <v>81</v>
      </c>
      <c r="I920" s="9" t="s">
        <v>88</v>
      </c>
      <c r="J920" s="9" t="s">
        <v>93</v>
      </c>
      <c r="K920" s="9" t="s">
        <v>84</v>
      </c>
    </row>
    <row r="921" ht="15.75" customHeight="1">
      <c r="A921" s="10">
        <v>45142.0</v>
      </c>
      <c r="B921" s="11">
        <v>1.66685393E9</v>
      </c>
      <c r="C921" s="12" t="s">
        <v>893</v>
      </c>
      <c r="D921" s="11">
        <v>3.0268121E7</v>
      </c>
      <c r="E921" s="10">
        <v>45146.0</v>
      </c>
      <c r="F921" s="9" t="s">
        <v>69</v>
      </c>
      <c r="G921" s="13">
        <v>2.0</v>
      </c>
      <c r="H921" s="9" t="s">
        <v>81</v>
      </c>
      <c r="I921" s="9" t="s">
        <v>71</v>
      </c>
      <c r="J921" s="9" t="s">
        <v>93</v>
      </c>
      <c r="K921" s="9" t="s">
        <v>84</v>
      </c>
    </row>
    <row r="922" ht="15.75" customHeight="1">
      <c r="A922" s="10">
        <v>45142.0</v>
      </c>
      <c r="B922" s="11">
        <v>6.326904205E9</v>
      </c>
      <c r="C922" s="12" t="s">
        <v>397</v>
      </c>
      <c r="D922" s="11">
        <v>3.170603E7</v>
      </c>
      <c r="E922" s="10">
        <v>45146.0</v>
      </c>
      <c r="F922" s="9" t="s">
        <v>69</v>
      </c>
      <c r="G922" s="13">
        <v>3.0</v>
      </c>
      <c r="H922" s="9" t="s">
        <v>81</v>
      </c>
      <c r="I922" s="9" t="s">
        <v>71</v>
      </c>
      <c r="J922" s="9" t="s">
        <v>93</v>
      </c>
      <c r="K922" s="9" t="s">
        <v>84</v>
      </c>
    </row>
    <row r="923" ht="15.75" customHeight="1">
      <c r="A923" s="10">
        <v>45142.0</v>
      </c>
      <c r="B923" s="11">
        <v>3.612086822E9</v>
      </c>
      <c r="C923" s="12" t="s">
        <v>397</v>
      </c>
      <c r="D923" s="11">
        <v>3.170603E7</v>
      </c>
      <c r="E923" s="10">
        <v>45146.0</v>
      </c>
      <c r="F923" s="9" t="s">
        <v>69</v>
      </c>
      <c r="G923" s="13">
        <v>5.0</v>
      </c>
      <c r="H923" s="9" t="s">
        <v>92</v>
      </c>
      <c r="I923" s="9" t="s">
        <v>71</v>
      </c>
      <c r="J923" s="9" t="s">
        <v>93</v>
      </c>
      <c r="K923" s="9" t="s">
        <v>84</v>
      </c>
    </row>
    <row r="924" ht="15.75" customHeight="1">
      <c r="A924" s="10">
        <v>45142.0</v>
      </c>
      <c r="B924" s="11">
        <v>1.40725767E9</v>
      </c>
      <c r="C924" s="12" t="s">
        <v>397</v>
      </c>
      <c r="D924" s="11">
        <v>3.170603E7</v>
      </c>
      <c r="E924" s="10">
        <v>45146.0</v>
      </c>
      <c r="F924" s="9" t="s">
        <v>69</v>
      </c>
      <c r="G924" s="13">
        <v>1.0</v>
      </c>
      <c r="H924" s="9" t="s">
        <v>92</v>
      </c>
      <c r="I924" s="9" t="s">
        <v>71</v>
      </c>
      <c r="J924" s="9" t="s">
        <v>93</v>
      </c>
      <c r="K924" s="9" t="s">
        <v>84</v>
      </c>
    </row>
    <row r="925" ht="15.75" customHeight="1">
      <c r="A925" s="10">
        <v>45142.0</v>
      </c>
      <c r="B925" s="11">
        <v>1.666834304E9</v>
      </c>
      <c r="C925" s="12" t="s">
        <v>894</v>
      </c>
      <c r="D925" s="11">
        <v>3.8472257E7</v>
      </c>
      <c r="E925" s="10">
        <v>45146.0</v>
      </c>
      <c r="F925" s="9" t="s">
        <v>69</v>
      </c>
      <c r="G925" s="13">
        <v>6.0</v>
      </c>
      <c r="H925" s="9" t="s">
        <v>92</v>
      </c>
      <c r="I925" s="9" t="s">
        <v>71</v>
      </c>
      <c r="J925" s="9" t="s">
        <v>93</v>
      </c>
      <c r="K925" s="9" t="s">
        <v>84</v>
      </c>
    </row>
    <row r="926" ht="15.75" customHeight="1">
      <c r="A926" s="10">
        <v>45146.0</v>
      </c>
      <c r="B926" s="11">
        <v>3.848345244E9</v>
      </c>
      <c r="C926" s="12" t="s">
        <v>895</v>
      </c>
      <c r="D926" s="11">
        <v>2.0977212E7</v>
      </c>
      <c r="E926" s="10">
        <v>45146.0</v>
      </c>
      <c r="F926" s="9" t="s">
        <v>69</v>
      </c>
      <c r="G926" s="13">
        <v>7.0</v>
      </c>
      <c r="H926" s="9" t="s">
        <v>92</v>
      </c>
      <c r="I926" s="9" t="s">
        <v>71</v>
      </c>
      <c r="J926" s="9" t="s">
        <v>93</v>
      </c>
      <c r="K926" s="9" t="s">
        <v>84</v>
      </c>
    </row>
    <row r="927" ht="15.75" customHeight="1">
      <c r="A927" s="10">
        <v>45146.0</v>
      </c>
      <c r="B927" s="11">
        <v>3.12202359E9</v>
      </c>
      <c r="C927" s="12" t="s">
        <v>896</v>
      </c>
      <c r="D927" s="11">
        <v>4.4186823E7</v>
      </c>
      <c r="E927" s="10">
        <v>45146.0</v>
      </c>
      <c r="F927" s="9" t="s">
        <v>69</v>
      </c>
      <c r="G927" s="13">
        <v>8.0</v>
      </c>
      <c r="H927" s="9" t="s">
        <v>92</v>
      </c>
      <c r="I927" s="9" t="s">
        <v>71</v>
      </c>
      <c r="J927" s="9" t="s">
        <v>93</v>
      </c>
      <c r="K927" s="9" t="s">
        <v>84</v>
      </c>
    </row>
    <row r="928" ht="15.75" customHeight="1">
      <c r="A928" s="10">
        <v>45146.0</v>
      </c>
      <c r="B928" s="11">
        <v>1.777217934E9</v>
      </c>
      <c r="C928" s="12" t="s">
        <v>897</v>
      </c>
      <c r="D928" s="11">
        <v>3.8184582E7</v>
      </c>
      <c r="E928" s="10">
        <v>45146.0</v>
      </c>
      <c r="F928" s="9" t="s">
        <v>76</v>
      </c>
      <c r="G928" s="13">
        <v>8.0</v>
      </c>
      <c r="H928" s="9" t="s">
        <v>92</v>
      </c>
      <c r="I928" s="9" t="s">
        <v>71</v>
      </c>
      <c r="J928" s="9" t="s">
        <v>93</v>
      </c>
      <c r="K928" s="9" t="s">
        <v>84</v>
      </c>
    </row>
    <row r="929" ht="15.75" customHeight="1">
      <c r="A929" s="10">
        <v>45125.0</v>
      </c>
      <c r="B929" s="11">
        <v>1.341141524E9</v>
      </c>
      <c r="C929" s="12" t="s">
        <v>898</v>
      </c>
      <c r="D929" s="11">
        <v>2.4059858E7</v>
      </c>
      <c r="E929" s="10">
        <v>45147.0</v>
      </c>
      <c r="F929" s="9" t="s">
        <v>69</v>
      </c>
      <c r="G929" s="13">
        <v>1.0</v>
      </c>
      <c r="H929" s="9" t="s">
        <v>92</v>
      </c>
      <c r="I929" s="9" t="s">
        <v>71</v>
      </c>
      <c r="J929" s="9" t="s">
        <v>93</v>
      </c>
      <c r="K929" s="9" t="s">
        <v>73</v>
      </c>
    </row>
    <row r="930" ht="15.75" customHeight="1">
      <c r="A930" s="10">
        <v>45125.0</v>
      </c>
      <c r="B930" s="11">
        <v>6.274058276E9</v>
      </c>
      <c r="C930" s="12" t="s">
        <v>898</v>
      </c>
      <c r="D930" s="11">
        <v>2.4059858E7</v>
      </c>
      <c r="E930" s="10">
        <v>45147.0</v>
      </c>
      <c r="F930" s="9" t="s">
        <v>76</v>
      </c>
      <c r="G930" s="13">
        <v>7.0</v>
      </c>
      <c r="H930" s="9" t="s">
        <v>92</v>
      </c>
      <c r="I930" s="9" t="s">
        <v>71</v>
      </c>
      <c r="J930" s="9" t="s">
        <v>98</v>
      </c>
      <c r="K930" s="9" t="s">
        <v>73</v>
      </c>
    </row>
    <row r="931" ht="15.75" customHeight="1">
      <c r="A931" s="10">
        <v>45125.0</v>
      </c>
      <c r="B931" s="11">
        <v>1.529757386E9</v>
      </c>
      <c r="C931" s="12" t="s">
        <v>899</v>
      </c>
      <c r="D931" s="11">
        <v>2.0206122E7</v>
      </c>
      <c r="E931" s="10">
        <v>45147.0</v>
      </c>
      <c r="F931" s="9" t="s">
        <v>76</v>
      </c>
      <c r="G931" s="13">
        <v>1.0</v>
      </c>
      <c r="H931" s="9" t="s">
        <v>70</v>
      </c>
      <c r="I931" s="9" t="s">
        <v>71</v>
      </c>
      <c r="J931" s="9" t="s">
        <v>98</v>
      </c>
      <c r="K931" s="9" t="s">
        <v>73</v>
      </c>
    </row>
    <row r="932" ht="15.75" customHeight="1">
      <c r="A932" s="10">
        <v>45135.0</v>
      </c>
      <c r="B932" s="11">
        <v>9.612711312E9</v>
      </c>
      <c r="C932" s="12" t="s">
        <v>900</v>
      </c>
      <c r="D932" s="11">
        <v>2.836753E7</v>
      </c>
      <c r="E932" s="10">
        <v>45147.0</v>
      </c>
      <c r="F932" s="9" t="s">
        <v>76</v>
      </c>
      <c r="G932" s="13">
        <v>2.0</v>
      </c>
      <c r="H932" s="9" t="s">
        <v>70</v>
      </c>
      <c r="I932" s="9" t="s">
        <v>77</v>
      </c>
      <c r="J932" s="9" t="s">
        <v>98</v>
      </c>
      <c r="K932" s="9" t="s">
        <v>73</v>
      </c>
    </row>
    <row r="933" ht="15.75" customHeight="1">
      <c r="A933" s="10">
        <v>45139.0</v>
      </c>
      <c r="B933" s="11">
        <v>3.633925551E9</v>
      </c>
      <c r="C933" s="12" t="s">
        <v>901</v>
      </c>
      <c r="D933" s="11">
        <v>4.1817295E7</v>
      </c>
      <c r="E933" s="10">
        <v>45147.0</v>
      </c>
      <c r="F933" s="9" t="s">
        <v>76</v>
      </c>
      <c r="G933" s="13">
        <v>1.0</v>
      </c>
      <c r="H933" s="9" t="s">
        <v>70</v>
      </c>
      <c r="I933" s="9" t="s">
        <v>77</v>
      </c>
      <c r="J933" s="9" t="s">
        <v>98</v>
      </c>
      <c r="K933" s="9" t="s">
        <v>73</v>
      </c>
    </row>
    <row r="934" ht="15.75" customHeight="1">
      <c r="A934" s="10">
        <v>45140.0</v>
      </c>
      <c r="B934" s="11">
        <v>1.43684772E9</v>
      </c>
      <c r="C934" s="12" t="s">
        <v>902</v>
      </c>
      <c r="D934" s="11">
        <v>2.999734E7</v>
      </c>
      <c r="E934" s="10">
        <v>45147.0</v>
      </c>
      <c r="F934" s="9" t="s">
        <v>69</v>
      </c>
      <c r="G934" s="13">
        <v>2.0</v>
      </c>
      <c r="H934" s="9" t="s">
        <v>70</v>
      </c>
      <c r="I934" s="9" t="s">
        <v>77</v>
      </c>
      <c r="J934" s="9" t="s">
        <v>98</v>
      </c>
      <c r="K934" s="9" t="s">
        <v>73</v>
      </c>
    </row>
    <row r="935" ht="15.75" customHeight="1">
      <c r="A935" s="10">
        <v>45146.0</v>
      </c>
      <c r="B935" s="11">
        <v>9.859039676E9</v>
      </c>
      <c r="C935" s="12" t="s">
        <v>903</v>
      </c>
      <c r="D935" s="11">
        <v>2.4056938E7</v>
      </c>
      <c r="E935" s="10">
        <v>45147.0</v>
      </c>
      <c r="F935" s="9" t="s">
        <v>69</v>
      </c>
      <c r="G935" s="13">
        <v>2.0</v>
      </c>
      <c r="H935" s="9" t="s">
        <v>70</v>
      </c>
      <c r="I935" s="9" t="s">
        <v>77</v>
      </c>
      <c r="J935" s="9" t="s">
        <v>98</v>
      </c>
      <c r="K935" s="9" t="s">
        <v>73</v>
      </c>
    </row>
    <row r="936" ht="15.75" customHeight="1">
      <c r="A936" s="10">
        <v>45146.0</v>
      </c>
      <c r="B936" s="11">
        <v>2.543827156E9</v>
      </c>
      <c r="C936" s="12" t="s">
        <v>904</v>
      </c>
      <c r="D936" s="11">
        <v>2.6412607E7</v>
      </c>
      <c r="E936" s="10">
        <v>45148.0</v>
      </c>
      <c r="F936" s="9" t="s">
        <v>76</v>
      </c>
      <c r="G936" s="13">
        <v>2.0</v>
      </c>
      <c r="H936" s="9" t="s">
        <v>70</v>
      </c>
      <c r="I936" s="9" t="s">
        <v>77</v>
      </c>
      <c r="J936" s="9" t="s">
        <v>98</v>
      </c>
      <c r="K936" s="9" t="s">
        <v>73</v>
      </c>
    </row>
    <row r="937" ht="15.75" customHeight="1">
      <c r="A937" s="10">
        <v>45146.0</v>
      </c>
      <c r="B937" s="11">
        <v>3.122022676E9</v>
      </c>
      <c r="C937" s="12" t="s">
        <v>905</v>
      </c>
      <c r="D937" s="11">
        <v>1.0910683E7</v>
      </c>
      <c r="E937" s="10">
        <v>45148.0</v>
      </c>
      <c r="F937" s="9" t="s">
        <v>69</v>
      </c>
      <c r="G937" s="13">
        <v>2.0</v>
      </c>
      <c r="H937" s="9" t="s">
        <v>70</v>
      </c>
      <c r="I937" s="9" t="s">
        <v>77</v>
      </c>
      <c r="J937" s="9" t="s">
        <v>98</v>
      </c>
      <c r="K937" s="9" t="s">
        <v>73</v>
      </c>
    </row>
    <row r="938" ht="15.75" customHeight="1">
      <c r="A938" s="10">
        <v>45147.0</v>
      </c>
      <c r="B938" s="11">
        <v>1.455830924E9</v>
      </c>
      <c r="C938" s="12" t="s">
        <v>906</v>
      </c>
      <c r="D938" s="11">
        <v>2.7210319E7</v>
      </c>
      <c r="E938" s="10">
        <v>45148.0</v>
      </c>
      <c r="F938" s="9" t="s">
        <v>76</v>
      </c>
      <c r="G938" s="13">
        <v>2.0</v>
      </c>
      <c r="H938" s="9" t="s">
        <v>70</v>
      </c>
      <c r="I938" s="9" t="s">
        <v>77</v>
      </c>
      <c r="J938" s="9" t="s">
        <v>98</v>
      </c>
      <c r="K938" s="9" t="s">
        <v>73</v>
      </c>
    </row>
    <row r="939" ht="15.75" customHeight="1">
      <c r="A939" s="10">
        <v>45147.0</v>
      </c>
      <c r="B939" s="11">
        <v>5.302724501E9</v>
      </c>
      <c r="C939" s="12" t="s">
        <v>907</v>
      </c>
      <c r="D939" s="11">
        <v>8285809.0</v>
      </c>
      <c r="E939" s="10">
        <v>45148.0</v>
      </c>
      <c r="F939" s="9" t="s">
        <v>69</v>
      </c>
      <c r="G939" s="13">
        <v>2.0</v>
      </c>
      <c r="H939" s="9" t="s">
        <v>70</v>
      </c>
      <c r="I939" s="9" t="s">
        <v>77</v>
      </c>
      <c r="J939" s="9" t="s">
        <v>98</v>
      </c>
      <c r="K939" s="9" t="s">
        <v>73</v>
      </c>
    </row>
    <row r="940" ht="15.75" customHeight="1">
      <c r="A940" s="10">
        <v>45148.0</v>
      </c>
      <c r="B940" s="11">
        <v>5.589580415E9</v>
      </c>
      <c r="C940" s="12" t="s">
        <v>908</v>
      </c>
      <c r="D940" s="11">
        <v>3.4132961E7</v>
      </c>
      <c r="E940" s="10">
        <v>45148.0</v>
      </c>
      <c r="F940" s="9" t="s">
        <v>76</v>
      </c>
      <c r="G940" s="13">
        <v>1.0</v>
      </c>
      <c r="H940" s="9" t="s">
        <v>70</v>
      </c>
      <c r="I940" s="9" t="s">
        <v>77</v>
      </c>
      <c r="J940" s="9" t="s">
        <v>79</v>
      </c>
      <c r="K940" s="9" t="s">
        <v>73</v>
      </c>
    </row>
    <row r="941" ht="15.75" customHeight="1">
      <c r="A941" s="10">
        <v>45125.0</v>
      </c>
      <c r="B941" s="11">
        <v>2.486638781E9</v>
      </c>
      <c r="C941" s="12" t="s">
        <v>909</v>
      </c>
      <c r="D941" s="11">
        <v>1.3338778E7</v>
      </c>
      <c r="E941" s="10">
        <v>45149.0</v>
      </c>
      <c r="F941" s="9" t="s">
        <v>69</v>
      </c>
      <c r="G941" s="13">
        <v>3.0</v>
      </c>
      <c r="H941" s="9" t="s">
        <v>70</v>
      </c>
      <c r="I941" s="9" t="s">
        <v>77</v>
      </c>
      <c r="J941" s="9" t="s">
        <v>79</v>
      </c>
      <c r="K941" s="9" t="s">
        <v>73</v>
      </c>
    </row>
    <row r="942" ht="15.75" customHeight="1">
      <c r="A942" s="10">
        <v>45146.0</v>
      </c>
      <c r="B942" s="11">
        <v>1.324080704E9</v>
      </c>
      <c r="C942" s="12" t="s">
        <v>910</v>
      </c>
      <c r="D942" s="11">
        <v>3.2459705E7</v>
      </c>
      <c r="E942" s="10">
        <v>45149.0</v>
      </c>
      <c r="F942" s="9" t="s">
        <v>69</v>
      </c>
      <c r="G942" s="13">
        <v>3.0</v>
      </c>
      <c r="H942" s="9" t="s">
        <v>70</v>
      </c>
      <c r="I942" s="9" t="s">
        <v>77</v>
      </c>
      <c r="J942" s="9" t="s">
        <v>79</v>
      </c>
      <c r="K942" s="9" t="s">
        <v>73</v>
      </c>
    </row>
    <row r="943" ht="15.75" customHeight="1">
      <c r="A943" s="10">
        <v>45146.0</v>
      </c>
      <c r="B943" s="11">
        <v>1.32417838E9</v>
      </c>
      <c r="C943" s="12" t="s">
        <v>911</v>
      </c>
      <c r="D943" s="11">
        <v>1.8203032E7</v>
      </c>
      <c r="E943" s="10">
        <v>45149.0</v>
      </c>
      <c r="F943" s="9" t="s">
        <v>69</v>
      </c>
      <c r="G943" s="13">
        <v>1.0</v>
      </c>
      <c r="H943" s="9" t="s">
        <v>70</v>
      </c>
      <c r="I943" s="9" t="s">
        <v>77</v>
      </c>
      <c r="J943" s="9" t="s">
        <v>79</v>
      </c>
      <c r="K943" s="9" t="s">
        <v>107</v>
      </c>
    </row>
    <row r="944" ht="15.75" customHeight="1">
      <c r="A944" s="10">
        <v>45147.0</v>
      </c>
      <c r="B944" s="11">
        <v>1.916119962E9</v>
      </c>
      <c r="C944" s="12" t="s">
        <v>912</v>
      </c>
      <c r="D944" s="11">
        <v>4.1126172E7</v>
      </c>
      <c r="E944" s="10">
        <v>45149.0</v>
      </c>
      <c r="F944" s="9" t="s">
        <v>69</v>
      </c>
      <c r="G944" s="13">
        <v>1.0</v>
      </c>
      <c r="H944" s="9" t="s">
        <v>70</v>
      </c>
      <c r="I944" s="9" t="s">
        <v>77</v>
      </c>
      <c r="J944" s="9" t="s">
        <v>79</v>
      </c>
      <c r="K944" s="9" t="s">
        <v>107</v>
      </c>
    </row>
    <row r="945" ht="15.75" customHeight="1">
      <c r="A945" s="10">
        <v>45147.0</v>
      </c>
      <c r="B945" s="11">
        <v>5.261355971E9</v>
      </c>
      <c r="C945" s="12" t="s">
        <v>912</v>
      </c>
      <c r="D945" s="11">
        <v>4.1126172E7</v>
      </c>
      <c r="E945" s="10">
        <v>45149.0</v>
      </c>
      <c r="F945" s="9" t="s">
        <v>69</v>
      </c>
      <c r="G945" s="13">
        <v>1.0</v>
      </c>
      <c r="H945" s="9" t="s">
        <v>70</v>
      </c>
      <c r="I945" s="9" t="s">
        <v>71</v>
      </c>
      <c r="J945" s="9" t="s">
        <v>79</v>
      </c>
      <c r="K945" s="9" t="s">
        <v>107</v>
      </c>
    </row>
    <row r="946" ht="15.75" customHeight="1">
      <c r="A946" s="10">
        <v>45148.0</v>
      </c>
      <c r="B946" s="11">
        <v>4.336194656E9</v>
      </c>
      <c r="C946" s="12" t="s">
        <v>913</v>
      </c>
      <c r="D946" s="11">
        <v>1.2148556E7</v>
      </c>
      <c r="E946" s="10">
        <v>45149.0</v>
      </c>
      <c r="F946" s="9" t="s">
        <v>69</v>
      </c>
      <c r="G946" s="13">
        <v>1.0</v>
      </c>
      <c r="H946" s="9" t="s">
        <v>70</v>
      </c>
      <c r="I946" s="9" t="s">
        <v>71</v>
      </c>
      <c r="J946" s="9" t="s">
        <v>98</v>
      </c>
      <c r="K946" s="9" t="s">
        <v>107</v>
      </c>
    </row>
    <row r="947" ht="15.75" customHeight="1">
      <c r="A947" s="10">
        <v>45148.0</v>
      </c>
      <c r="B947" s="11">
        <v>9.808875322E9</v>
      </c>
      <c r="C947" s="12" t="s">
        <v>914</v>
      </c>
      <c r="D947" s="11">
        <v>1.7860437E7</v>
      </c>
      <c r="E947" s="10">
        <v>45149.0</v>
      </c>
      <c r="F947" s="9" t="s">
        <v>69</v>
      </c>
      <c r="G947" s="13">
        <v>1.0</v>
      </c>
      <c r="H947" s="9" t="s">
        <v>70</v>
      </c>
      <c r="I947" s="9" t="s">
        <v>71</v>
      </c>
      <c r="J947" s="9" t="s">
        <v>98</v>
      </c>
      <c r="K947" s="9" t="s">
        <v>107</v>
      </c>
    </row>
    <row r="948" ht="15.75" customHeight="1">
      <c r="A948" s="10">
        <v>45148.0</v>
      </c>
      <c r="B948" s="11">
        <v>4.61186565E9</v>
      </c>
      <c r="C948" s="12" t="s">
        <v>912</v>
      </c>
      <c r="D948" s="11">
        <v>4.1126172E7</v>
      </c>
      <c r="E948" s="10">
        <v>45149.0</v>
      </c>
      <c r="F948" s="9" t="s">
        <v>69</v>
      </c>
      <c r="G948" s="13">
        <v>3.0</v>
      </c>
      <c r="H948" s="9" t="s">
        <v>70</v>
      </c>
      <c r="I948" s="9" t="s">
        <v>71</v>
      </c>
      <c r="J948" s="9" t="s">
        <v>98</v>
      </c>
      <c r="K948" s="9" t="s">
        <v>107</v>
      </c>
    </row>
    <row r="949" ht="15.75" customHeight="1">
      <c r="A949" s="10">
        <v>45148.0</v>
      </c>
      <c r="B949" s="11">
        <v>2.212256863E9</v>
      </c>
      <c r="C949" s="12" t="s">
        <v>915</v>
      </c>
      <c r="D949" s="11">
        <v>3.7096628E7</v>
      </c>
      <c r="E949" s="10">
        <v>45149.0</v>
      </c>
      <c r="F949" s="9" t="s">
        <v>69</v>
      </c>
      <c r="G949" s="13">
        <v>3.0</v>
      </c>
      <c r="H949" s="9" t="s">
        <v>70</v>
      </c>
      <c r="I949" s="9" t="s">
        <v>71</v>
      </c>
      <c r="J949" s="9" t="s">
        <v>98</v>
      </c>
      <c r="K949" s="9" t="s">
        <v>103</v>
      </c>
    </row>
    <row r="950" ht="15.75" customHeight="1">
      <c r="A950" s="10">
        <v>45127.0</v>
      </c>
      <c r="B950" s="11">
        <v>6.177697536E9</v>
      </c>
      <c r="C950" s="12" t="s">
        <v>916</v>
      </c>
      <c r="D950" s="11">
        <v>1.6074256E7</v>
      </c>
      <c r="E950" s="10">
        <v>45152.0</v>
      </c>
      <c r="F950" s="9" t="s">
        <v>69</v>
      </c>
      <c r="G950" s="13">
        <v>4.0</v>
      </c>
      <c r="H950" s="9" t="s">
        <v>116</v>
      </c>
      <c r="I950" s="9" t="s">
        <v>71</v>
      </c>
      <c r="J950" s="9" t="s">
        <v>98</v>
      </c>
      <c r="K950" s="9" t="s">
        <v>103</v>
      </c>
    </row>
    <row r="951" ht="15.75" customHeight="1">
      <c r="A951" s="10">
        <v>45128.0</v>
      </c>
      <c r="B951" s="11">
        <v>4.610970151E9</v>
      </c>
      <c r="C951" s="12" t="s">
        <v>917</v>
      </c>
      <c r="D951" s="11">
        <v>1.7134295E7</v>
      </c>
      <c r="E951" s="10">
        <v>45152.0</v>
      </c>
      <c r="F951" s="9" t="s">
        <v>69</v>
      </c>
      <c r="G951" s="13">
        <v>4.0</v>
      </c>
      <c r="H951" s="9" t="s">
        <v>116</v>
      </c>
      <c r="I951" s="9" t="s">
        <v>71</v>
      </c>
      <c r="J951" s="9" t="s">
        <v>98</v>
      </c>
      <c r="K951" s="9" t="s">
        <v>103</v>
      </c>
    </row>
    <row r="952" ht="15.75" customHeight="1">
      <c r="A952" s="10">
        <v>45132.0</v>
      </c>
      <c r="B952" s="11">
        <v>1.462089226E9</v>
      </c>
      <c r="C952" s="12" t="s">
        <v>918</v>
      </c>
      <c r="D952" s="11">
        <v>2.5740312E7</v>
      </c>
      <c r="E952" s="10">
        <v>45152.0</v>
      </c>
      <c r="F952" s="9" t="s">
        <v>69</v>
      </c>
      <c r="G952" s="13">
        <v>5.0</v>
      </c>
      <c r="H952" s="9" t="s">
        <v>116</v>
      </c>
      <c r="I952" s="9" t="s">
        <v>71</v>
      </c>
      <c r="J952" s="9" t="s">
        <v>98</v>
      </c>
      <c r="K952" s="9" t="s">
        <v>103</v>
      </c>
    </row>
    <row r="953" ht="15.75" customHeight="1">
      <c r="A953" s="10">
        <v>45132.0</v>
      </c>
      <c r="B953" s="11">
        <v>4.9650643E9</v>
      </c>
      <c r="C953" s="12" t="s">
        <v>919</v>
      </c>
      <c r="D953" s="11">
        <v>3.9145327E7</v>
      </c>
      <c r="E953" s="10">
        <v>45152.0</v>
      </c>
      <c r="F953" s="9" t="s">
        <v>69</v>
      </c>
      <c r="G953" s="13">
        <v>1.0</v>
      </c>
      <c r="H953" s="9" t="s">
        <v>116</v>
      </c>
      <c r="I953" s="9" t="s">
        <v>71</v>
      </c>
      <c r="J953" s="9" t="s">
        <v>98</v>
      </c>
      <c r="K953" s="9" t="s">
        <v>103</v>
      </c>
    </row>
    <row r="954" ht="15.75" customHeight="1">
      <c r="A954" s="10">
        <v>45132.0</v>
      </c>
      <c r="B954" s="11">
        <v>3.496264822E9</v>
      </c>
      <c r="C954" s="12" t="s">
        <v>916</v>
      </c>
      <c r="D954" s="11">
        <v>1.6074256E7</v>
      </c>
      <c r="E954" s="10">
        <v>45152.0</v>
      </c>
      <c r="F954" s="9" t="s">
        <v>76</v>
      </c>
      <c r="G954" s="13">
        <v>1.0</v>
      </c>
      <c r="H954" s="9" t="s">
        <v>116</v>
      </c>
      <c r="I954" s="9" t="s">
        <v>71</v>
      </c>
      <c r="J954" s="9" t="s">
        <v>98</v>
      </c>
      <c r="K954" s="9" t="s">
        <v>103</v>
      </c>
    </row>
    <row r="955" ht="15.75" customHeight="1">
      <c r="A955" s="10">
        <v>45147.0</v>
      </c>
      <c r="B955" s="11">
        <v>5.302683492E9</v>
      </c>
      <c r="C955" s="12" t="s">
        <v>920</v>
      </c>
      <c r="D955" s="11">
        <v>4.1959596E7</v>
      </c>
      <c r="E955" s="10">
        <v>45152.0</v>
      </c>
      <c r="F955" s="9" t="s">
        <v>76</v>
      </c>
      <c r="G955" s="13">
        <v>1.0</v>
      </c>
      <c r="H955" s="9" t="s">
        <v>116</v>
      </c>
      <c r="I955" s="9" t="s">
        <v>71</v>
      </c>
      <c r="J955" s="9" t="s">
        <v>98</v>
      </c>
      <c r="K955" s="9" t="s">
        <v>107</v>
      </c>
    </row>
    <row r="956" ht="15.75" customHeight="1">
      <c r="A956" s="10">
        <v>45147.0</v>
      </c>
      <c r="B956" s="11">
        <v>1.113390213E9</v>
      </c>
      <c r="C956" s="12" t="s">
        <v>921</v>
      </c>
      <c r="D956" s="11">
        <v>1.407388E7</v>
      </c>
      <c r="E956" s="10">
        <v>45152.0</v>
      </c>
      <c r="F956" s="9" t="s">
        <v>76</v>
      </c>
      <c r="G956" s="13">
        <v>1.0</v>
      </c>
      <c r="H956" s="9" t="s">
        <v>116</v>
      </c>
      <c r="I956" s="9" t="s">
        <v>71</v>
      </c>
      <c r="J956" s="9" t="s">
        <v>318</v>
      </c>
      <c r="K956" s="9" t="s">
        <v>107</v>
      </c>
    </row>
    <row r="957" ht="15.75" customHeight="1">
      <c r="A957" s="10">
        <v>45147.0</v>
      </c>
      <c r="B957" s="11">
        <v>8.370383626E9</v>
      </c>
      <c r="C957" s="12" t="s">
        <v>922</v>
      </c>
      <c r="D957" s="11">
        <v>3.3815507E7</v>
      </c>
      <c r="E957" s="10">
        <v>45152.0</v>
      </c>
      <c r="F957" s="9" t="s">
        <v>76</v>
      </c>
      <c r="G957" s="13">
        <v>2.0</v>
      </c>
      <c r="H957" s="9" t="s">
        <v>106</v>
      </c>
      <c r="I957" s="9" t="s">
        <v>71</v>
      </c>
      <c r="J957" s="9" t="s">
        <v>318</v>
      </c>
      <c r="K957" s="9" t="s">
        <v>107</v>
      </c>
    </row>
    <row r="958" ht="15.75" customHeight="1">
      <c r="A958" s="10">
        <v>45149.0</v>
      </c>
      <c r="B958" s="11">
        <v>5.59828157E9</v>
      </c>
      <c r="C958" s="12" t="s">
        <v>923</v>
      </c>
      <c r="D958" s="11">
        <v>4.1300067E7</v>
      </c>
      <c r="E958" s="10">
        <v>45152.0</v>
      </c>
      <c r="F958" s="9" t="s">
        <v>69</v>
      </c>
      <c r="G958" s="13">
        <v>2.0</v>
      </c>
      <c r="H958" s="9" t="s">
        <v>106</v>
      </c>
      <c r="I958" s="9" t="s">
        <v>71</v>
      </c>
      <c r="J958" s="9" t="s">
        <v>318</v>
      </c>
      <c r="K958" s="9" t="s">
        <v>217</v>
      </c>
    </row>
    <row r="959" ht="15.75" customHeight="1">
      <c r="A959" s="10">
        <v>45149.0</v>
      </c>
      <c r="B959" s="11">
        <v>9.793225245E9</v>
      </c>
      <c r="C959" s="12" t="s">
        <v>924</v>
      </c>
      <c r="D959" s="11">
        <v>1.4226653E7</v>
      </c>
      <c r="E959" s="10">
        <v>45152.0</v>
      </c>
      <c r="F959" s="9" t="s">
        <v>69</v>
      </c>
      <c r="G959" s="13">
        <v>2.0</v>
      </c>
      <c r="H959" s="9" t="s">
        <v>106</v>
      </c>
      <c r="I959" s="9" t="s">
        <v>71</v>
      </c>
      <c r="J959" s="9" t="s">
        <v>318</v>
      </c>
      <c r="K959" s="9" t="s">
        <v>217</v>
      </c>
    </row>
    <row r="960" ht="15.75" customHeight="1">
      <c r="A960" s="10">
        <v>45149.0</v>
      </c>
      <c r="B960" s="11">
        <v>3.129376655E9</v>
      </c>
      <c r="C960" s="12" t="s">
        <v>925</v>
      </c>
      <c r="D960" s="11">
        <v>4.3706846E7</v>
      </c>
      <c r="E960" s="10">
        <v>45152.0</v>
      </c>
      <c r="F960" s="9" t="s">
        <v>69</v>
      </c>
      <c r="G960" s="13">
        <v>1.0</v>
      </c>
      <c r="H960" s="9" t="s">
        <v>106</v>
      </c>
      <c r="I960" s="9" t="s">
        <v>77</v>
      </c>
      <c r="J960" s="9" t="s">
        <v>318</v>
      </c>
      <c r="K960" s="9" t="s">
        <v>217</v>
      </c>
    </row>
    <row r="961" ht="15.75" customHeight="1">
      <c r="A961" s="10">
        <v>45149.0</v>
      </c>
      <c r="B961" s="11">
        <v>7.511488261E9</v>
      </c>
      <c r="C961" s="12" t="s">
        <v>926</v>
      </c>
      <c r="D961" s="11">
        <v>1.6821221E7</v>
      </c>
      <c r="E961" s="10">
        <v>45152.0</v>
      </c>
      <c r="F961" s="9" t="s">
        <v>69</v>
      </c>
      <c r="G961" s="13">
        <v>1.0</v>
      </c>
      <c r="H961" s="9" t="s">
        <v>106</v>
      </c>
      <c r="I961" s="9" t="s">
        <v>77</v>
      </c>
      <c r="J961" s="9" t="s">
        <v>318</v>
      </c>
      <c r="K961" s="9" t="s">
        <v>217</v>
      </c>
    </row>
    <row r="962" ht="15.75" customHeight="1">
      <c r="A962" s="10">
        <v>45142.0</v>
      </c>
      <c r="B962" s="11">
        <v>6.326931564E9</v>
      </c>
      <c r="C962" s="12" t="s">
        <v>927</v>
      </c>
      <c r="D962" s="11">
        <v>3.4132303E7</v>
      </c>
      <c r="E962" s="10">
        <v>45153.0</v>
      </c>
      <c r="F962" s="9" t="s">
        <v>69</v>
      </c>
      <c r="G962" s="13">
        <v>1.0</v>
      </c>
      <c r="H962" s="9" t="s">
        <v>81</v>
      </c>
      <c r="I962" s="9" t="s">
        <v>77</v>
      </c>
      <c r="J962" s="9" t="s">
        <v>318</v>
      </c>
      <c r="K962" s="9" t="s">
        <v>217</v>
      </c>
    </row>
    <row r="963" ht="15.75" customHeight="1">
      <c r="A963" s="10">
        <v>45146.0</v>
      </c>
      <c r="B963" s="11">
        <v>2.543766643E9</v>
      </c>
      <c r="C963" s="12" t="s">
        <v>928</v>
      </c>
      <c r="D963" s="11">
        <v>2.1397233E7</v>
      </c>
      <c r="E963" s="10">
        <v>45153.0</v>
      </c>
      <c r="F963" s="9" t="s">
        <v>76</v>
      </c>
      <c r="G963" s="13">
        <v>1.0</v>
      </c>
      <c r="H963" s="9" t="s">
        <v>81</v>
      </c>
      <c r="I963" s="9" t="s">
        <v>77</v>
      </c>
      <c r="J963" s="9" t="s">
        <v>318</v>
      </c>
      <c r="K963" s="9" t="s">
        <v>84</v>
      </c>
    </row>
    <row r="964" ht="15.75" customHeight="1">
      <c r="A964" s="10">
        <v>45148.0</v>
      </c>
      <c r="B964" s="11">
        <v>5.48690751E9</v>
      </c>
      <c r="C964" s="12" t="s">
        <v>929</v>
      </c>
      <c r="D964" s="11">
        <v>2.0159339E7</v>
      </c>
      <c r="E964" s="10">
        <v>45153.0</v>
      </c>
      <c r="F964" s="9" t="s">
        <v>76</v>
      </c>
      <c r="G964" s="13">
        <v>1.0</v>
      </c>
      <c r="H964" s="9" t="s">
        <v>81</v>
      </c>
      <c r="I964" s="9" t="s">
        <v>77</v>
      </c>
      <c r="J964" s="9" t="s">
        <v>72</v>
      </c>
      <c r="K964" s="9" t="s">
        <v>84</v>
      </c>
    </row>
    <row r="965" ht="15.75" customHeight="1">
      <c r="A965" s="10">
        <v>45148.0</v>
      </c>
      <c r="B965" s="11">
        <v>8.217607296E9</v>
      </c>
      <c r="C965" s="12" t="s">
        <v>930</v>
      </c>
      <c r="D965" s="11">
        <v>1.7859475E7</v>
      </c>
      <c r="E965" s="10">
        <v>45153.0</v>
      </c>
      <c r="F965" s="9" t="s">
        <v>69</v>
      </c>
      <c r="G965" s="13">
        <v>1.0</v>
      </c>
      <c r="H965" s="9" t="s">
        <v>81</v>
      </c>
      <c r="I965" s="9" t="s">
        <v>77</v>
      </c>
      <c r="J965" s="9" t="s">
        <v>72</v>
      </c>
      <c r="K965" s="9" t="s">
        <v>84</v>
      </c>
    </row>
    <row r="966" ht="15.75" customHeight="1">
      <c r="A966" s="10">
        <v>45149.0</v>
      </c>
      <c r="B966" s="11">
        <v>9.793147932E9</v>
      </c>
      <c r="C966" s="12" t="s">
        <v>597</v>
      </c>
      <c r="D966" s="11">
        <v>2.6012846E7</v>
      </c>
      <c r="E966" s="10">
        <v>45153.0</v>
      </c>
      <c r="F966" s="9" t="s">
        <v>69</v>
      </c>
      <c r="G966" s="13">
        <v>1.0</v>
      </c>
      <c r="H966" s="9" t="s">
        <v>81</v>
      </c>
      <c r="I966" s="9" t="s">
        <v>77</v>
      </c>
      <c r="J966" s="9" t="s">
        <v>72</v>
      </c>
      <c r="K966" s="9" t="s">
        <v>84</v>
      </c>
    </row>
    <row r="967" ht="15.75" customHeight="1">
      <c r="A967" s="10">
        <v>45153.0</v>
      </c>
      <c r="B967" s="11">
        <v>6.980995383E9</v>
      </c>
      <c r="C967" s="12" t="s">
        <v>931</v>
      </c>
      <c r="D967" s="11">
        <v>1.9094444E7</v>
      </c>
      <c r="E967" s="10">
        <v>45153.0</v>
      </c>
      <c r="F967" s="9" t="s">
        <v>76</v>
      </c>
      <c r="G967" s="13">
        <v>2.0</v>
      </c>
      <c r="H967" s="9" t="s">
        <v>81</v>
      </c>
      <c r="I967" s="9" t="s">
        <v>77</v>
      </c>
      <c r="J967" s="9" t="s">
        <v>72</v>
      </c>
      <c r="K967" s="9" t="s">
        <v>84</v>
      </c>
    </row>
    <row r="968" ht="15.75" customHeight="1">
      <c r="A968" s="10">
        <v>45153.0</v>
      </c>
      <c r="B968" s="11">
        <v>1.217236753E9</v>
      </c>
      <c r="C968" s="12" t="s">
        <v>932</v>
      </c>
      <c r="D968" s="11">
        <v>3.6420914E7</v>
      </c>
      <c r="E968" s="10">
        <v>45153.0</v>
      </c>
      <c r="F968" s="9" t="s">
        <v>69</v>
      </c>
      <c r="G968" s="13">
        <v>2.0</v>
      </c>
      <c r="H968" s="9" t="s">
        <v>81</v>
      </c>
      <c r="I968" s="9" t="s">
        <v>77</v>
      </c>
      <c r="J968" s="9" t="s">
        <v>72</v>
      </c>
      <c r="K968" s="9" t="s">
        <v>84</v>
      </c>
    </row>
    <row r="969" ht="15.75" customHeight="1">
      <c r="A969" s="10">
        <v>45125.0</v>
      </c>
      <c r="B969" s="11">
        <v>2.486893452E9</v>
      </c>
      <c r="C969" s="12" t="s">
        <v>933</v>
      </c>
      <c r="D969" s="11">
        <v>2.9666634E7</v>
      </c>
      <c r="E969" s="10">
        <v>45154.0</v>
      </c>
      <c r="F969" s="9" t="s">
        <v>69</v>
      </c>
      <c r="G969" s="13">
        <v>3.0</v>
      </c>
      <c r="H969" s="9" t="s">
        <v>92</v>
      </c>
      <c r="I969" s="9" t="s">
        <v>77</v>
      </c>
      <c r="J969" s="9" t="s">
        <v>72</v>
      </c>
      <c r="K969" s="9" t="s">
        <v>99</v>
      </c>
    </row>
    <row r="970" ht="15.75" customHeight="1">
      <c r="A970" s="10">
        <v>45149.0</v>
      </c>
      <c r="B970" s="11">
        <v>1.174314315E9</v>
      </c>
      <c r="C970" s="12" t="s">
        <v>933</v>
      </c>
      <c r="D970" s="11">
        <v>2.9666634E7</v>
      </c>
      <c r="E970" s="10">
        <v>45154.0</v>
      </c>
      <c r="F970" s="9" t="s">
        <v>76</v>
      </c>
      <c r="G970" s="13">
        <v>4.0</v>
      </c>
      <c r="H970" s="9" t="s">
        <v>92</v>
      </c>
      <c r="I970" s="9" t="s">
        <v>77</v>
      </c>
      <c r="J970" s="9" t="s">
        <v>72</v>
      </c>
      <c r="K970" s="9" t="s">
        <v>99</v>
      </c>
    </row>
    <row r="971" ht="15.75" customHeight="1">
      <c r="A971" s="10">
        <v>45139.0</v>
      </c>
      <c r="B971" s="11">
        <v>6.572597242E9</v>
      </c>
      <c r="C971" s="12" t="s">
        <v>934</v>
      </c>
      <c r="D971" s="11">
        <v>3.7656236E7</v>
      </c>
      <c r="E971" s="10">
        <v>45155.0</v>
      </c>
      <c r="F971" s="9" t="s">
        <v>76</v>
      </c>
      <c r="G971" s="13">
        <v>1.0</v>
      </c>
      <c r="H971" s="9" t="s">
        <v>92</v>
      </c>
      <c r="I971" s="9" t="s">
        <v>77</v>
      </c>
      <c r="J971" s="9" t="s">
        <v>93</v>
      </c>
      <c r="K971" s="9" t="s">
        <v>99</v>
      </c>
    </row>
    <row r="972" ht="15.75" customHeight="1">
      <c r="A972" s="10">
        <v>45142.0</v>
      </c>
      <c r="B972" s="11">
        <v>6.697837801E9</v>
      </c>
      <c r="C972" s="12" t="s">
        <v>935</v>
      </c>
      <c r="D972" s="11">
        <v>3.8185482E7</v>
      </c>
      <c r="E972" s="10">
        <v>45155.0</v>
      </c>
      <c r="F972" s="9" t="s">
        <v>69</v>
      </c>
      <c r="G972" s="13">
        <v>3.0</v>
      </c>
      <c r="H972" s="9" t="s">
        <v>92</v>
      </c>
      <c r="I972" s="9" t="s">
        <v>77</v>
      </c>
      <c r="J972" s="9" t="s">
        <v>93</v>
      </c>
      <c r="K972" s="9" t="s">
        <v>99</v>
      </c>
    </row>
    <row r="973" ht="15.75" customHeight="1">
      <c r="A973" s="10">
        <v>45146.0</v>
      </c>
      <c r="B973" s="11">
        <v>4.981769391E9</v>
      </c>
      <c r="C973" s="12" t="s">
        <v>936</v>
      </c>
      <c r="D973" s="11">
        <v>2.1745908E7</v>
      </c>
      <c r="E973" s="10">
        <v>45155.0</v>
      </c>
      <c r="F973" s="9" t="s">
        <v>76</v>
      </c>
      <c r="G973" s="13">
        <v>1.0</v>
      </c>
      <c r="H973" s="9" t="s">
        <v>92</v>
      </c>
      <c r="I973" s="9" t="s">
        <v>77</v>
      </c>
      <c r="J973" s="9" t="s">
        <v>93</v>
      </c>
      <c r="K973" s="9" t="s">
        <v>103</v>
      </c>
    </row>
    <row r="974" ht="15.75" customHeight="1">
      <c r="A974" s="10">
        <v>45146.0</v>
      </c>
      <c r="B974" s="11">
        <v>6.419360894E9</v>
      </c>
      <c r="C974" s="12" t="s">
        <v>937</v>
      </c>
      <c r="D974" s="11">
        <v>2.1397233E7</v>
      </c>
      <c r="E974" s="10">
        <v>45155.0</v>
      </c>
      <c r="F974" s="9" t="s">
        <v>69</v>
      </c>
      <c r="G974" s="13">
        <v>2.0</v>
      </c>
      <c r="H974" s="9" t="s">
        <v>92</v>
      </c>
      <c r="I974" s="9" t="s">
        <v>77</v>
      </c>
      <c r="J974" s="9" t="s">
        <v>93</v>
      </c>
      <c r="K974" s="9" t="s">
        <v>103</v>
      </c>
    </row>
    <row r="975" ht="15.75" customHeight="1">
      <c r="A975" s="10">
        <v>45147.0</v>
      </c>
      <c r="B975" s="11">
        <v>8.370364682E9</v>
      </c>
      <c r="C975" s="12" t="s">
        <v>938</v>
      </c>
      <c r="D975" s="11">
        <v>2.5735447E7</v>
      </c>
      <c r="E975" s="10">
        <v>45155.0</v>
      </c>
      <c r="F975" s="9" t="s">
        <v>69</v>
      </c>
      <c r="G975" s="13">
        <v>1.0</v>
      </c>
      <c r="H975" s="9" t="s">
        <v>112</v>
      </c>
      <c r="I975" s="9" t="s">
        <v>88</v>
      </c>
      <c r="J975" s="9" t="s">
        <v>93</v>
      </c>
      <c r="K975" s="9" t="s">
        <v>103</v>
      </c>
    </row>
    <row r="976" ht="15.75" customHeight="1">
      <c r="A976" s="10">
        <v>45148.0</v>
      </c>
      <c r="B976" s="11">
        <v>9.815102872E9</v>
      </c>
      <c r="C976" s="12" t="s">
        <v>939</v>
      </c>
      <c r="D976" s="11">
        <v>2.0232007E7</v>
      </c>
      <c r="E976" s="10">
        <v>45155.0</v>
      </c>
      <c r="F976" s="9" t="s">
        <v>76</v>
      </c>
      <c r="G976" s="13">
        <v>1.0</v>
      </c>
      <c r="H976" s="9" t="s">
        <v>112</v>
      </c>
      <c r="I976" s="9" t="s">
        <v>88</v>
      </c>
      <c r="J976" s="9" t="s">
        <v>93</v>
      </c>
      <c r="K976" s="9" t="s">
        <v>103</v>
      </c>
    </row>
    <row r="977" ht="15.75" customHeight="1">
      <c r="A977" s="10">
        <v>45148.0</v>
      </c>
      <c r="B977" s="11">
        <v>1.140111044E9</v>
      </c>
      <c r="C977" s="12" t="s">
        <v>940</v>
      </c>
      <c r="D977" s="11">
        <v>4.2007951E7</v>
      </c>
      <c r="E977" s="10">
        <v>45155.0</v>
      </c>
      <c r="F977" s="9" t="s">
        <v>76</v>
      </c>
      <c r="G977" s="13">
        <v>1.0</v>
      </c>
      <c r="H977" s="9" t="s">
        <v>112</v>
      </c>
      <c r="I977" s="9" t="s">
        <v>88</v>
      </c>
      <c r="J977" s="9" t="s">
        <v>93</v>
      </c>
      <c r="K977" s="9" t="s">
        <v>103</v>
      </c>
    </row>
    <row r="978" ht="15.75" customHeight="1">
      <c r="A978" s="10">
        <v>45149.0</v>
      </c>
      <c r="B978" s="11">
        <v>9.793144756E9</v>
      </c>
      <c r="C978" s="12" t="s">
        <v>939</v>
      </c>
      <c r="D978" s="11">
        <v>2.0232007E7</v>
      </c>
      <c r="E978" s="10">
        <v>45155.0</v>
      </c>
      <c r="F978" s="9" t="s">
        <v>69</v>
      </c>
      <c r="G978" s="13">
        <v>1.0</v>
      </c>
      <c r="H978" s="9" t="s">
        <v>112</v>
      </c>
      <c r="I978" s="9" t="s">
        <v>88</v>
      </c>
      <c r="J978" s="9" t="s">
        <v>83</v>
      </c>
      <c r="K978" s="9" t="s">
        <v>73</v>
      </c>
    </row>
    <row r="979" ht="15.75" customHeight="1">
      <c r="A979" s="10">
        <v>45153.0</v>
      </c>
      <c r="B979" s="11">
        <v>8.433026895E9</v>
      </c>
      <c r="C979" s="12" t="s">
        <v>941</v>
      </c>
      <c r="D979" s="11">
        <v>3.9357338E7</v>
      </c>
      <c r="E979" s="10">
        <v>45155.0</v>
      </c>
      <c r="F979" s="9" t="s">
        <v>69</v>
      </c>
      <c r="G979" s="13">
        <v>1.0</v>
      </c>
      <c r="H979" s="9" t="s">
        <v>112</v>
      </c>
      <c r="I979" s="9" t="s">
        <v>88</v>
      </c>
      <c r="J979" s="9" t="s">
        <v>83</v>
      </c>
      <c r="K979" s="9" t="s">
        <v>73</v>
      </c>
    </row>
    <row r="980" ht="15.75" customHeight="1">
      <c r="A980" s="10">
        <v>45153.0</v>
      </c>
      <c r="B980" s="11">
        <v>6.980958574E9</v>
      </c>
      <c r="C980" s="12" t="s">
        <v>942</v>
      </c>
      <c r="D980" s="11">
        <v>2.2336915E7</v>
      </c>
      <c r="E980" s="10">
        <v>45155.0</v>
      </c>
      <c r="F980" s="9" t="s">
        <v>69</v>
      </c>
      <c r="G980" s="13">
        <v>2.0</v>
      </c>
      <c r="H980" s="9" t="s">
        <v>70</v>
      </c>
      <c r="I980" s="9" t="s">
        <v>88</v>
      </c>
      <c r="J980" s="9" t="s">
        <v>83</v>
      </c>
      <c r="K980" s="9" t="s">
        <v>73</v>
      </c>
    </row>
    <row r="981" ht="15.75" customHeight="1">
      <c r="A981" s="10">
        <v>45153.0</v>
      </c>
      <c r="B981" s="11">
        <v>7.51459464E9</v>
      </c>
      <c r="C981" s="12" t="s">
        <v>943</v>
      </c>
      <c r="D981" s="11">
        <v>1.6540262E7</v>
      </c>
      <c r="E981" s="10">
        <v>45155.0</v>
      </c>
      <c r="F981" s="9" t="s">
        <v>69</v>
      </c>
      <c r="G981" s="13">
        <v>3.0</v>
      </c>
      <c r="H981" s="9" t="s">
        <v>70</v>
      </c>
      <c r="I981" s="9" t="s">
        <v>88</v>
      </c>
      <c r="J981" s="9" t="s">
        <v>83</v>
      </c>
      <c r="K981" s="9" t="s">
        <v>73</v>
      </c>
    </row>
    <row r="982" ht="15.75" customHeight="1">
      <c r="A982" s="10">
        <v>45153.0</v>
      </c>
      <c r="B982" s="11">
        <v>3.8954958E9</v>
      </c>
      <c r="C982" s="12" t="s">
        <v>944</v>
      </c>
      <c r="D982" s="11">
        <v>2.1622505E7</v>
      </c>
      <c r="E982" s="10">
        <v>45155.0</v>
      </c>
      <c r="F982" s="9" t="s">
        <v>76</v>
      </c>
      <c r="G982" s="13">
        <v>4.0</v>
      </c>
      <c r="H982" s="9" t="s">
        <v>70</v>
      </c>
      <c r="I982" s="9" t="s">
        <v>88</v>
      </c>
      <c r="J982" s="9" t="s">
        <v>83</v>
      </c>
      <c r="K982" s="9" t="s">
        <v>73</v>
      </c>
    </row>
    <row r="983" ht="15.75" customHeight="1">
      <c r="A983" s="10">
        <v>45153.0</v>
      </c>
      <c r="B983" s="11">
        <v>1.217244571E9</v>
      </c>
      <c r="C983" s="12" t="s">
        <v>945</v>
      </c>
      <c r="D983" s="11">
        <v>4.1182952E7</v>
      </c>
      <c r="E983" s="10">
        <v>45155.0</v>
      </c>
      <c r="F983" s="9" t="s">
        <v>69</v>
      </c>
      <c r="G983" s="13">
        <v>3.0</v>
      </c>
      <c r="H983" s="9" t="s">
        <v>70</v>
      </c>
      <c r="I983" s="9" t="s">
        <v>88</v>
      </c>
      <c r="J983" s="9" t="s">
        <v>83</v>
      </c>
      <c r="K983" s="9" t="s">
        <v>73</v>
      </c>
    </row>
    <row r="984" ht="15.75" customHeight="1">
      <c r="A984" s="10">
        <v>45155.0</v>
      </c>
      <c r="B984" s="11">
        <v>3.627711146E9</v>
      </c>
      <c r="C984" s="12" t="s">
        <v>946</v>
      </c>
      <c r="D984" s="11">
        <v>2.7651661E7</v>
      </c>
      <c r="E984" s="10">
        <v>45155.0</v>
      </c>
      <c r="F984" s="9" t="s">
        <v>69</v>
      </c>
      <c r="G984" s="13">
        <v>1.0</v>
      </c>
      <c r="H984" s="9" t="s">
        <v>70</v>
      </c>
      <c r="I984" s="9" t="s">
        <v>88</v>
      </c>
      <c r="J984" s="9" t="s">
        <v>83</v>
      </c>
      <c r="K984" s="9" t="s">
        <v>73</v>
      </c>
    </row>
    <row r="985" ht="15.75" customHeight="1">
      <c r="A985" s="10">
        <v>45155.0</v>
      </c>
      <c r="B985" s="11">
        <v>8.324866476E9</v>
      </c>
      <c r="C985" s="12" t="s">
        <v>947</v>
      </c>
      <c r="D985" s="11">
        <v>3.6224806E7</v>
      </c>
      <c r="E985" s="10">
        <v>45155.0</v>
      </c>
      <c r="F985" s="9" t="s">
        <v>69</v>
      </c>
      <c r="G985" s="13">
        <v>3.0</v>
      </c>
      <c r="H985" s="9" t="s">
        <v>70</v>
      </c>
      <c r="I985" s="9" t="s">
        <v>77</v>
      </c>
      <c r="J985" s="9" t="s">
        <v>83</v>
      </c>
      <c r="K985" s="9" t="s">
        <v>73</v>
      </c>
    </row>
    <row r="986" ht="15.75" customHeight="1">
      <c r="A986" s="10">
        <v>45155.0</v>
      </c>
      <c r="B986" s="11">
        <v>5.76743468E9</v>
      </c>
      <c r="C986" s="12" t="s">
        <v>948</v>
      </c>
      <c r="D986" s="11">
        <v>1.3045572E7</v>
      </c>
      <c r="E986" s="10">
        <v>45155.0</v>
      </c>
      <c r="F986" s="9" t="s">
        <v>69</v>
      </c>
      <c r="G986" s="13">
        <v>3.0</v>
      </c>
      <c r="H986" s="9" t="s">
        <v>70</v>
      </c>
      <c r="I986" s="9" t="s">
        <v>77</v>
      </c>
      <c r="J986" s="9" t="s">
        <v>83</v>
      </c>
      <c r="K986" s="9" t="s">
        <v>73</v>
      </c>
    </row>
    <row r="987" ht="15.75" customHeight="1">
      <c r="A987" s="10">
        <v>45155.0</v>
      </c>
      <c r="B987" s="11">
        <v>2.992430976E9</v>
      </c>
      <c r="C987" s="12" t="s">
        <v>949</v>
      </c>
      <c r="D987" s="11">
        <v>3.5517401E7</v>
      </c>
      <c r="E987" s="10">
        <v>45155.0</v>
      </c>
      <c r="F987" s="9" t="s">
        <v>69</v>
      </c>
      <c r="G987" s="13">
        <v>1.0</v>
      </c>
      <c r="H987" s="9" t="s">
        <v>70</v>
      </c>
      <c r="I987" s="9" t="s">
        <v>77</v>
      </c>
      <c r="J987" s="9" t="s">
        <v>83</v>
      </c>
      <c r="K987" s="9" t="s">
        <v>90</v>
      </c>
    </row>
    <row r="988" ht="15.75" customHeight="1">
      <c r="A988" s="10">
        <v>45155.0</v>
      </c>
      <c r="B988" s="11">
        <v>8.324857785E9</v>
      </c>
      <c r="C988" s="12" t="s">
        <v>950</v>
      </c>
      <c r="D988" s="11">
        <v>3.6420595E7</v>
      </c>
      <c r="E988" s="10">
        <v>45155.0</v>
      </c>
      <c r="F988" s="9" t="s">
        <v>69</v>
      </c>
      <c r="G988" s="13">
        <v>2.0</v>
      </c>
      <c r="H988" s="9" t="s">
        <v>70</v>
      </c>
      <c r="I988" s="9" t="s">
        <v>77</v>
      </c>
      <c r="J988" s="9" t="s">
        <v>79</v>
      </c>
      <c r="K988" s="9" t="s">
        <v>90</v>
      </c>
    </row>
    <row r="989" ht="15.75" customHeight="1">
      <c r="A989" s="10">
        <v>45142.0</v>
      </c>
      <c r="B989" s="11">
        <v>4.897012945E9</v>
      </c>
      <c r="C989" s="12" t="s">
        <v>951</v>
      </c>
      <c r="D989" s="11">
        <v>1.4410447E7</v>
      </c>
      <c r="E989" s="10">
        <v>45156.0</v>
      </c>
      <c r="F989" s="9" t="s">
        <v>69</v>
      </c>
      <c r="G989" s="13">
        <v>2.0</v>
      </c>
      <c r="H989" s="9" t="s">
        <v>70</v>
      </c>
      <c r="I989" s="9" t="s">
        <v>77</v>
      </c>
      <c r="J989" s="9" t="s">
        <v>79</v>
      </c>
      <c r="K989" s="9" t="s">
        <v>90</v>
      </c>
    </row>
    <row r="990" ht="15.75" customHeight="1">
      <c r="A990" s="10">
        <v>45142.0</v>
      </c>
      <c r="B990" s="11">
        <v>1.66681459E9</v>
      </c>
      <c r="C990" s="12" t="s">
        <v>952</v>
      </c>
      <c r="D990" s="11">
        <v>1.4660518E7</v>
      </c>
      <c r="E990" s="10">
        <v>45156.0</v>
      </c>
      <c r="F990" s="9" t="s">
        <v>69</v>
      </c>
      <c r="G990" s="13">
        <v>1.0</v>
      </c>
      <c r="H990" s="9" t="s">
        <v>70</v>
      </c>
      <c r="I990" s="9" t="s">
        <v>77</v>
      </c>
      <c r="J990" s="9" t="s">
        <v>79</v>
      </c>
      <c r="K990" s="9" t="s">
        <v>90</v>
      </c>
    </row>
    <row r="991" ht="15.75" customHeight="1">
      <c r="A991" s="10">
        <v>45146.0</v>
      </c>
      <c r="B991" s="11">
        <v>6.926862423E9</v>
      </c>
      <c r="C991" s="12" t="s">
        <v>953</v>
      </c>
      <c r="D991" s="11">
        <v>9.2213441E7</v>
      </c>
      <c r="E991" s="10">
        <v>45156.0</v>
      </c>
      <c r="F991" s="9" t="s">
        <v>69</v>
      </c>
      <c r="G991" s="13">
        <v>2.0</v>
      </c>
      <c r="H991" s="9" t="s">
        <v>70</v>
      </c>
      <c r="I991" s="9" t="s">
        <v>77</v>
      </c>
      <c r="J991" s="9" t="s">
        <v>79</v>
      </c>
      <c r="K991" s="9" t="s">
        <v>90</v>
      </c>
    </row>
    <row r="992" ht="15.75" customHeight="1">
      <c r="A992" s="10">
        <v>45146.0</v>
      </c>
      <c r="B992" s="11">
        <v>2.543793184E9</v>
      </c>
      <c r="C992" s="12" t="s">
        <v>953</v>
      </c>
      <c r="D992" s="11">
        <v>9.2213441E7</v>
      </c>
      <c r="E992" s="10">
        <v>45156.0</v>
      </c>
      <c r="F992" s="9" t="s">
        <v>69</v>
      </c>
      <c r="G992" s="13">
        <v>2.0</v>
      </c>
      <c r="H992" s="9" t="s">
        <v>70</v>
      </c>
      <c r="I992" s="9" t="s">
        <v>77</v>
      </c>
      <c r="J992" s="9" t="s">
        <v>79</v>
      </c>
      <c r="K992" s="9" t="s">
        <v>90</v>
      </c>
    </row>
    <row r="993" ht="15.75" customHeight="1">
      <c r="A993" s="10">
        <v>45148.0</v>
      </c>
      <c r="B993" s="11">
        <v>8.224352091E9</v>
      </c>
      <c r="C993" s="12" t="s">
        <v>953</v>
      </c>
      <c r="D993" s="11">
        <v>9.2213441E7</v>
      </c>
      <c r="E993" s="10">
        <v>45156.0</v>
      </c>
      <c r="F993" s="9" t="s">
        <v>69</v>
      </c>
      <c r="G993" s="13">
        <v>2.0</v>
      </c>
      <c r="H993" s="9" t="s">
        <v>70</v>
      </c>
      <c r="I993" s="9" t="s">
        <v>77</v>
      </c>
      <c r="J993" s="9" t="s">
        <v>98</v>
      </c>
      <c r="K993" s="9" t="s">
        <v>90</v>
      </c>
    </row>
    <row r="994" ht="15.75" customHeight="1">
      <c r="A994" s="10">
        <v>45149.0</v>
      </c>
      <c r="B994" s="11">
        <v>3.129384215E9</v>
      </c>
      <c r="C994" s="12" t="s">
        <v>954</v>
      </c>
      <c r="D994" s="11">
        <v>3.4880563E7</v>
      </c>
      <c r="E994" s="10">
        <v>45156.0</v>
      </c>
      <c r="F994" s="9" t="s">
        <v>69</v>
      </c>
      <c r="G994" s="13">
        <v>2.0</v>
      </c>
      <c r="H994" s="9" t="s">
        <v>70</v>
      </c>
      <c r="I994" s="9" t="s">
        <v>77</v>
      </c>
      <c r="J994" s="9" t="s">
        <v>98</v>
      </c>
      <c r="K994" s="9" t="s">
        <v>99</v>
      </c>
    </row>
    <row r="995" ht="15.75" customHeight="1">
      <c r="A995" s="10">
        <v>45149.0</v>
      </c>
      <c r="B995" s="11">
        <v>4.42268001E9</v>
      </c>
      <c r="C995" s="12" t="s">
        <v>955</v>
      </c>
      <c r="D995" s="11">
        <v>2.132756E7</v>
      </c>
      <c r="E995" s="10">
        <v>45156.0</v>
      </c>
      <c r="F995" s="9" t="s">
        <v>69</v>
      </c>
      <c r="G995" s="13">
        <v>2.0</v>
      </c>
      <c r="H995" s="9" t="s">
        <v>70</v>
      </c>
      <c r="I995" s="9" t="s">
        <v>77</v>
      </c>
      <c r="J995" s="9" t="s">
        <v>98</v>
      </c>
      <c r="K995" s="9" t="s">
        <v>99</v>
      </c>
    </row>
    <row r="996" ht="15.75" customHeight="1">
      <c r="A996" s="10">
        <v>45153.0</v>
      </c>
      <c r="B996" s="11">
        <v>6.980967641E9</v>
      </c>
      <c r="C996" s="12" t="s">
        <v>956</v>
      </c>
      <c r="D996" s="11">
        <v>4.2221237E7</v>
      </c>
      <c r="E996" s="10">
        <v>45156.0</v>
      </c>
      <c r="F996" s="9" t="s">
        <v>69</v>
      </c>
      <c r="G996" s="13">
        <v>1.0</v>
      </c>
      <c r="H996" s="9" t="s">
        <v>70</v>
      </c>
      <c r="I996" s="9" t="s">
        <v>77</v>
      </c>
      <c r="J996" s="9" t="s">
        <v>98</v>
      </c>
      <c r="K996" s="9" t="s">
        <v>99</v>
      </c>
    </row>
    <row r="997" ht="15.75" customHeight="1">
      <c r="A997" s="10">
        <v>45153.0</v>
      </c>
      <c r="B997" s="11">
        <v>1.167020875E9</v>
      </c>
      <c r="C997" s="12" t="s">
        <v>957</v>
      </c>
      <c r="D997" s="11">
        <v>3.5199957E7</v>
      </c>
      <c r="E997" s="10">
        <v>45156.0</v>
      </c>
      <c r="F997" s="9" t="s">
        <v>69</v>
      </c>
      <c r="G997" s="13">
        <v>3.0</v>
      </c>
      <c r="H997" s="9" t="s">
        <v>70</v>
      </c>
      <c r="I997" s="9" t="s">
        <v>77</v>
      </c>
      <c r="J997" s="9" t="s">
        <v>98</v>
      </c>
      <c r="K997" s="9" t="s">
        <v>99</v>
      </c>
    </row>
    <row r="998" ht="15.75" customHeight="1">
      <c r="A998" s="10">
        <v>45153.0</v>
      </c>
      <c r="B998" s="11">
        <v>8.433019803E9</v>
      </c>
      <c r="C998" s="12" t="s">
        <v>958</v>
      </c>
      <c r="D998" s="11">
        <v>9991406.0</v>
      </c>
      <c r="E998" s="10">
        <v>45156.0</v>
      </c>
      <c r="F998" s="9" t="s">
        <v>69</v>
      </c>
      <c r="G998" s="13">
        <v>3.0</v>
      </c>
      <c r="H998" s="9" t="s">
        <v>70</v>
      </c>
      <c r="I998" s="9" t="s">
        <v>77</v>
      </c>
      <c r="J998" s="9" t="s">
        <v>98</v>
      </c>
      <c r="K998" s="9" t="s">
        <v>99</v>
      </c>
    </row>
    <row r="999" ht="15.75" customHeight="1">
      <c r="A999" s="10">
        <v>45155.0</v>
      </c>
      <c r="B999" s="11">
        <v>1.551403162E9</v>
      </c>
      <c r="C999" s="12" t="s">
        <v>959</v>
      </c>
      <c r="D999" s="11">
        <v>3.1254098E7</v>
      </c>
      <c r="E999" s="10">
        <v>45156.0</v>
      </c>
      <c r="F999" s="9" t="s">
        <v>69</v>
      </c>
      <c r="G999" s="13">
        <v>1.0</v>
      </c>
      <c r="H999" s="9" t="s">
        <v>70</v>
      </c>
      <c r="I999" s="9" t="s">
        <v>77</v>
      </c>
      <c r="J999" s="9" t="s">
        <v>98</v>
      </c>
      <c r="K999" s="9" t="s">
        <v>99</v>
      </c>
    </row>
    <row r="1000" ht="15.75" customHeight="1">
      <c r="A1000" s="10">
        <v>45155.0</v>
      </c>
      <c r="B1000" s="11">
        <v>3.627739161E9</v>
      </c>
      <c r="C1000" s="12" t="s">
        <v>960</v>
      </c>
      <c r="D1000" s="11">
        <v>2.8223582E7</v>
      </c>
      <c r="E1000" s="10">
        <v>45156.0</v>
      </c>
      <c r="F1000" s="9" t="s">
        <v>69</v>
      </c>
      <c r="G1000" s="13">
        <v>3.0</v>
      </c>
      <c r="H1000" s="9" t="s">
        <v>116</v>
      </c>
      <c r="I1000" s="9" t="s">
        <v>71</v>
      </c>
      <c r="J1000" s="9" t="s">
        <v>98</v>
      </c>
      <c r="K1000" s="9" t="s">
        <v>99</v>
      </c>
    </row>
    <row r="1001" ht="15.75" customHeight="1">
      <c r="A1001" s="10">
        <v>45155.0</v>
      </c>
      <c r="B1001" s="11">
        <v>2.992440581E9</v>
      </c>
      <c r="C1001" s="12" t="s">
        <v>961</v>
      </c>
      <c r="D1001" s="11">
        <v>1.0221871E7</v>
      </c>
      <c r="E1001" s="10">
        <v>45156.0</v>
      </c>
      <c r="F1001" s="9" t="s">
        <v>69</v>
      </c>
      <c r="G1001" s="13">
        <v>3.0</v>
      </c>
      <c r="H1001" s="9" t="s">
        <v>116</v>
      </c>
      <c r="I1001" s="9" t="s">
        <v>71</v>
      </c>
      <c r="J1001" s="9" t="s">
        <v>98</v>
      </c>
      <c r="K1001" s="9" t="s">
        <v>99</v>
      </c>
    </row>
    <row r="1002" ht="15.75" customHeight="1">
      <c r="A1002" s="10">
        <v>45155.0</v>
      </c>
      <c r="B1002" s="11">
        <v>7.736457271E9</v>
      </c>
      <c r="C1002" s="12" t="s">
        <v>962</v>
      </c>
      <c r="D1002" s="11">
        <v>3.3540099E7</v>
      </c>
      <c r="E1002" s="10">
        <v>45156.0</v>
      </c>
      <c r="F1002" s="9" t="s">
        <v>69</v>
      </c>
      <c r="G1002" s="13">
        <v>3.0</v>
      </c>
      <c r="H1002" s="9" t="s">
        <v>116</v>
      </c>
      <c r="I1002" s="9" t="s">
        <v>71</v>
      </c>
      <c r="J1002" s="9" t="s">
        <v>79</v>
      </c>
      <c r="K1002" s="9" t="s">
        <v>99</v>
      </c>
    </row>
    <row r="1003" ht="15.75" customHeight="1">
      <c r="A1003" s="10">
        <v>45155.0</v>
      </c>
      <c r="B1003" s="11">
        <v>5.767447814E9</v>
      </c>
      <c r="C1003" s="12" t="s">
        <v>963</v>
      </c>
      <c r="D1003" s="11">
        <v>1.7494558E7</v>
      </c>
      <c r="E1003" s="10">
        <v>45156.0</v>
      </c>
      <c r="F1003" s="9" t="s">
        <v>69</v>
      </c>
      <c r="G1003" s="13">
        <v>3.0</v>
      </c>
      <c r="H1003" s="9" t="s">
        <v>116</v>
      </c>
      <c r="I1003" s="9" t="s">
        <v>71</v>
      </c>
      <c r="J1003" s="9" t="s">
        <v>79</v>
      </c>
      <c r="K1003" s="9" t="s">
        <v>99</v>
      </c>
    </row>
    <row r="1004" ht="15.75" customHeight="1">
      <c r="A1004" s="10">
        <v>45156.0</v>
      </c>
      <c r="B1004" s="11">
        <v>7.389475015E9</v>
      </c>
      <c r="C1004" s="12" t="s">
        <v>964</v>
      </c>
      <c r="D1004" s="11">
        <v>1.4351678E7</v>
      </c>
      <c r="E1004" s="10">
        <v>45156.0</v>
      </c>
      <c r="F1004" s="9" t="s">
        <v>69</v>
      </c>
      <c r="G1004" s="13">
        <v>3.0</v>
      </c>
      <c r="H1004" s="9" t="s">
        <v>106</v>
      </c>
      <c r="I1004" s="9" t="s">
        <v>71</v>
      </c>
      <c r="J1004" s="9" t="s">
        <v>79</v>
      </c>
      <c r="K1004" s="9" t="s">
        <v>84</v>
      </c>
    </row>
    <row r="1005" ht="15.75" customHeight="1">
      <c r="A1005" s="10">
        <v>45132.0</v>
      </c>
      <c r="B1005" s="11">
        <v>3.750197964E9</v>
      </c>
      <c r="C1005" s="12" t="s">
        <v>965</v>
      </c>
      <c r="D1005" s="11">
        <v>3.1857755E7</v>
      </c>
      <c r="E1005" s="10">
        <v>45160.0</v>
      </c>
      <c r="F1005" s="9" t="s">
        <v>76</v>
      </c>
      <c r="G1005" s="13">
        <v>1.0</v>
      </c>
      <c r="H1005" s="9" t="s">
        <v>106</v>
      </c>
      <c r="I1005" s="9" t="s">
        <v>71</v>
      </c>
      <c r="J1005" s="9" t="s">
        <v>79</v>
      </c>
      <c r="K1005" s="9" t="s">
        <v>84</v>
      </c>
    </row>
    <row r="1006" ht="15.75" customHeight="1">
      <c r="A1006" s="10">
        <v>45135.0</v>
      </c>
      <c r="B1006" s="11">
        <v>8.395504246E9</v>
      </c>
      <c r="C1006" s="12" t="s">
        <v>966</v>
      </c>
      <c r="D1006" s="11">
        <v>1.8667678E7</v>
      </c>
      <c r="E1006" s="10">
        <v>45160.0</v>
      </c>
      <c r="F1006" s="9" t="s">
        <v>69</v>
      </c>
      <c r="G1006" s="13">
        <v>3.0</v>
      </c>
      <c r="H1006" s="9" t="s">
        <v>106</v>
      </c>
      <c r="I1006" s="9" t="s">
        <v>71</v>
      </c>
      <c r="J1006" s="9" t="s">
        <v>83</v>
      </c>
      <c r="K1006" s="9" t="s">
        <v>84</v>
      </c>
    </row>
    <row r="1007" ht="15.75" customHeight="1">
      <c r="A1007" s="10">
        <v>45148.0</v>
      </c>
      <c r="B1007" s="11">
        <v>6.697679074E9</v>
      </c>
      <c r="C1007" s="12" t="s">
        <v>967</v>
      </c>
      <c r="D1007" s="11">
        <v>4.3565194E7</v>
      </c>
      <c r="E1007" s="10">
        <v>45160.0</v>
      </c>
      <c r="F1007" s="9" t="s">
        <v>69</v>
      </c>
      <c r="G1007" s="13">
        <v>3.0</v>
      </c>
      <c r="H1007" s="9" t="s">
        <v>106</v>
      </c>
      <c r="I1007" s="9" t="s">
        <v>71</v>
      </c>
      <c r="J1007" s="9" t="s">
        <v>83</v>
      </c>
      <c r="K1007" s="9" t="s">
        <v>84</v>
      </c>
    </row>
    <row r="1008" ht="15.75" customHeight="1">
      <c r="A1008" s="10">
        <v>45148.0</v>
      </c>
      <c r="B1008" s="11">
        <v>9.80888111E9</v>
      </c>
      <c r="C1008" s="12" t="s">
        <v>968</v>
      </c>
      <c r="D1008" s="11">
        <v>2.6445714E7</v>
      </c>
      <c r="E1008" s="10">
        <v>45160.0</v>
      </c>
      <c r="F1008" s="9" t="s">
        <v>69</v>
      </c>
      <c r="G1008" s="13">
        <v>3.0</v>
      </c>
      <c r="H1008" s="9" t="s">
        <v>106</v>
      </c>
      <c r="I1008" s="9" t="s">
        <v>71</v>
      </c>
      <c r="J1008" s="9" t="s">
        <v>83</v>
      </c>
      <c r="K1008" s="9" t="s">
        <v>84</v>
      </c>
    </row>
    <row r="1009" ht="15.75" customHeight="1">
      <c r="A1009" s="10">
        <v>45148.0</v>
      </c>
      <c r="B1009" s="11">
        <v>6.37030639E9</v>
      </c>
      <c r="C1009" s="12" t="s">
        <v>969</v>
      </c>
      <c r="D1009" s="11">
        <v>3.3163423E7</v>
      </c>
      <c r="E1009" s="10">
        <v>45160.0</v>
      </c>
      <c r="F1009" s="9" t="s">
        <v>69</v>
      </c>
      <c r="G1009" s="13">
        <v>3.0</v>
      </c>
      <c r="H1009" s="9" t="s">
        <v>106</v>
      </c>
      <c r="I1009" s="9" t="s">
        <v>71</v>
      </c>
      <c r="J1009" s="9" t="s">
        <v>83</v>
      </c>
      <c r="K1009" s="9" t="s">
        <v>84</v>
      </c>
    </row>
    <row r="1010" ht="15.75" customHeight="1">
      <c r="A1010" s="10">
        <v>45148.0</v>
      </c>
      <c r="B1010" s="11">
        <v>5.772041822E9</v>
      </c>
      <c r="C1010" s="12" t="s">
        <v>969</v>
      </c>
      <c r="D1010" s="11">
        <v>3.3163423E7</v>
      </c>
      <c r="E1010" s="10">
        <v>45160.0</v>
      </c>
      <c r="F1010" s="9" t="s">
        <v>76</v>
      </c>
      <c r="G1010" s="13">
        <v>1.0</v>
      </c>
      <c r="H1010" s="9" t="s">
        <v>112</v>
      </c>
      <c r="I1010" s="9" t="s">
        <v>71</v>
      </c>
      <c r="J1010" s="9" t="s">
        <v>83</v>
      </c>
      <c r="K1010" s="9" t="s">
        <v>84</v>
      </c>
    </row>
    <row r="1011" ht="15.75" customHeight="1">
      <c r="A1011" s="10">
        <v>45149.0</v>
      </c>
      <c r="B1011" s="11">
        <v>3.1293934E9</v>
      </c>
      <c r="C1011" s="12" t="s">
        <v>970</v>
      </c>
      <c r="D1011" s="11">
        <v>3.2513725E7</v>
      </c>
      <c r="E1011" s="10">
        <v>45160.0</v>
      </c>
      <c r="F1011" s="9" t="s">
        <v>76</v>
      </c>
      <c r="G1011" s="13">
        <v>2.0</v>
      </c>
      <c r="H1011" s="9" t="s">
        <v>112</v>
      </c>
      <c r="I1011" s="9" t="s">
        <v>71</v>
      </c>
      <c r="J1011" s="9" t="s">
        <v>83</v>
      </c>
      <c r="K1011" s="9" t="s">
        <v>84</v>
      </c>
    </row>
    <row r="1012" ht="15.75" customHeight="1">
      <c r="A1012" s="10">
        <v>45153.0</v>
      </c>
      <c r="B1012" s="11">
        <v>1.453095906E9</v>
      </c>
      <c r="C1012" s="12" t="s">
        <v>971</v>
      </c>
      <c r="D1012" s="11">
        <v>4.2939905E7</v>
      </c>
      <c r="E1012" s="10">
        <v>45160.0</v>
      </c>
      <c r="F1012" s="9" t="s">
        <v>69</v>
      </c>
      <c r="G1012" s="13">
        <v>2.0</v>
      </c>
      <c r="H1012" s="9" t="s">
        <v>112</v>
      </c>
      <c r="I1012" s="9" t="s">
        <v>77</v>
      </c>
      <c r="J1012" s="9" t="s">
        <v>83</v>
      </c>
      <c r="K1012" s="9" t="s">
        <v>84</v>
      </c>
    </row>
    <row r="1013" ht="15.75" customHeight="1">
      <c r="A1013" s="10">
        <v>45153.0</v>
      </c>
      <c r="B1013" s="11">
        <v>1.453169454E9</v>
      </c>
      <c r="C1013" s="12" t="s">
        <v>631</v>
      </c>
      <c r="D1013" s="11">
        <v>2.5923253E7</v>
      </c>
      <c r="E1013" s="10">
        <v>45160.0</v>
      </c>
      <c r="F1013" s="9" t="s">
        <v>69</v>
      </c>
      <c r="G1013" s="13">
        <v>2.0</v>
      </c>
      <c r="H1013" s="9" t="s">
        <v>112</v>
      </c>
      <c r="I1013" s="9" t="s">
        <v>77</v>
      </c>
      <c r="J1013" s="9" t="s">
        <v>83</v>
      </c>
      <c r="K1013" s="9" t="s">
        <v>84</v>
      </c>
    </row>
    <row r="1014" ht="15.75" customHeight="1">
      <c r="A1014" s="10">
        <v>45155.0</v>
      </c>
      <c r="B1014" s="11">
        <v>8.236538494E9</v>
      </c>
      <c r="C1014" s="12" t="s">
        <v>972</v>
      </c>
      <c r="D1014" s="11">
        <v>3.9480673E7</v>
      </c>
      <c r="E1014" s="10">
        <v>45160.0</v>
      </c>
      <c r="F1014" s="9" t="s">
        <v>69</v>
      </c>
      <c r="G1014" s="13">
        <v>2.0</v>
      </c>
      <c r="H1014" s="9" t="s">
        <v>112</v>
      </c>
      <c r="I1014" s="9" t="s">
        <v>77</v>
      </c>
      <c r="J1014" s="9" t="s">
        <v>72</v>
      </c>
      <c r="K1014" s="9" t="s">
        <v>84</v>
      </c>
    </row>
    <row r="1015" ht="15.75" customHeight="1">
      <c r="A1015" s="10">
        <v>45155.0</v>
      </c>
      <c r="B1015" s="11">
        <v>9.781204145E9</v>
      </c>
      <c r="C1015" s="12" t="s">
        <v>973</v>
      </c>
      <c r="D1015" s="11">
        <v>2.7751553E7</v>
      </c>
      <c r="E1015" s="10">
        <v>45160.0</v>
      </c>
      <c r="F1015" s="9" t="s">
        <v>76</v>
      </c>
      <c r="G1015" s="13">
        <v>3.0</v>
      </c>
      <c r="H1015" s="9" t="s">
        <v>112</v>
      </c>
      <c r="I1015" s="9" t="s">
        <v>77</v>
      </c>
      <c r="J1015" s="9" t="s">
        <v>72</v>
      </c>
      <c r="K1015" s="9" t="s">
        <v>84</v>
      </c>
    </row>
    <row r="1016" ht="15.75" customHeight="1">
      <c r="A1016" s="10">
        <v>45156.0</v>
      </c>
      <c r="B1016" s="11">
        <v>1.172868561E9</v>
      </c>
      <c r="C1016" s="12" t="s">
        <v>974</v>
      </c>
      <c r="D1016" s="11">
        <v>1.2606837E7</v>
      </c>
      <c r="E1016" s="10">
        <v>45160.0</v>
      </c>
      <c r="F1016" s="9" t="s">
        <v>69</v>
      </c>
      <c r="G1016" s="13">
        <v>3.0</v>
      </c>
      <c r="H1016" s="9" t="s">
        <v>106</v>
      </c>
      <c r="I1016" s="9" t="s">
        <v>77</v>
      </c>
      <c r="J1016" s="9" t="s">
        <v>72</v>
      </c>
      <c r="K1016" s="9" t="s">
        <v>84</v>
      </c>
    </row>
    <row r="1017" ht="15.75" customHeight="1">
      <c r="A1017" s="10">
        <v>45156.0</v>
      </c>
      <c r="B1017" s="11">
        <v>4.806951645E9</v>
      </c>
      <c r="C1017" s="12" t="s">
        <v>974</v>
      </c>
      <c r="D1017" s="11">
        <v>1.2606837E7</v>
      </c>
      <c r="E1017" s="10">
        <v>45160.0</v>
      </c>
      <c r="F1017" s="9" t="s">
        <v>69</v>
      </c>
      <c r="G1017" s="13">
        <v>1.0</v>
      </c>
      <c r="H1017" s="9" t="s">
        <v>106</v>
      </c>
      <c r="I1017" s="9" t="s">
        <v>77</v>
      </c>
      <c r="J1017" s="9" t="s">
        <v>72</v>
      </c>
      <c r="K1017" s="9" t="s">
        <v>84</v>
      </c>
    </row>
    <row r="1018" ht="15.75" customHeight="1">
      <c r="A1018" s="10">
        <v>45156.0</v>
      </c>
      <c r="B1018" s="11">
        <v>8.41815821E9</v>
      </c>
      <c r="C1018" s="12" t="s">
        <v>975</v>
      </c>
      <c r="D1018" s="11">
        <v>3.4287674E7</v>
      </c>
      <c r="E1018" s="10">
        <v>45160.0</v>
      </c>
      <c r="F1018" s="9" t="s">
        <v>69</v>
      </c>
      <c r="G1018" s="13">
        <v>3.0</v>
      </c>
      <c r="H1018" s="9" t="s">
        <v>106</v>
      </c>
      <c r="I1018" s="9" t="s">
        <v>77</v>
      </c>
      <c r="J1018" s="9" t="s">
        <v>72</v>
      </c>
      <c r="K1018" s="9" t="s">
        <v>84</v>
      </c>
    </row>
    <row r="1019" ht="15.75" customHeight="1">
      <c r="A1019" s="10">
        <v>45156.0</v>
      </c>
      <c r="B1019" s="11">
        <v>6.770850236E9</v>
      </c>
      <c r="C1019" s="12" t="s">
        <v>976</v>
      </c>
      <c r="D1019" s="11">
        <v>2.69708E7</v>
      </c>
      <c r="E1019" s="10">
        <v>45160.0</v>
      </c>
      <c r="F1019" s="9" t="s">
        <v>69</v>
      </c>
      <c r="G1019" s="13">
        <v>2.0</v>
      </c>
      <c r="H1019" s="9" t="s">
        <v>106</v>
      </c>
      <c r="I1019" s="9" t="s">
        <v>77</v>
      </c>
      <c r="J1019" s="9" t="s">
        <v>72</v>
      </c>
      <c r="K1019" s="9" t="s">
        <v>217</v>
      </c>
    </row>
    <row r="1020" ht="15.75" customHeight="1">
      <c r="A1020" s="10">
        <v>45156.0</v>
      </c>
      <c r="B1020" s="11">
        <v>1.470565493E9</v>
      </c>
      <c r="C1020" s="12" t="s">
        <v>977</v>
      </c>
      <c r="D1020" s="11">
        <v>2.2283931E7</v>
      </c>
      <c r="E1020" s="10">
        <v>45160.0</v>
      </c>
      <c r="F1020" s="9" t="s">
        <v>76</v>
      </c>
      <c r="G1020" s="13">
        <v>2.0</v>
      </c>
      <c r="H1020" s="9" t="s">
        <v>106</v>
      </c>
      <c r="I1020" s="9" t="s">
        <v>77</v>
      </c>
      <c r="J1020" s="9" t="s">
        <v>72</v>
      </c>
      <c r="K1020" s="9" t="s">
        <v>217</v>
      </c>
    </row>
    <row r="1021" ht="15.75" customHeight="1">
      <c r="A1021" s="10">
        <v>45160.0</v>
      </c>
      <c r="B1021" s="11">
        <v>6.162485571E9</v>
      </c>
      <c r="C1021" s="12" t="s">
        <v>978</v>
      </c>
      <c r="D1021" s="11">
        <v>3.935914E7</v>
      </c>
      <c r="E1021" s="10">
        <v>45160.0</v>
      </c>
      <c r="F1021" s="9" t="s">
        <v>69</v>
      </c>
      <c r="G1021" s="13">
        <v>2.0</v>
      </c>
      <c r="H1021" s="9" t="s">
        <v>81</v>
      </c>
      <c r="I1021" s="9" t="s">
        <v>88</v>
      </c>
      <c r="J1021" s="9" t="s">
        <v>72</v>
      </c>
      <c r="K1021" s="9" t="s">
        <v>217</v>
      </c>
    </row>
    <row r="1022" ht="15.75" customHeight="1">
      <c r="A1022" s="10">
        <v>45160.0</v>
      </c>
      <c r="B1022" s="11">
        <v>6.162522715E9</v>
      </c>
      <c r="C1022" s="12" t="s">
        <v>979</v>
      </c>
      <c r="D1022" s="11">
        <v>1.668572E7</v>
      </c>
      <c r="E1022" s="10">
        <v>45160.0</v>
      </c>
      <c r="F1022" s="9" t="s">
        <v>69</v>
      </c>
      <c r="G1022" s="13">
        <v>3.0</v>
      </c>
      <c r="H1022" s="9" t="s">
        <v>81</v>
      </c>
      <c r="I1022" s="9" t="s">
        <v>88</v>
      </c>
      <c r="J1022" s="9" t="s">
        <v>72</v>
      </c>
      <c r="K1022" s="9" t="s">
        <v>217</v>
      </c>
    </row>
    <row r="1023" ht="15.75" customHeight="1">
      <c r="A1023" s="10">
        <v>45160.0</v>
      </c>
      <c r="B1023" s="11">
        <v>7.954957765E9</v>
      </c>
      <c r="C1023" s="12" t="s">
        <v>980</v>
      </c>
      <c r="D1023" s="11">
        <v>2.4981488E7</v>
      </c>
      <c r="E1023" s="10">
        <v>45160.0</v>
      </c>
      <c r="F1023" s="9" t="s">
        <v>69</v>
      </c>
      <c r="G1023" s="13">
        <v>3.0</v>
      </c>
      <c r="H1023" s="9" t="s">
        <v>81</v>
      </c>
      <c r="I1023" s="9" t="s">
        <v>88</v>
      </c>
      <c r="J1023" s="9" t="s">
        <v>72</v>
      </c>
      <c r="K1023" s="9" t="s">
        <v>107</v>
      </c>
    </row>
    <row r="1024" ht="15.75" customHeight="1">
      <c r="A1024" s="10">
        <v>45160.0</v>
      </c>
      <c r="B1024" s="11">
        <v>1.754088184E9</v>
      </c>
      <c r="C1024" s="12" t="s">
        <v>980</v>
      </c>
      <c r="D1024" s="11">
        <v>2.4981488E7</v>
      </c>
      <c r="E1024" s="10">
        <v>45160.0</v>
      </c>
      <c r="F1024" s="9" t="s">
        <v>69</v>
      </c>
      <c r="G1024" s="13">
        <v>3.0</v>
      </c>
      <c r="H1024" s="9" t="s">
        <v>92</v>
      </c>
      <c r="I1024" s="9" t="s">
        <v>88</v>
      </c>
      <c r="J1024" s="9" t="s">
        <v>93</v>
      </c>
      <c r="K1024" s="9" t="s">
        <v>107</v>
      </c>
    </row>
    <row r="1025" ht="15.75" customHeight="1">
      <c r="A1025" s="10">
        <v>45160.0</v>
      </c>
      <c r="B1025" s="11">
        <v>4.270403362E9</v>
      </c>
      <c r="C1025" s="12" t="s">
        <v>980</v>
      </c>
      <c r="D1025" s="11">
        <v>2.4981488E7</v>
      </c>
      <c r="E1025" s="10">
        <v>45160.0</v>
      </c>
      <c r="F1025" s="9" t="s">
        <v>76</v>
      </c>
      <c r="G1025" s="13">
        <v>3.0</v>
      </c>
      <c r="H1025" s="9" t="s">
        <v>92</v>
      </c>
      <c r="I1025" s="9" t="s">
        <v>88</v>
      </c>
      <c r="J1025" s="9" t="s">
        <v>93</v>
      </c>
      <c r="K1025" s="9" t="s">
        <v>107</v>
      </c>
    </row>
    <row r="1026" ht="15.75" customHeight="1">
      <c r="A1026" s="10">
        <v>45139.0</v>
      </c>
      <c r="B1026" s="11">
        <v>5.417491516E9</v>
      </c>
      <c r="C1026" s="12" t="s">
        <v>981</v>
      </c>
      <c r="D1026" s="11">
        <v>3.0442057E7</v>
      </c>
      <c r="E1026" s="10">
        <v>45161.0</v>
      </c>
      <c r="F1026" s="9" t="s">
        <v>69</v>
      </c>
      <c r="G1026" s="13">
        <v>3.0</v>
      </c>
      <c r="H1026" s="9" t="s">
        <v>92</v>
      </c>
      <c r="I1026" s="9" t="s">
        <v>88</v>
      </c>
      <c r="J1026" s="9" t="s">
        <v>93</v>
      </c>
      <c r="K1026" s="9" t="s">
        <v>107</v>
      </c>
    </row>
    <row r="1027" ht="15.75" customHeight="1">
      <c r="A1027" s="10">
        <v>45153.0</v>
      </c>
      <c r="B1027" s="11">
        <v>6.980973996E9</v>
      </c>
      <c r="C1027" s="12" t="s">
        <v>982</v>
      </c>
      <c r="D1027" s="11">
        <v>2.3171388E7</v>
      </c>
      <c r="E1027" s="10">
        <v>45161.0</v>
      </c>
      <c r="F1027" s="9" t="s">
        <v>69</v>
      </c>
      <c r="G1027" s="13">
        <v>2.0</v>
      </c>
      <c r="H1027" s="9" t="s">
        <v>92</v>
      </c>
      <c r="I1027" s="9" t="s">
        <v>88</v>
      </c>
      <c r="J1027" s="9" t="s">
        <v>93</v>
      </c>
      <c r="K1027" s="9" t="s">
        <v>107</v>
      </c>
    </row>
    <row r="1028" ht="15.75" customHeight="1">
      <c r="A1028" s="10">
        <v>45156.0</v>
      </c>
      <c r="B1028" s="11">
        <v>1.172854524E9</v>
      </c>
      <c r="C1028" s="12" t="s">
        <v>983</v>
      </c>
      <c r="D1028" s="11">
        <v>2.7345521E7</v>
      </c>
      <c r="E1028" s="10">
        <v>45161.0</v>
      </c>
      <c r="F1028" s="9" t="s">
        <v>69</v>
      </c>
      <c r="G1028" s="13">
        <v>2.0</v>
      </c>
      <c r="H1028" s="9" t="s">
        <v>116</v>
      </c>
      <c r="I1028" s="9" t="s">
        <v>88</v>
      </c>
      <c r="J1028" s="9" t="s">
        <v>93</v>
      </c>
      <c r="K1028" s="9" t="s">
        <v>107</v>
      </c>
    </row>
    <row r="1029" ht="15.75" customHeight="1">
      <c r="A1029" s="10">
        <v>45156.0</v>
      </c>
      <c r="B1029" s="11">
        <v>7.160078376E9</v>
      </c>
      <c r="C1029" s="12" t="s">
        <v>984</v>
      </c>
      <c r="D1029" s="11">
        <v>3.2476005E7</v>
      </c>
      <c r="E1029" s="10">
        <v>45161.0</v>
      </c>
      <c r="F1029" s="9" t="s">
        <v>69</v>
      </c>
      <c r="G1029" s="13">
        <v>1.0</v>
      </c>
      <c r="H1029" s="9" t="s">
        <v>116</v>
      </c>
      <c r="I1029" s="9" t="s">
        <v>88</v>
      </c>
      <c r="J1029" s="9" t="s">
        <v>93</v>
      </c>
      <c r="K1029" s="9" t="s">
        <v>107</v>
      </c>
    </row>
    <row r="1030" ht="15.75" customHeight="1">
      <c r="A1030" s="10">
        <v>45160.0</v>
      </c>
      <c r="B1030" s="11">
        <v>2.34081771E9</v>
      </c>
      <c r="C1030" s="12" t="s">
        <v>985</v>
      </c>
      <c r="D1030" s="11">
        <v>2.5498003E7</v>
      </c>
      <c r="E1030" s="10">
        <v>45161.0</v>
      </c>
      <c r="F1030" s="9" t="s">
        <v>69</v>
      </c>
      <c r="G1030" s="13">
        <v>2.0</v>
      </c>
      <c r="H1030" s="9" t="s">
        <v>116</v>
      </c>
      <c r="I1030" s="9" t="s">
        <v>88</v>
      </c>
      <c r="J1030" s="9" t="s">
        <v>93</v>
      </c>
      <c r="K1030" s="9" t="s">
        <v>73</v>
      </c>
    </row>
    <row r="1031" ht="15.75" customHeight="1">
      <c r="A1031" s="10">
        <v>45160.0</v>
      </c>
      <c r="B1031" s="11">
        <v>5.162230662E9</v>
      </c>
      <c r="C1031" s="12" t="s">
        <v>986</v>
      </c>
      <c r="D1031" s="11">
        <v>2.5211622E7</v>
      </c>
      <c r="E1031" s="10">
        <v>45161.0</v>
      </c>
      <c r="F1031" s="9" t="s">
        <v>76</v>
      </c>
      <c r="G1031" s="13">
        <v>2.0</v>
      </c>
      <c r="H1031" s="9" t="s">
        <v>116</v>
      </c>
      <c r="I1031" s="9" t="s">
        <v>88</v>
      </c>
      <c r="J1031" s="9" t="s">
        <v>93</v>
      </c>
      <c r="K1031" s="9" t="s">
        <v>73</v>
      </c>
    </row>
    <row r="1032" ht="15.75" customHeight="1">
      <c r="A1032" s="10">
        <v>45160.0</v>
      </c>
      <c r="B1032" s="11">
        <v>4.105956481E9</v>
      </c>
      <c r="C1032" s="12" t="s">
        <v>986</v>
      </c>
      <c r="D1032" s="11">
        <v>2.5211622E7</v>
      </c>
      <c r="E1032" s="10">
        <v>45161.0</v>
      </c>
      <c r="F1032" s="9" t="s">
        <v>69</v>
      </c>
      <c r="G1032" s="13">
        <v>2.0</v>
      </c>
      <c r="H1032" s="9" t="s">
        <v>116</v>
      </c>
      <c r="I1032" s="9" t="s">
        <v>88</v>
      </c>
      <c r="J1032" s="9" t="s">
        <v>93</v>
      </c>
      <c r="K1032" s="9" t="s">
        <v>73</v>
      </c>
    </row>
    <row r="1033" ht="15.75" customHeight="1">
      <c r="A1033" s="10">
        <v>45160.0</v>
      </c>
      <c r="B1033" s="11">
        <v>4.125468001E9</v>
      </c>
      <c r="C1033" s="12" t="s">
        <v>987</v>
      </c>
      <c r="D1033" s="11">
        <v>2.7210043E7</v>
      </c>
      <c r="E1033" s="10">
        <v>45161.0</v>
      </c>
      <c r="F1033" s="9" t="s">
        <v>69</v>
      </c>
      <c r="G1033" s="13">
        <v>2.0</v>
      </c>
      <c r="H1033" s="9" t="s">
        <v>116</v>
      </c>
      <c r="I1033" s="9" t="s">
        <v>88</v>
      </c>
      <c r="J1033" s="9" t="s">
        <v>93</v>
      </c>
      <c r="K1033" s="9" t="s">
        <v>73</v>
      </c>
    </row>
    <row r="1034" ht="15.75" customHeight="1">
      <c r="A1034" s="10">
        <v>45160.0</v>
      </c>
      <c r="B1034" s="11">
        <v>3.32728046E9</v>
      </c>
      <c r="C1034" s="12" t="s">
        <v>987</v>
      </c>
      <c r="D1034" s="11">
        <v>2.7210043E7</v>
      </c>
      <c r="E1034" s="10">
        <v>45161.0</v>
      </c>
      <c r="F1034" s="9" t="s">
        <v>76</v>
      </c>
      <c r="G1034" s="13">
        <v>4.0</v>
      </c>
      <c r="H1034" s="9" t="s">
        <v>116</v>
      </c>
      <c r="I1034" s="9" t="s">
        <v>88</v>
      </c>
      <c r="J1034" s="9" t="s">
        <v>72</v>
      </c>
      <c r="K1034" s="9" t="s">
        <v>73</v>
      </c>
    </row>
    <row r="1035" ht="15.75" customHeight="1">
      <c r="A1035" s="10">
        <v>45160.0</v>
      </c>
      <c r="B1035" s="11">
        <v>8.398236335E9</v>
      </c>
      <c r="C1035" s="12" t="s">
        <v>988</v>
      </c>
      <c r="D1035" s="11">
        <v>4.0326505E7</v>
      </c>
      <c r="E1035" s="10">
        <v>45161.0</v>
      </c>
      <c r="F1035" s="9" t="s">
        <v>76</v>
      </c>
      <c r="G1035" s="13">
        <v>3.0</v>
      </c>
      <c r="H1035" s="9" t="s">
        <v>116</v>
      </c>
      <c r="I1035" s="9" t="s">
        <v>88</v>
      </c>
      <c r="J1035" s="9" t="s">
        <v>72</v>
      </c>
      <c r="K1035" s="9" t="s">
        <v>73</v>
      </c>
    </row>
    <row r="1036" ht="15.75" customHeight="1">
      <c r="A1036" s="10">
        <v>45160.0</v>
      </c>
      <c r="B1036" s="11">
        <v>1.812049923E9</v>
      </c>
      <c r="C1036" s="12" t="s">
        <v>989</v>
      </c>
      <c r="D1036" s="11">
        <v>2.2336694E7</v>
      </c>
      <c r="E1036" s="10">
        <v>45161.0</v>
      </c>
      <c r="F1036" s="9" t="s">
        <v>76</v>
      </c>
      <c r="G1036" s="13">
        <v>3.0</v>
      </c>
      <c r="H1036" s="9" t="s">
        <v>116</v>
      </c>
      <c r="I1036" s="9" t="s">
        <v>71</v>
      </c>
      <c r="J1036" s="9" t="s">
        <v>72</v>
      </c>
      <c r="K1036" s="9" t="s">
        <v>73</v>
      </c>
    </row>
    <row r="1037" ht="15.75" customHeight="1">
      <c r="A1037" s="10">
        <v>45160.0</v>
      </c>
      <c r="B1037" s="11">
        <v>4.560525266E9</v>
      </c>
      <c r="C1037" s="12" t="s">
        <v>990</v>
      </c>
      <c r="D1037" s="11">
        <v>4.5184298E7</v>
      </c>
      <c r="E1037" s="10">
        <v>45161.0</v>
      </c>
      <c r="F1037" s="9" t="s">
        <v>76</v>
      </c>
      <c r="G1037" s="13">
        <v>1.0</v>
      </c>
      <c r="H1037" s="9" t="s">
        <v>116</v>
      </c>
      <c r="I1037" s="9" t="s">
        <v>71</v>
      </c>
      <c r="J1037" s="9" t="s">
        <v>72</v>
      </c>
      <c r="K1037" s="9" t="s">
        <v>73</v>
      </c>
    </row>
    <row r="1038" ht="15.75" customHeight="1">
      <c r="A1038" s="10">
        <v>45133.0</v>
      </c>
      <c r="B1038" s="11">
        <v>3.287356796E9</v>
      </c>
      <c r="C1038" s="12" t="s">
        <v>991</v>
      </c>
      <c r="D1038" s="11">
        <v>4.3564956E7</v>
      </c>
      <c r="E1038" s="10">
        <v>45162.0</v>
      </c>
      <c r="F1038" s="9" t="s">
        <v>69</v>
      </c>
      <c r="G1038" s="13">
        <v>1.0</v>
      </c>
      <c r="H1038" s="9" t="s">
        <v>116</v>
      </c>
      <c r="I1038" s="9" t="s">
        <v>71</v>
      </c>
      <c r="J1038" s="9" t="s">
        <v>72</v>
      </c>
      <c r="K1038" s="9" t="s">
        <v>73</v>
      </c>
    </row>
    <row r="1039" ht="15.75" customHeight="1">
      <c r="A1039" s="10">
        <v>45134.0</v>
      </c>
      <c r="B1039" s="11">
        <v>3.437971003E9</v>
      </c>
      <c r="C1039" s="12" t="s">
        <v>991</v>
      </c>
      <c r="D1039" s="11">
        <v>4.3564956E7</v>
      </c>
      <c r="E1039" s="10">
        <v>45162.0</v>
      </c>
      <c r="F1039" s="9" t="s">
        <v>69</v>
      </c>
      <c r="G1039" s="13">
        <v>1.0</v>
      </c>
      <c r="H1039" s="9" t="s">
        <v>116</v>
      </c>
      <c r="I1039" s="9" t="s">
        <v>71</v>
      </c>
      <c r="J1039" s="9" t="s">
        <v>72</v>
      </c>
      <c r="K1039" s="9" t="s">
        <v>73</v>
      </c>
    </row>
    <row r="1040" ht="15.75" customHeight="1">
      <c r="A1040" s="10">
        <v>45139.0</v>
      </c>
      <c r="B1040" s="11">
        <v>3.633846381E9</v>
      </c>
      <c r="C1040" s="12" t="s">
        <v>991</v>
      </c>
      <c r="D1040" s="11">
        <v>4.3564956E7</v>
      </c>
      <c r="E1040" s="10">
        <v>45162.0</v>
      </c>
      <c r="F1040" s="9" t="s">
        <v>69</v>
      </c>
      <c r="G1040" s="13">
        <v>3.0</v>
      </c>
      <c r="H1040" s="9" t="s">
        <v>116</v>
      </c>
      <c r="I1040" s="9" t="s">
        <v>71</v>
      </c>
      <c r="J1040" s="9" t="s">
        <v>72</v>
      </c>
      <c r="K1040" s="9" t="s">
        <v>73</v>
      </c>
    </row>
    <row r="1041" ht="15.75" customHeight="1">
      <c r="A1041" s="10">
        <v>45142.0</v>
      </c>
      <c r="B1041" s="11">
        <v>1.666854652E9</v>
      </c>
      <c r="C1041" s="12" t="s">
        <v>992</v>
      </c>
      <c r="D1041" s="11">
        <v>7838590.0</v>
      </c>
      <c r="E1041" s="10">
        <v>45162.0</v>
      </c>
      <c r="F1041" s="9" t="s">
        <v>69</v>
      </c>
      <c r="G1041" s="13">
        <v>1.0</v>
      </c>
      <c r="H1041" s="9" t="s">
        <v>116</v>
      </c>
      <c r="I1041" s="9" t="s">
        <v>71</v>
      </c>
      <c r="J1041" s="9" t="s">
        <v>72</v>
      </c>
      <c r="K1041" s="9" t="s">
        <v>73</v>
      </c>
    </row>
    <row r="1042" ht="15.75" customHeight="1">
      <c r="A1042" s="10">
        <v>45142.0</v>
      </c>
      <c r="B1042" s="11">
        <v>4.1590605E9</v>
      </c>
      <c r="C1042" s="12" t="s">
        <v>993</v>
      </c>
      <c r="D1042" s="11">
        <v>4.4032058E7</v>
      </c>
      <c r="E1042" s="10">
        <v>45162.0</v>
      </c>
      <c r="F1042" s="9" t="s">
        <v>69</v>
      </c>
      <c r="G1042" s="13">
        <v>1.0</v>
      </c>
      <c r="H1042" s="9" t="s">
        <v>116</v>
      </c>
      <c r="I1042" s="9" t="s">
        <v>71</v>
      </c>
      <c r="J1042" s="9" t="s">
        <v>72</v>
      </c>
      <c r="K1042" s="9" t="s">
        <v>217</v>
      </c>
    </row>
    <row r="1043" ht="15.75" customHeight="1">
      <c r="A1043" s="10">
        <v>45153.0</v>
      </c>
      <c r="B1043" s="11">
        <v>6.980992756E9</v>
      </c>
      <c r="C1043" s="12" t="s">
        <v>994</v>
      </c>
      <c r="D1043" s="11">
        <v>2.7365407E7</v>
      </c>
      <c r="E1043" s="10">
        <v>45162.0</v>
      </c>
      <c r="F1043" s="9" t="s">
        <v>69</v>
      </c>
      <c r="G1043" s="13">
        <v>1.0</v>
      </c>
      <c r="H1043" s="9" t="s">
        <v>116</v>
      </c>
      <c r="I1043" s="9" t="s">
        <v>71</v>
      </c>
      <c r="J1043" s="9" t="s">
        <v>72</v>
      </c>
      <c r="K1043" s="9" t="s">
        <v>217</v>
      </c>
    </row>
    <row r="1044" ht="15.75" customHeight="1">
      <c r="A1044" s="10">
        <v>45153.0</v>
      </c>
      <c r="B1044" s="11">
        <v>3.895489415E9</v>
      </c>
      <c r="C1044" s="12" t="s">
        <v>995</v>
      </c>
      <c r="D1044" s="11">
        <v>2.3238865E7</v>
      </c>
      <c r="E1044" s="10">
        <v>45162.0</v>
      </c>
      <c r="F1044" s="9" t="s">
        <v>69</v>
      </c>
      <c r="G1044" s="13">
        <v>1.0</v>
      </c>
      <c r="H1044" s="9" t="s">
        <v>116</v>
      </c>
      <c r="I1044" s="9" t="s">
        <v>71</v>
      </c>
      <c r="J1044" s="9" t="s">
        <v>318</v>
      </c>
      <c r="K1044" s="9" t="s">
        <v>217</v>
      </c>
    </row>
    <row r="1045" ht="15.75" customHeight="1">
      <c r="A1045" s="10">
        <v>45155.0</v>
      </c>
      <c r="B1045" s="11">
        <v>7.736409656E9</v>
      </c>
      <c r="C1045" s="12" t="s">
        <v>996</v>
      </c>
      <c r="D1045" s="11">
        <v>2.3931148E7</v>
      </c>
      <c r="E1045" s="10">
        <v>45162.0</v>
      </c>
      <c r="F1045" s="9" t="s">
        <v>69</v>
      </c>
      <c r="G1045" s="13">
        <v>1.0</v>
      </c>
      <c r="H1045" s="9" t="s">
        <v>116</v>
      </c>
      <c r="I1045" s="9" t="s">
        <v>71</v>
      </c>
      <c r="J1045" s="9" t="s">
        <v>318</v>
      </c>
      <c r="K1045" s="9" t="s">
        <v>217</v>
      </c>
    </row>
    <row r="1046" ht="15.75" customHeight="1">
      <c r="A1046" s="10">
        <v>45156.0</v>
      </c>
      <c r="B1046" s="11">
        <v>6.770856831E9</v>
      </c>
      <c r="C1046" s="12" t="s">
        <v>996</v>
      </c>
      <c r="D1046" s="11">
        <v>2.3931148E7</v>
      </c>
      <c r="E1046" s="10">
        <v>45162.0</v>
      </c>
      <c r="F1046" s="9" t="s">
        <v>69</v>
      </c>
      <c r="G1046" s="13">
        <v>1.0</v>
      </c>
      <c r="H1046" s="9" t="s">
        <v>116</v>
      </c>
      <c r="I1046" s="9" t="s">
        <v>71</v>
      </c>
      <c r="J1046" s="9" t="s">
        <v>318</v>
      </c>
      <c r="K1046" s="9" t="s">
        <v>107</v>
      </c>
    </row>
    <row r="1047" ht="15.75" customHeight="1">
      <c r="A1047" s="10">
        <v>45156.0</v>
      </c>
      <c r="B1047" s="11">
        <v>7.160067261E9</v>
      </c>
      <c r="C1047" s="12" t="s">
        <v>997</v>
      </c>
      <c r="D1047" s="11">
        <v>2.0732693E7</v>
      </c>
      <c r="E1047" s="10">
        <v>45162.0</v>
      </c>
      <c r="F1047" s="9" t="s">
        <v>76</v>
      </c>
      <c r="G1047" s="13">
        <v>1.0</v>
      </c>
      <c r="H1047" s="9" t="s">
        <v>70</v>
      </c>
      <c r="I1047" s="9" t="s">
        <v>71</v>
      </c>
      <c r="J1047" s="9" t="s">
        <v>318</v>
      </c>
      <c r="K1047" s="9" t="s">
        <v>107</v>
      </c>
    </row>
    <row r="1048" ht="15.75" customHeight="1">
      <c r="A1048" s="10">
        <v>45160.0</v>
      </c>
      <c r="B1048" s="11">
        <v>5.140509091E9</v>
      </c>
      <c r="C1048" s="12" t="s">
        <v>998</v>
      </c>
      <c r="D1048" s="11">
        <v>2.6446843E7</v>
      </c>
      <c r="E1048" s="10">
        <v>45162.0</v>
      </c>
      <c r="F1048" s="9" t="s">
        <v>69</v>
      </c>
      <c r="G1048" s="13">
        <v>2.0</v>
      </c>
      <c r="H1048" s="9" t="s">
        <v>70</v>
      </c>
      <c r="I1048" s="9" t="s">
        <v>71</v>
      </c>
      <c r="J1048" s="9" t="s">
        <v>318</v>
      </c>
      <c r="K1048" s="9" t="s">
        <v>107</v>
      </c>
    </row>
    <row r="1049" ht="15.75" customHeight="1">
      <c r="A1049" s="10">
        <v>45160.0</v>
      </c>
      <c r="B1049" s="11">
        <v>7.079049961E9</v>
      </c>
      <c r="C1049" s="12" t="s">
        <v>999</v>
      </c>
      <c r="D1049" s="11">
        <v>3.2412175E7</v>
      </c>
      <c r="E1049" s="10">
        <v>45162.0</v>
      </c>
      <c r="F1049" s="9" t="s">
        <v>76</v>
      </c>
      <c r="G1049" s="13">
        <v>1.0</v>
      </c>
      <c r="H1049" s="9" t="s">
        <v>70</v>
      </c>
      <c r="I1049" s="9" t="s">
        <v>71</v>
      </c>
      <c r="J1049" s="9" t="s">
        <v>318</v>
      </c>
      <c r="K1049" s="9" t="s">
        <v>107</v>
      </c>
    </row>
    <row r="1050" ht="15.75" customHeight="1">
      <c r="A1050" s="10">
        <v>45160.0</v>
      </c>
      <c r="B1050" s="11">
        <v>9.463143583E9</v>
      </c>
      <c r="C1050" s="12" t="s">
        <v>997</v>
      </c>
      <c r="D1050" s="11">
        <v>2.0732693E7</v>
      </c>
      <c r="E1050" s="10">
        <v>45162.0</v>
      </c>
      <c r="F1050" s="9" t="s">
        <v>69</v>
      </c>
      <c r="G1050" s="13">
        <v>1.0</v>
      </c>
      <c r="H1050" s="9" t="s">
        <v>70</v>
      </c>
      <c r="I1050" s="9" t="s">
        <v>71</v>
      </c>
      <c r="J1050" s="9" t="s">
        <v>83</v>
      </c>
      <c r="K1050" s="9" t="s">
        <v>107</v>
      </c>
    </row>
    <row r="1051" ht="15.75" customHeight="1">
      <c r="A1051" s="10">
        <v>45134.0</v>
      </c>
      <c r="B1051" s="11">
        <v>8.304860056E9</v>
      </c>
      <c r="C1051" s="12" t="s">
        <v>1000</v>
      </c>
      <c r="D1051" s="11">
        <v>2.7336069E7</v>
      </c>
      <c r="E1051" s="10">
        <v>45163.0</v>
      </c>
      <c r="F1051" s="9" t="s">
        <v>69</v>
      </c>
      <c r="G1051" s="13">
        <v>1.0</v>
      </c>
      <c r="H1051" s="9" t="s">
        <v>70</v>
      </c>
      <c r="I1051" s="9" t="s">
        <v>71</v>
      </c>
      <c r="J1051" s="9" t="s">
        <v>83</v>
      </c>
      <c r="K1051" s="9" t="s">
        <v>107</v>
      </c>
    </row>
    <row r="1052" ht="15.75" customHeight="1">
      <c r="A1052" s="10">
        <v>45155.0</v>
      </c>
      <c r="B1052" s="11">
        <v>5.767370442E9</v>
      </c>
      <c r="C1052" s="12" t="s">
        <v>1001</v>
      </c>
      <c r="D1052" s="11">
        <v>2.6300431E7</v>
      </c>
      <c r="E1052" s="10">
        <v>45163.0</v>
      </c>
      <c r="F1052" s="9" t="s">
        <v>76</v>
      </c>
      <c r="G1052" s="13">
        <v>1.0</v>
      </c>
      <c r="H1052" s="9" t="s">
        <v>70</v>
      </c>
      <c r="I1052" s="9" t="s">
        <v>71</v>
      </c>
      <c r="J1052" s="9" t="s">
        <v>83</v>
      </c>
      <c r="K1052" s="9" t="s">
        <v>103</v>
      </c>
    </row>
    <row r="1053" ht="15.75" customHeight="1">
      <c r="A1053" s="10">
        <v>45155.0</v>
      </c>
      <c r="B1053" s="11">
        <v>4.261426304E9</v>
      </c>
      <c r="C1053" s="12" t="s">
        <v>1002</v>
      </c>
      <c r="D1053" s="11">
        <v>3.5806111E7</v>
      </c>
      <c r="E1053" s="10">
        <v>45163.0</v>
      </c>
      <c r="F1053" s="9" t="s">
        <v>69</v>
      </c>
      <c r="G1053" s="13">
        <v>1.0</v>
      </c>
      <c r="H1053" s="9" t="s">
        <v>70</v>
      </c>
      <c r="I1053" s="9" t="s">
        <v>71</v>
      </c>
      <c r="J1053" s="9" t="s">
        <v>83</v>
      </c>
      <c r="K1053" s="9" t="s">
        <v>103</v>
      </c>
    </row>
    <row r="1054" ht="15.75" customHeight="1">
      <c r="A1054" s="10">
        <v>45156.0</v>
      </c>
      <c r="B1054" s="11">
        <v>5.723239001E9</v>
      </c>
      <c r="C1054" s="12" t="s">
        <v>1003</v>
      </c>
      <c r="D1054" s="11">
        <v>2.2264755E7</v>
      </c>
      <c r="E1054" s="10">
        <v>45163.0</v>
      </c>
      <c r="F1054" s="9" t="s">
        <v>69</v>
      </c>
      <c r="G1054" s="13">
        <v>1.0</v>
      </c>
      <c r="H1054" s="9" t="s">
        <v>70</v>
      </c>
      <c r="I1054" s="9" t="s">
        <v>71</v>
      </c>
      <c r="J1054" s="9" t="s">
        <v>83</v>
      </c>
      <c r="K1054" s="9" t="s">
        <v>103</v>
      </c>
    </row>
    <row r="1055" ht="15.75" customHeight="1">
      <c r="A1055" s="10">
        <v>45160.0</v>
      </c>
      <c r="B1055" s="11">
        <v>2.623527454E9</v>
      </c>
      <c r="C1055" s="12" t="s">
        <v>1003</v>
      </c>
      <c r="D1055" s="11">
        <v>2.2264755E7</v>
      </c>
      <c r="E1055" s="10">
        <v>45163.0</v>
      </c>
      <c r="F1055" s="9" t="s">
        <v>76</v>
      </c>
      <c r="G1055" s="13">
        <v>2.0</v>
      </c>
      <c r="H1055" s="9" t="s">
        <v>70</v>
      </c>
      <c r="I1055" s="9" t="s">
        <v>71</v>
      </c>
      <c r="J1055" s="9" t="s">
        <v>83</v>
      </c>
      <c r="K1055" s="9" t="s">
        <v>103</v>
      </c>
    </row>
    <row r="1056" ht="15.75" customHeight="1">
      <c r="A1056" s="10">
        <v>45160.0</v>
      </c>
      <c r="B1056" s="11">
        <v>1.812011375E9</v>
      </c>
      <c r="C1056" s="12" t="s">
        <v>1004</v>
      </c>
      <c r="D1056" s="11">
        <v>9.3369729E7</v>
      </c>
      <c r="E1056" s="10">
        <v>45163.0</v>
      </c>
      <c r="F1056" s="9" t="s">
        <v>69</v>
      </c>
      <c r="G1056" s="13">
        <v>2.0</v>
      </c>
      <c r="H1056" s="9" t="s">
        <v>70</v>
      </c>
      <c r="I1056" s="9" t="s">
        <v>88</v>
      </c>
      <c r="J1056" s="9" t="s">
        <v>83</v>
      </c>
      <c r="K1056" s="9" t="s">
        <v>103</v>
      </c>
    </row>
    <row r="1057" ht="15.75" customHeight="1">
      <c r="A1057" s="10">
        <v>45162.0</v>
      </c>
      <c r="B1057" s="11">
        <v>5.535081786E9</v>
      </c>
      <c r="C1057" s="12" t="s">
        <v>1005</v>
      </c>
      <c r="D1057" s="11">
        <v>3.2134193E7</v>
      </c>
      <c r="E1057" s="10">
        <v>45163.0</v>
      </c>
      <c r="F1057" s="9" t="s">
        <v>76</v>
      </c>
      <c r="G1057" s="13">
        <v>2.0</v>
      </c>
      <c r="H1057" s="9" t="s">
        <v>70</v>
      </c>
      <c r="I1057" s="9" t="s">
        <v>88</v>
      </c>
      <c r="J1057" s="9" t="s">
        <v>83</v>
      </c>
      <c r="K1057" s="9" t="s">
        <v>103</v>
      </c>
    </row>
    <row r="1058" ht="15.75" customHeight="1">
      <c r="A1058" s="10">
        <v>45163.0</v>
      </c>
      <c r="B1058" s="11">
        <v>7.416031906E9</v>
      </c>
      <c r="C1058" s="12" t="s">
        <v>1005</v>
      </c>
      <c r="D1058" s="11">
        <v>3.2134193E7</v>
      </c>
      <c r="E1058" s="10">
        <v>45163.0</v>
      </c>
      <c r="F1058" s="9" t="s">
        <v>69</v>
      </c>
      <c r="G1058" s="13">
        <v>2.0</v>
      </c>
      <c r="H1058" s="9" t="s">
        <v>70</v>
      </c>
      <c r="I1058" s="9" t="s">
        <v>88</v>
      </c>
      <c r="J1058" s="9" t="s">
        <v>93</v>
      </c>
      <c r="K1058" s="9" t="s">
        <v>103</v>
      </c>
    </row>
    <row r="1059" ht="15.75" customHeight="1">
      <c r="A1059" s="10">
        <v>45128.0</v>
      </c>
      <c r="B1059" s="11">
        <v>3.464872806E9</v>
      </c>
      <c r="C1059" s="12" t="s">
        <v>1006</v>
      </c>
      <c r="D1059" s="11">
        <v>3.0497594E7</v>
      </c>
      <c r="E1059" s="10">
        <v>45166.0</v>
      </c>
      <c r="F1059" s="9" t="s">
        <v>69</v>
      </c>
      <c r="G1059" s="13">
        <v>4.0</v>
      </c>
      <c r="H1059" s="9" t="s">
        <v>70</v>
      </c>
      <c r="I1059" s="9" t="s">
        <v>88</v>
      </c>
      <c r="J1059" s="9" t="s">
        <v>93</v>
      </c>
      <c r="K1059" s="9" t="s">
        <v>103</v>
      </c>
    </row>
    <row r="1060" ht="15.75" customHeight="1">
      <c r="A1060" s="10">
        <v>45142.0</v>
      </c>
      <c r="B1060" s="11">
        <v>1.666874193E9</v>
      </c>
      <c r="C1060" s="12" t="s">
        <v>1007</v>
      </c>
      <c r="D1060" s="11">
        <v>1.8526551E7</v>
      </c>
      <c r="E1060" s="10">
        <v>45166.0</v>
      </c>
      <c r="F1060" s="9" t="s">
        <v>76</v>
      </c>
      <c r="G1060" s="13">
        <v>4.0</v>
      </c>
      <c r="H1060" s="9" t="s">
        <v>70</v>
      </c>
      <c r="I1060" s="9" t="s">
        <v>88</v>
      </c>
      <c r="J1060" s="9" t="s">
        <v>93</v>
      </c>
      <c r="K1060" s="9" t="s">
        <v>84</v>
      </c>
    </row>
    <row r="1061" ht="15.75" customHeight="1">
      <c r="A1061" s="10">
        <v>45146.0</v>
      </c>
      <c r="B1061" s="11">
        <v>9.859005413E9</v>
      </c>
      <c r="C1061" s="12" t="s">
        <v>1008</v>
      </c>
      <c r="D1061" s="11">
        <v>2.9293338E7</v>
      </c>
      <c r="E1061" s="10">
        <v>45166.0</v>
      </c>
      <c r="F1061" s="9" t="s">
        <v>69</v>
      </c>
      <c r="G1061" s="13">
        <v>3.0</v>
      </c>
      <c r="H1061" s="9" t="s">
        <v>70</v>
      </c>
      <c r="I1061" s="9" t="s">
        <v>88</v>
      </c>
      <c r="J1061" s="9" t="s">
        <v>93</v>
      </c>
      <c r="K1061" s="9" t="s">
        <v>84</v>
      </c>
    </row>
    <row r="1062" ht="15.75" customHeight="1">
      <c r="A1062" s="10">
        <v>45148.0</v>
      </c>
      <c r="B1062" s="11">
        <v>9.815116824E9</v>
      </c>
      <c r="C1062" s="12" t="s">
        <v>1009</v>
      </c>
      <c r="D1062" s="11">
        <v>2.4059724E7</v>
      </c>
      <c r="E1062" s="10">
        <v>45166.0</v>
      </c>
      <c r="F1062" s="9" t="s">
        <v>69</v>
      </c>
      <c r="G1062" s="13">
        <v>3.0</v>
      </c>
      <c r="H1062" s="9" t="s">
        <v>70</v>
      </c>
      <c r="I1062" s="9" t="s">
        <v>88</v>
      </c>
      <c r="J1062" s="9" t="s">
        <v>93</v>
      </c>
      <c r="K1062" s="9" t="s">
        <v>84</v>
      </c>
    </row>
    <row r="1063" ht="15.75" customHeight="1">
      <c r="A1063" s="10">
        <v>45149.0</v>
      </c>
      <c r="B1063" s="11">
        <v>5.771732153E9</v>
      </c>
      <c r="C1063" s="12" t="s">
        <v>1010</v>
      </c>
      <c r="D1063" s="11">
        <v>1.1707039E7</v>
      </c>
      <c r="E1063" s="10">
        <v>45166.0</v>
      </c>
      <c r="F1063" s="9" t="s">
        <v>69</v>
      </c>
      <c r="G1063" s="13">
        <v>2.0</v>
      </c>
      <c r="H1063" s="9" t="s">
        <v>70</v>
      </c>
      <c r="I1063" s="9" t="s">
        <v>88</v>
      </c>
      <c r="J1063" s="9" t="s">
        <v>98</v>
      </c>
      <c r="K1063" s="9" t="s">
        <v>84</v>
      </c>
    </row>
    <row r="1064" ht="15.75" customHeight="1">
      <c r="A1064" s="10">
        <v>45155.0</v>
      </c>
      <c r="B1064" s="11">
        <v>2.212629425E9</v>
      </c>
      <c r="C1064" s="12" t="s">
        <v>1011</v>
      </c>
      <c r="D1064" s="11">
        <v>1.7377904E7</v>
      </c>
      <c r="E1064" s="10">
        <v>45166.0</v>
      </c>
      <c r="F1064" s="9" t="s">
        <v>69</v>
      </c>
      <c r="G1064" s="13">
        <v>2.0</v>
      </c>
      <c r="H1064" s="9" t="s">
        <v>70</v>
      </c>
      <c r="I1064" s="9" t="s">
        <v>88</v>
      </c>
      <c r="J1064" s="9" t="s">
        <v>98</v>
      </c>
      <c r="K1064" s="9" t="s">
        <v>84</v>
      </c>
    </row>
    <row r="1065" ht="15.75" customHeight="1">
      <c r="A1065" s="10">
        <v>45155.0</v>
      </c>
      <c r="B1065" s="11">
        <v>5.767448853E9</v>
      </c>
      <c r="C1065" s="12" t="s">
        <v>1012</v>
      </c>
      <c r="D1065" s="11">
        <v>2.4287848E7</v>
      </c>
      <c r="E1065" s="10">
        <v>45166.0</v>
      </c>
      <c r="F1065" s="9" t="s">
        <v>76</v>
      </c>
      <c r="G1065" s="13">
        <v>3.0</v>
      </c>
      <c r="H1065" s="9" t="s">
        <v>70</v>
      </c>
      <c r="I1065" s="9" t="s">
        <v>88</v>
      </c>
      <c r="J1065" s="9" t="s">
        <v>98</v>
      </c>
      <c r="K1065" s="9" t="s">
        <v>84</v>
      </c>
    </row>
    <row r="1066" ht="15.75" customHeight="1">
      <c r="A1066" s="10">
        <v>45156.0</v>
      </c>
      <c r="B1066" s="11">
        <v>7.160059992E9</v>
      </c>
      <c r="C1066" s="12" t="s">
        <v>1013</v>
      </c>
      <c r="D1066" s="11">
        <v>2.2264543E7</v>
      </c>
      <c r="E1066" s="10">
        <v>45166.0</v>
      </c>
      <c r="F1066" s="9" t="s">
        <v>69</v>
      </c>
      <c r="G1066" s="13">
        <v>3.0</v>
      </c>
      <c r="H1066" s="9" t="s">
        <v>92</v>
      </c>
      <c r="I1066" s="9" t="s">
        <v>77</v>
      </c>
      <c r="J1066" s="9" t="s">
        <v>98</v>
      </c>
      <c r="K1066" s="9" t="s">
        <v>84</v>
      </c>
    </row>
    <row r="1067" ht="15.75" customHeight="1">
      <c r="A1067" s="10">
        <v>45156.0</v>
      </c>
      <c r="B1067" s="11">
        <v>1.377090746E9</v>
      </c>
      <c r="C1067" s="12" t="s">
        <v>1014</v>
      </c>
      <c r="D1067" s="11">
        <v>3.151755E7</v>
      </c>
      <c r="E1067" s="10">
        <v>45166.0</v>
      </c>
      <c r="F1067" s="9" t="s">
        <v>69</v>
      </c>
      <c r="G1067" s="13">
        <v>4.0</v>
      </c>
      <c r="H1067" s="9" t="s">
        <v>92</v>
      </c>
      <c r="I1067" s="9" t="s">
        <v>77</v>
      </c>
      <c r="J1067" s="9" t="s">
        <v>98</v>
      </c>
      <c r="K1067" s="9" t="s">
        <v>84</v>
      </c>
    </row>
    <row r="1068" ht="15.75" customHeight="1">
      <c r="A1068" s="10">
        <v>45160.0</v>
      </c>
      <c r="B1068" s="11">
        <v>4.125493105E9</v>
      </c>
      <c r="C1068" s="12" t="s">
        <v>1015</v>
      </c>
      <c r="D1068" s="11">
        <v>2.0219891E7</v>
      </c>
      <c r="E1068" s="10">
        <v>45166.0</v>
      </c>
      <c r="F1068" s="9" t="s">
        <v>69</v>
      </c>
      <c r="G1068" s="13">
        <v>4.0</v>
      </c>
      <c r="H1068" s="9" t="s">
        <v>92</v>
      </c>
      <c r="I1068" s="9" t="s">
        <v>77</v>
      </c>
      <c r="J1068" s="9" t="s">
        <v>98</v>
      </c>
      <c r="K1068" s="9" t="s">
        <v>84</v>
      </c>
    </row>
    <row r="1069" ht="15.75" customHeight="1">
      <c r="A1069" s="10">
        <v>45160.0</v>
      </c>
      <c r="B1069" s="11">
        <v>9.067774785E9</v>
      </c>
      <c r="C1069" s="12" t="s">
        <v>1016</v>
      </c>
      <c r="D1069" s="11">
        <v>3.3755621E7</v>
      </c>
      <c r="E1069" s="10">
        <v>45166.0</v>
      </c>
      <c r="F1069" s="9" t="s">
        <v>69</v>
      </c>
      <c r="G1069" s="13">
        <v>1.0</v>
      </c>
      <c r="H1069" s="9" t="s">
        <v>92</v>
      </c>
      <c r="I1069" s="9" t="s">
        <v>77</v>
      </c>
      <c r="J1069" s="9" t="s">
        <v>83</v>
      </c>
      <c r="K1069" s="9" t="s">
        <v>84</v>
      </c>
    </row>
    <row r="1070" ht="15.75" customHeight="1">
      <c r="A1070" s="10">
        <v>45162.0</v>
      </c>
      <c r="B1070" s="11">
        <v>1.646608353E9</v>
      </c>
      <c r="C1070" s="12" t="s">
        <v>1017</v>
      </c>
      <c r="D1070" s="11">
        <v>1.2325918E7</v>
      </c>
      <c r="E1070" s="10">
        <v>45166.0</v>
      </c>
      <c r="F1070" s="9" t="s">
        <v>69</v>
      </c>
      <c r="G1070" s="13">
        <v>3.0</v>
      </c>
      <c r="H1070" s="9" t="s">
        <v>92</v>
      </c>
      <c r="I1070" s="9" t="s">
        <v>77</v>
      </c>
      <c r="J1070" s="9" t="s">
        <v>83</v>
      </c>
      <c r="K1070" s="9" t="s">
        <v>84</v>
      </c>
    </row>
    <row r="1071" ht="15.75" customHeight="1">
      <c r="A1071" s="10">
        <v>45162.0</v>
      </c>
      <c r="B1071" s="11">
        <v>5.535079104E9</v>
      </c>
      <c r="C1071" s="12" t="s">
        <v>1016</v>
      </c>
      <c r="D1071" s="11">
        <v>3.3755621E7</v>
      </c>
      <c r="E1071" s="10">
        <v>45166.0</v>
      </c>
      <c r="F1071" s="9" t="s">
        <v>69</v>
      </c>
      <c r="G1071" s="13">
        <v>2.0</v>
      </c>
      <c r="H1071" s="9" t="s">
        <v>106</v>
      </c>
      <c r="I1071" s="9" t="s">
        <v>77</v>
      </c>
      <c r="J1071" s="9" t="s">
        <v>83</v>
      </c>
      <c r="K1071" s="9" t="s">
        <v>84</v>
      </c>
    </row>
    <row r="1072" ht="15.75" customHeight="1">
      <c r="A1072" s="10">
        <v>45163.0</v>
      </c>
      <c r="B1072" s="11">
        <v>8.209385472E9</v>
      </c>
      <c r="C1072" s="12" t="s">
        <v>1018</v>
      </c>
      <c r="D1072" s="11">
        <v>3.8184345E7</v>
      </c>
      <c r="E1072" s="10">
        <v>45166.0</v>
      </c>
      <c r="F1072" s="9" t="s">
        <v>69</v>
      </c>
      <c r="G1072" s="13">
        <v>2.0</v>
      </c>
      <c r="H1072" s="9" t="s">
        <v>106</v>
      </c>
      <c r="I1072" s="9" t="s">
        <v>77</v>
      </c>
      <c r="J1072" s="9" t="s">
        <v>83</v>
      </c>
      <c r="K1072" s="9" t="s">
        <v>84</v>
      </c>
    </row>
    <row r="1073" ht="15.75" customHeight="1">
      <c r="A1073" s="10">
        <v>45163.0</v>
      </c>
      <c r="B1073" s="11">
        <v>3.574438593E9</v>
      </c>
      <c r="C1073" s="12" t="s">
        <v>1019</v>
      </c>
      <c r="D1073" s="11">
        <v>2.7575451E7</v>
      </c>
      <c r="E1073" s="10">
        <v>45166.0</v>
      </c>
      <c r="F1073" s="9" t="s">
        <v>69</v>
      </c>
      <c r="G1073" s="13">
        <v>2.0</v>
      </c>
      <c r="H1073" s="9" t="s">
        <v>106</v>
      </c>
      <c r="I1073" s="9" t="s">
        <v>77</v>
      </c>
      <c r="J1073" s="9" t="s">
        <v>83</v>
      </c>
      <c r="K1073" s="9" t="s">
        <v>84</v>
      </c>
    </row>
    <row r="1074" ht="15.75" customHeight="1">
      <c r="A1074" s="10">
        <v>45163.0</v>
      </c>
      <c r="B1074" s="11">
        <v>9.606819596E9</v>
      </c>
      <c r="C1074" s="12" t="s">
        <v>1019</v>
      </c>
      <c r="D1074" s="11">
        <v>2.7575421E7</v>
      </c>
      <c r="E1074" s="10">
        <v>45166.0</v>
      </c>
      <c r="F1074" s="9" t="s">
        <v>76</v>
      </c>
      <c r="G1074" s="13">
        <v>1.0</v>
      </c>
      <c r="H1074" s="9" t="s">
        <v>106</v>
      </c>
      <c r="I1074" s="9" t="s">
        <v>77</v>
      </c>
      <c r="J1074" s="9" t="s">
        <v>83</v>
      </c>
      <c r="K1074" s="9" t="s">
        <v>84</v>
      </c>
    </row>
    <row r="1075" ht="15.75" customHeight="1">
      <c r="A1075" s="10">
        <v>45163.0</v>
      </c>
      <c r="B1075" s="11">
        <v>8.726291836E9</v>
      </c>
      <c r="C1075" s="12" t="s">
        <v>1015</v>
      </c>
      <c r="D1075" s="11">
        <v>2.0219891E7</v>
      </c>
      <c r="E1075" s="10">
        <v>45166.0</v>
      </c>
      <c r="F1075" s="9" t="s">
        <v>69</v>
      </c>
      <c r="G1075" s="13">
        <v>6.0</v>
      </c>
      <c r="H1075" s="9" t="s">
        <v>106</v>
      </c>
      <c r="I1075" s="9" t="s">
        <v>77</v>
      </c>
      <c r="J1075" s="9" t="s">
        <v>83</v>
      </c>
      <c r="K1075" s="9" t="s">
        <v>84</v>
      </c>
    </row>
    <row r="1076" ht="15.75" customHeight="1">
      <c r="A1076" s="10">
        <v>45163.0</v>
      </c>
      <c r="B1076" s="11">
        <v>5.860931403E9</v>
      </c>
      <c r="C1076" s="12" t="s">
        <v>1015</v>
      </c>
      <c r="D1076" s="11">
        <v>2.0219891E7</v>
      </c>
      <c r="E1076" s="10">
        <v>45166.0</v>
      </c>
      <c r="F1076" s="9" t="s">
        <v>69</v>
      </c>
      <c r="G1076" s="13">
        <v>1.0</v>
      </c>
      <c r="H1076" s="9" t="s">
        <v>106</v>
      </c>
      <c r="I1076" s="9" t="s">
        <v>88</v>
      </c>
      <c r="J1076" s="9" t="s">
        <v>83</v>
      </c>
      <c r="K1076" s="9" t="s">
        <v>99</v>
      </c>
    </row>
    <row r="1077" ht="15.75" customHeight="1">
      <c r="A1077" s="10">
        <v>45163.0</v>
      </c>
      <c r="B1077" s="11">
        <v>8.726295966E9</v>
      </c>
      <c r="C1077" s="12" t="s">
        <v>1015</v>
      </c>
      <c r="D1077" s="11">
        <v>2.0219891E7</v>
      </c>
      <c r="E1077" s="10">
        <v>45166.0</v>
      </c>
      <c r="F1077" s="9" t="s">
        <v>69</v>
      </c>
      <c r="G1077" s="13">
        <v>7.0</v>
      </c>
      <c r="H1077" s="9" t="s">
        <v>106</v>
      </c>
      <c r="I1077" s="9" t="s">
        <v>88</v>
      </c>
      <c r="J1077" s="9" t="s">
        <v>83</v>
      </c>
      <c r="K1077" s="9" t="s">
        <v>99</v>
      </c>
    </row>
    <row r="1078" ht="15.75" customHeight="1">
      <c r="A1078" s="10">
        <v>45163.0</v>
      </c>
      <c r="B1078" s="11">
        <v>9.167845901E9</v>
      </c>
      <c r="C1078" s="12" t="s">
        <v>1020</v>
      </c>
      <c r="D1078" s="11">
        <v>2.7751216E7</v>
      </c>
      <c r="E1078" s="10">
        <v>45166.0</v>
      </c>
      <c r="F1078" s="9" t="s">
        <v>69</v>
      </c>
      <c r="G1078" s="13">
        <v>8.0</v>
      </c>
      <c r="H1078" s="9" t="s">
        <v>112</v>
      </c>
      <c r="I1078" s="9" t="s">
        <v>88</v>
      </c>
      <c r="J1078" s="9" t="s">
        <v>93</v>
      </c>
      <c r="K1078" s="9" t="s">
        <v>99</v>
      </c>
    </row>
    <row r="1079" ht="15.75" customHeight="1">
      <c r="A1079" s="10">
        <v>45163.0</v>
      </c>
      <c r="B1079" s="11">
        <v>4.008838046E9</v>
      </c>
      <c r="C1079" s="12" t="s">
        <v>1021</v>
      </c>
      <c r="D1079" s="11">
        <v>1.3338601E7</v>
      </c>
      <c r="E1079" s="10">
        <v>45166.0</v>
      </c>
      <c r="F1079" s="9" t="s">
        <v>69</v>
      </c>
      <c r="G1079" s="13">
        <v>8.0</v>
      </c>
      <c r="H1079" s="9" t="s">
        <v>112</v>
      </c>
      <c r="I1079" s="9" t="s">
        <v>88</v>
      </c>
      <c r="J1079" s="9" t="s">
        <v>93</v>
      </c>
      <c r="K1079" s="9" t="s">
        <v>99</v>
      </c>
    </row>
    <row r="1080" ht="15.75" customHeight="1">
      <c r="A1080" s="10">
        <v>45153.0</v>
      </c>
      <c r="B1080" s="11">
        <v>3.895471086E9</v>
      </c>
      <c r="C1080" s="12" t="s">
        <v>1022</v>
      </c>
      <c r="D1080" s="11">
        <v>3.7456435E7</v>
      </c>
      <c r="E1080" s="10">
        <v>45167.0</v>
      </c>
      <c r="F1080" s="9" t="s">
        <v>69</v>
      </c>
      <c r="G1080" s="13">
        <v>1.0</v>
      </c>
      <c r="H1080" s="9" t="s">
        <v>112</v>
      </c>
      <c r="I1080" s="9" t="s">
        <v>88</v>
      </c>
      <c r="J1080" s="9" t="s">
        <v>93</v>
      </c>
      <c r="K1080" s="9" t="s">
        <v>99</v>
      </c>
    </row>
    <row r="1081" ht="15.75" customHeight="1">
      <c r="A1081" s="10">
        <v>45155.0</v>
      </c>
      <c r="B1081" s="11">
        <v>1.015786306E9</v>
      </c>
      <c r="C1081" s="12" t="s">
        <v>1023</v>
      </c>
      <c r="D1081" s="11">
        <v>3.211607E7</v>
      </c>
      <c r="E1081" s="10">
        <v>45167.0</v>
      </c>
      <c r="F1081" s="9" t="s">
        <v>69</v>
      </c>
      <c r="G1081" s="13">
        <v>1.0</v>
      </c>
      <c r="H1081" s="9" t="s">
        <v>112</v>
      </c>
      <c r="I1081" s="9" t="s">
        <v>88</v>
      </c>
      <c r="J1081" s="9" t="s">
        <v>93</v>
      </c>
      <c r="K1081" s="9" t="s">
        <v>99</v>
      </c>
    </row>
    <row r="1082" ht="15.75" customHeight="1">
      <c r="A1082" s="10">
        <v>45155.0</v>
      </c>
      <c r="B1082" s="11">
        <v>9.781190786E9</v>
      </c>
      <c r="C1082" s="12" t="s">
        <v>1024</v>
      </c>
      <c r="D1082" s="11">
        <v>4.2935646E7</v>
      </c>
      <c r="E1082" s="10">
        <v>45167.0</v>
      </c>
      <c r="F1082" s="9" t="s">
        <v>69</v>
      </c>
      <c r="G1082" s="13">
        <v>1.0</v>
      </c>
      <c r="H1082" s="9" t="s">
        <v>112</v>
      </c>
      <c r="I1082" s="9" t="s">
        <v>88</v>
      </c>
      <c r="J1082" s="9" t="s">
        <v>93</v>
      </c>
      <c r="K1082" s="9" t="s">
        <v>99</v>
      </c>
    </row>
    <row r="1083" ht="15.75" customHeight="1">
      <c r="A1083" s="10">
        <v>45156.0</v>
      </c>
      <c r="B1083" s="11">
        <v>8.418210032E9</v>
      </c>
      <c r="C1083" s="12" t="s">
        <v>1025</v>
      </c>
      <c r="D1083" s="11">
        <v>4.0088115E7</v>
      </c>
      <c r="E1083" s="10">
        <v>45167.0</v>
      </c>
      <c r="F1083" s="9" t="s">
        <v>69</v>
      </c>
      <c r="G1083" s="13">
        <v>1.0</v>
      </c>
      <c r="H1083" s="9" t="s">
        <v>112</v>
      </c>
      <c r="I1083" s="9" t="s">
        <v>88</v>
      </c>
      <c r="J1083" s="9" t="s">
        <v>93</v>
      </c>
      <c r="K1083" s="9" t="s">
        <v>99</v>
      </c>
    </row>
    <row r="1084" ht="15.75" customHeight="1">
      <c r="A1084" s="10">
        <v>45160.0</v>
      </c>
      <c r="B1084" s="11">
        <v>7.106981486E9</v>
      </c>
      <c r="C1084" s="12" t="s">
        <v>1026</v>
      </c>
      <c r="D1084" s="11">
        <v>2.9061158E7</v>
      </c>
      <c r="E1084" s="10">
        <v>45167.0</v>
      </c>
      <c r="F1084" s="9" t="s">
        <v>69</v>
      </c>
      <c r="G1084" s="13">
        <v>3.0</v>
      </c>
      <c r="H1084" s="9" t="s">
        <v>112</v>
      </c>
      <c r="I1084" s="9" t="s">
        <v>88</v>
      </c>
      <c r="J1084" s="9" t="s">
        <v>93</v>
      </c>
      <c r="K1084" s="9" t="s">
        <v>99</v>
      </c>
    </row>
    <row r="1085" ht="15.75" customHeight="1">
      <c r="A1085" s="10">
        <v>45162.0</v>
      </c>
      <c r="B1085" s="11">
        <v>4.40020763E9</v>
      </c>
      <c r="C1085" s="12" t="s">
        <v>1027</v>
      </c>
      <c r="D1085" s="11">
        <v>4.1915695E7</v>
      </c>
      <c r="E1085" s="10">
        <v>45167.0</v>
      </c>
      <c r="F1085" s="9" t="s">
        <v>69</v>
      </c>
      <c r="G1085" s="13">
        <v>3.0</v>
      </c>
      <c r="H1085" s="9" t="s">
        <v>112</v>
      </c>
      <c r="I1085" s="9" t="s">
        <v>88</v>
      </c>
      <c r="J1085" s="9" t="s">
        <v>93</v>
      </c>
      <c r="K1085" s="9" t="s">
        <v>99</v>
      </c>
    </row>
    <row r="1086" ht="15.75" customHeight="1">
      <c r="A1086" s="10">
        <v>45162.0</v>
      </c>
      <c r="B1086" s="11">
        <v>1.581245094E9</v>
      </c>
      <c r="C1086" s="12" t="s">
        <v>1026</v>
      </c>
      <c r="D1086" s="11">
        <v>2.9061158E7</v>
      </c>
      <c r="E1086" s="10">
        <v>45167.0</v>
      </c>
      <c r="F1086" s="9" t="s">
        <v>69</v>
      </c>
      <c r="G1086" s="13">
        <v>5.0</v>
      </c>
      <c r="H1086" s="9" t="s">
        <v>112</v>
      </c>
      <c r="I1086" s="9" t="s">
        <v>71</v>
      </c>
      <c r="J1086" s="9" t="s">
        <v>93</v>
      </c>
      <c r="K1086" s="9" t="s">
        <v>73</v>
      </c>
    </row>
    <row r="1087" ht="15.75" customHeight="1">
      <c r="A1087" s="10">
        <v>45163.0</v>
      </c>
      <c r="B1087" s="11">
        <v>9.651400172E9</v>
      </c>
      <c r="C1087" s="12" t="s">
        <v>1028</v>
      </c>
      <c r="D1087" s="11">
        <v>2.1327675E7</v>
      </c>
      <c r="E1087" s="10">
        <v>45167.0</v>
      </c>
      <c r="F1087" s="9" t="s">
        <v>76</v>
      </c>
      <c r="G1087" s="13">
        <v>6.0</v>
      </c>
      <c r="H1087" s="9" t="s">
        <v>81</v>
      </c>
      <c r="I1087" s="9" t="s">
        <v>71</v>
      </c>
      <c r="J1087" s="9" t="s">
        <v>93</v>
      </c>
      <c r="K1087" s="9" t="s">
        <v>73</v>
      </c>
    </row>
    <row r="1088" ht="15.75" customHeight="1">
      <c r="A1088" s="10">
        <v>45163.0</v>
      </c>
      <c r="B1088" s="11">
        <v>8.726230516E9</v>
      </c>
      <c r="C1088" s="12" t="s">
        <v>1028</v>
      </c>
      <c r="D1088" s="11">
        <v>2.1327675E7</v>
      </c>
      <c r="E1088" s="10">
        <v>45167.0</v>
      </c>
      <c r="F1088" s="9" t="s">
        <v>76</v>
      </c>
      <c r="G1088" s="13">
        <v>7.0</v>
      </c>
      <c r="H1088" s="9" t="s">
        <v>81</v>
      </c>
      <c r="I1088" s="9" t="s">
        <v>71</v>
      </c>
      <c r="J1088" s="9" t="s">
        <v>93</v>
      </c>
      <c r="K1088" s="9" t="s">
        <v>73</v>
      </c>
    </row>
    <row r="1089" ht="15.75" customHeight="1">
      <c r="A1089" s="10">
        <v>45163.0</v>
      </c>
      <c r="B1089" s="11">
        <v>4.008884935E9</v>
      </c>
      <c r="C1089" s="12" t="s">
        <v>1029</v>
      </c>
      <c r="D1089" s="11">
        <v>2.9745079E7</v>
      </c>
      <c r="E1089" s="10">
        <v>45167.0</v>
      </c>
      <c r="F1089" s="9" t="s">
        <v>76</v>
      </c>
      <c r="G1089" s="13">
        <v>1.0</v>
      </c>
      <c r="H1089" s="9" t="s">
        <v>81</v>
      </c>
      <c r="I1089" s="9" t="s">
        <v>71</v>
      </c>
      <c r="J1089" s="9" t="s">
        <v>72</v>
      </c>
      <c r="K1089" s="9" t="s">
        <v>73</v>
      </c>
    </row>
    <row r="1090" ht="15.75" customHeight="1">
      <c r="A1090" s="10">
        <v>45142.0</v>
      </c>
      <c r="B1090" s="11">
        <v>2.63135908E9</v>
      </c>
      <c r="C1090" s="12" t="s">
        <v>1030</v>
      </c>
      <c r="D1090" s="11">
        <v>3.7456627E7</v>
      </c>
      <c r="E1090" s="10">
        <v>45168.0</v>
      </c>
      <c r="F1090" s="9" t="s">
        <v>69</v>
      </c>
      <c r="G1090" s="13">
        <v>2.0</v>
      </c>
      <c r="H1090" s="9" t="s">
        <v>81</v>
      </c>
      <c r="I1090" s="9" t="s">
        <v>71</v>
      </c>
      <c r="J1090" s="9" t="s">
        <v>72</v>
      </c>
      <c r="K1090" s="9" t="s">
        <v>73</v>
      </c>
    </row>
    <row r="1091" ht="15.75" customHeight="1">
      <c r="A1091" s="10">
        <v>45149.0</v>
      </c>
      <c r="B1091" s="11">
        <v>9.022291563E9</v>
      </c>
      <c r="C1091" s="12" t="s">
        <v>1031</v>
      </c>
      <c r="D1091" s="11">
        <v>2.0692192E7</v>
      </c>
      <c r="E1091" s="10">
        <v>45168.0</v>
      </c>
      <c r="F1091" s="9" t="s">
        <v>76</v>
      </c>
      <c r="G1091" s="13">
        <v>1.0</v>
      </c>
      <c r="H1091" s="9" t="s">
        <v>81</v>
      </c>
      <c r="I1091" s="9" t="s">
        <v>71</v>
      </c>
      <c r="J1091" s="9" t="s">
        <v>72</v>
      </c>
      <c r="K1091" s="9" t="s">
        <v>73</v>
      </c>
    </row>
    <row r="1092" ht="15.75" customHeight="1">
      <c r="A1092" s="10">
        <v>45153.0</v>
      </c>
      <c r="B1092" s="11">
        <v>6.9809474E9</v>
      </c>
      <c r="C1092" s="12" t="s">
        <v>1032</v>
      </c>
      <c r="D1092" s="11">
        <v>1.4272857E7</v>
      </c>
      <c r="E1092" s="10">
        <v>45168.0</v>
      </c>
      <c r="F1092" s="9" t="s">
        <v>69</v>
      </c>
      <c r="G1092" s="13">
        <v>2.0</v>
      </c>
      <c r="H1092" s="9" t="s">
        <v>81</v>
      </c>
      <c r="I1092" s="9" t="s">
        <v>71</v>
      </c>
      <c r="J1092" s="9" t="s">
        <v>72</v>
      </c>
      <c r="K1092" s="9" t="s">
        <v>73</v>
      </c>
    </row>
    <row r="1093" ht="15.75" customHeight="1">
      <c r="A1093" s="10">
        <v>45156.0</v>
      </c>
      <c r="B1093" s="11">
        <v>5.723247261E9</v>
      </c>
      <c r="C1093" s="12" t="s">
        <v>1033</v>
      </c>
      <c r="D1093" s="11">
        <v>6437076.0</v>
      </c>
      <c r="E1093" s="10">
        <v>45168.0</v>
      </c>
      <c r="F1093" s="9" t="s">
        <v>69</v>
      </c>
      <c r="G1093" s="13">
        <v>2.0</v>
      </c>
      <c r="H1093" s="9" t="s">
        <v>81</v>
      </c>
      <c r="I1093" s="9" t="s">
        <v>71</v>
      </c>
      <c r="J1093" s="9" t="s">
        <v>72</v>
      </c>
      <c r="K1093" s="9" t="s">
        <v>107</v>
      </c>
    </row>
    <row r="1094" ht="15.75" customHeight="1">
      <c r="A1094" s="10">
        <v>45160.0</v>
      </c>
      <c r="B1094" s="11">
        <v>2.936127622E9</v>
      </c>
      <c r="C1094" s="12" t="s">
        <v>1034</v>
      </c>
      <c r="D1094" s="11">
        <v>2.7400865E7</v>
      </c>
      <c r="E1094" s="10">
        <v>45168.0</v>
      </c>
      <c r="F1094" s="9" t="s">
        <v>69</v>
      </c>
      <c r="G1094" s="13">
        <v>2.0</v>
      </c>
      <c r="H1094" s="9" t="s">
        <v>70</v>
      </c>
      <c r="I1094" s="9" t="s">
        <v>71</v>
      </c>
      <c r="J1094" s="9" t="s">
        <v>72</v>
      </c>
      <c r="K1094" s="9" t="s">
        <v>107</v>
      </c>
    </row>
    <row r="1095" ht="15.75" customHeight="1">
      <c r="A1095" s="10">
        <v>45160.0</v>
      </c>
      <c r="B1095" s="11">
        <v>1.109938723E9</v>
      </c>
      <c r="C1095" s="12" t="s">
        <v>1035</v>
      </c>
      <c r="D1095" s="11">
        <v>1.1788669E7</v>
      </c>
      <c r="E1095" s="10">
        <v>45168.0</v>
      </c>
      <c r="F1095" s="9" t="s">
        <v>69</v>
      </c>
      <c r="G1095" s="13">
        <v>2.0</v>
      </c>
      <c r="H1095" s="9" t="s">
        <v>70</v>
      </c>
      <c r="I1095" s="9" t="s">
        <v>77</v>
      </c>
      <c r="J1095" s="9" t="s">
        <v>318</v>
      </c>
      <c r="K1095" s="9" t="s">
        <v>107</v>
      </c>
    </row>
    <row r="1096" ht="15.75" customHeight="1">
      <c r="A1096" s="10">
        <v>45160.0</v>
      </c>
      <c r="B1096" s="11">
        <v>6.162483003E9</v>
      </c>
      <c r="C1096" s="12" t="s">
        <v>1036</v>
      </c>
      <c r="D1096" s="11">
        <v>2.1329194E7</v>
      </c>
      <c r="E1096" s="10">
        <v>45168.0</v>
      </c>
      <c r="F1096" s="9" t="s">
        <v>76</v>
      </c>
      <c r="G1096" s="13">
        <v>2.0</v>
      </c>
      <c r="H1096" s="9" t="s">
        <v>70</v>
      </c>
      <c r="I1096" s="9" t="s">
        <v>77</v>
      </c>
      <c r="J1096" s="9" t="s">
        <v>318</v>
      </c>
      <c r="K1096" s="9" t="s">
        <v>107</v>
      </c>
    </row>
    <row r="1097" ht="15.75" customHeight="1">
      <c r="A1097" s="10">
        <v>45160.0</v>
      </c>
      <c r="B1097" s="11">
        <v>5.162225014E9</v>
      </c>
      <c r="C1097" s="12" t="s">
        <v>1037</v>
      </c>
      <c r="D1097" s="11">
        <v>6039576.0</v>
      </c>
      <c r="E1097" s="10">
        <v>45168.0</v>
      </c>
      <c r="F1097" s="9" t="s">
        <v>76</v>
      </c>
      <c r="G1097" s="13">
        <v>2.0</v>
      </c>
      <c r="H1097" s="9" t="s">
        <v>70</v>
      </c>
      <c r="I1097" s="9" t="s">
        <v>77</v>
      </c>
      <c r="J1097" s="9" t="s">
        <v>318</v>
      </c>
      <c r="K1097" s="9" t="s">
        <v>107</v>
      </c>
    </row>
    <row r="1098" ht="15.75" customHeight="1">
      <c r="A1098" s="10">
        <v>45162.0</v>
      </c>
      <c r="B1098" s="11">
        <v>1.581258055E9</v>
      </c>
      <c r="C1098" s="12" t="s">
        <v>1035</v>
      </c>
      <c r="D1098" s="11">
        <v>1.1788669E7</v>
      </c>
      <c r="E1098" s="10">
        <v>45168.0</v>
      </c>
      <c r="F1098" s="9" t="s">
        <v>76</v>
      </c>
      <c r="G1098" s="13">
        <v>1.0</v>
      </c>
      <c r="H1098" s="9" t="s">
        <v>70</v>
      </c>
      <c r="I1098" s="9" t="s">
        <v>77</v>
      </c>
      <c r="J1098" s="9" t="s">
        <v>318</v>
      </c>
      <c r="K1098" s="9" t="s">
        <v>90</v>
      </c>
    </row>
    <row r="1099" ht="15.75" customHeight="1">
      <c r="A1099" s="10">
        <v>45163.0</v>
      </c>
      <c r="B1099" s="11">
        <v>4.992229896E9</v>
      </c>
      <c r="C1099" s="12" t="s">
        <v>1035</v>
      </c>
      <c r="D1099" s="11">
        <v>1.1788669E7</v>
      </c>
      <c r="E1099" s="10">
        <v>45168.0</v>
      </c>
      <c r="F1099" s="9" t="s">
        <v>76</v>
      </c>
      <c r="G1099" s="13">
        <v>2.0</v>
      </c>
      <c r="H1099" s="9" t="s">
        <v>70</v>
      </c>
      <c r="I1099" s="9" t="s">
        <v>77</v>
      </c>
      <c r="J1099" s="9" t="s">
        <v>318</v>
      </c>
      <c r="K1099" s="9" t="s">
        <v>90</v>
      </c>
    </row>
    <row r="1100" ht="15.75" customHeight="1">
      <c r="A1100" s="10"/>
      <c r="B1100" s="7"/>
      <c r="C1100" s="8"/>
      <c r="D1100" s="7"/>
      <c r="E1100" s="6"/>
      <c r="F1100" s="9"/>
      <c r="G1100" s="9"/>
      <c r="H1100" s="9"/>
      <c r="I1100" s="9"/>
      <c r="J1100" s="9"/>
    </row>
    <row r="1101" ht="15.75" customHeight="1">
      <c r="A1101" s="6"/>
      <c r="B1101" s="7"/>
      <c r="C1101" s="8"/>
      <c r="D1101" s="7"/>
      <c r="E1101" s="6"/>
      <c r="F1101" s="9"/>
      <c r="G1101" s="13"/>
      <c r="H1101" s="9"/>
      <c r="I1101" s="9"/>
      <c r="J1101" s="9"/>
    </row>
    <row r="1102" ht="15.75" customHeight="1">
      <c r="A1102" s="6"/>
      <c r="B1102" s="7"/>
      <c r="C1102" s="8"/>
      <c r="D1102" s="7"/>
      <c r="E1102" s="6"/>
      <c r="F1102" s="9"/>
      <c r="G1102" s="9"/>
      <c r="H1102" s="9"/>
      <c r="I1102" s="9"/>
      <c r="J1102" s="9"/>
    </row>
    <row r="1103" ht="15.75" customHeight="1">
      <c r="A1103" s="6"/>
      <c r="B1103" s="7"/>
      <c r="C1103" s="8"/>
      <c r="D1103" s="7"/>
      <c r="E1103" s="6"/>
      <c r="F1103" s="9"/>
      <c r="G1103" s="13"/>
      <c r="H1103" s="9"/>
      <c r="I1103" s="9"/>
      <c r="J1103" s="9"/>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63"/>
    <col customWidth="1" min="2" max="2" width="16.13"/>
    <col customWidth="1" min="3" max="4" width="9.38"/>
    <col customWidth="1" min="5" max="5" width="16.0"/>
    <col customWidth="1" min="6" max="6" width="12.13"/>
    <col customWidth="1" min="7" max="7" width="20.88"/>
    <col customWidth="1" min="8" max="9" width="9.38"/>
    <col customWidth="1" min="10" max="10" width="18.13"/>
    <col customWidth="1" min="11" max="11" width="16.13"/>
    <col customWidth="1" min="12" max="12" width="16.63"/>
    <col customWidth="1" min="13" max="13" width="14.88"/>
    <col customWidth="1" min="14" max="14" width="14.63"/>
    <col customWidth="1" min="15" max="15" width="12.13"/>
    <col customWidth="1" min="16" max="16" width="13.25"/>
    <col customWidth="1" min="17" max="18" width="10.0"/>
    <col customWidth="1" min="19" max="26" width="9.38"/>
  </cols>
  <sheetData>
    <row r="1">
      <c r="A1" s="15" t="s">
        <v>57</v>
      </c>
      <c r="B1" s="16" t="s">
        <v>58</v>
      </c>
      <c r="C1" s="17" t="s">
        <v>59</v>
      </c>
      <c r="D1" s="16" t="s">
        <v>60</v>
      </c>
      <c r="E1" s="18" t="s">
        <v>61</v>
      </c>
      <c r="F1" s="19" t="s">
        <v>62</v>
      </c>
      <c r="G1" s="19" t="s">
        <v>63</v>
      </c>
      <c r="H1" s="19" t="s">
        <v>64</v>
      </c>
      <c r="I1" s="19" t="s">
        <v>65</v>
      </c>
      <c r="J1" s="19" t="s">
        <v>66</v>
      </c>
      <c r="K1" s="19" t="s">
        <v>1038</v>
      </c>
      <c r="L1" s="19" t="s">
        <v>1039</v>
      </c>
      <c r="M1" s="19" t="s">
        <v>1040</v>
      </c>
      <c r="N1" s="19" t="s">
        <v>1041</v>
      </c>
      <c r="O1" s="20" t="s">
        <v>1042</v>
      </c>
      <c r="P1" s="19" t="s">
        <v>1043</v>
      </c>
      <c r="Q1" s="21" t="s">
        <v>1044</v>
      </c>
      <c r="R1" s="21" t="s">
        <v>1045</v>
      </c>
    </row>
    <row r="2">
      <c r="A2" s="22">
        <v>44851.0</v>
      </c>
      <c r="B2" s="23">
        <v>3.643884075E9</v>
      </c>
      <c r="C2" s="24" t="s">
        <v>68</v>
      </c>
      <c r="D2" s="23">
        <v>4.2468326E7</v>
      </c>
      <c r="E2" s="22">
        <v>44852.0</v>
      </c>
      <c r="F2" s="25" t="s">
        <v>69</v>
      </c>
      <c r="G2" s="26">
        <v>3.0</v>
      </c>
      <c r="H2" s="25" t="s">
        <v>70</v>
      </c>
      <c r="I2" s="25" t="s">
        <v>71</v>
      </c>
      <c r="J2" s="25" t="s">
        <v>72</v>
      </c>
      <c r="K2" s="25" t="s">
        <v>73</v>
      </c>
      <c r="L2" s="25" t="str">
        <f t="shared" ref="L2:L1099" si="1">IF(G2&gt;1,"FAMILIAR","INDIVIDUAL")</f>
        <v>FAMILIAR</v>
      </c>
      <c r="M2" s="25">
        <f t="shared" ref="M2:M1099" si="2">MONTH(E2)</f>
        <v>10</v>
      </c>
      <c r="N2" s="25">
        <f t="shared" ref="N2:N1099" si="3">YEAR(E2)</f>
        <v>2022</v>
      </c>
      <c r="O2" s="27" t="str">
        <f>VLOOKUP(K2,'CA y tablas'!$B$22:$C$28,2,FALSE)</f>
        <v>AMERICANO</v>
      </c>
      <c r="P2" s="28" t="str">
        <f t="shared" ref="P2:P1099" si="4">IF(M3&lt;=6,"S1",IF(M3&gt;=7,"S2"))</f>
        <v>S2</v>
      </c>
      <c r="Q2" s="29">
        <v>3.0</v>
      </c>
      <c r="R2" s="29" t="str">
        <f t="shared" ref="R2:R1100" si="5">IF(Q3=1,"Q1",IF(Q3=2,"Q2","Q3"))</f>
        <v>Q3</v>
      </c>
    </row>
    <row r="3">
      <c r="A3" s="30">
        <v>44853.0</v>
      </c>
      <c r="B3" s="31">
        <v>4.57120643E9</v>
      </c>
      <c r="C3" s="32" t="s">
        <v>74</v>
      </c>
      <c r="D3" s="31">
        <v>4.00885E7</v>
      </c>
      <c r="E3" s="30">
        <v>44853.0</v>
      </c>
      <c r="F3" s="33" t="s">
        <v>69</v>
      </c>
      <c r="G3" s="34">
        <v>1.0</v>
      </c>
      <c r="H3" s="33" t="s">
        <v>70</v>
      </c>
      <c r="I3" s="33" t="s">
        <v>71</v>
      </c>
      <c r="J3" s="33" t="s">
        <v>72</v>
      </c>
      <c r="K3" s="33" t="s">
        <v>73</v>
      </c>
      <c r="L3" s="33" t="str">
        <f t="shared" si="1"/>
        <v>INDIVIDUAL</v>
      </c>
      <c r="M3" s="33">
        <f t="shared" si="2"/>
        <v>10</v>
      </c>
      <c r="N3" s="33">
        <f t="shared" si="3"/>
        <v>2022</v>
      </c>
      <c r="O3" s="35" t="str">
        <f>VLOOKUP(K3,'CA y tablas'!$B$22:$C$28,2,FALSE)</f>
        <v>AMERICANO</v>
      </c>
      <c r="P3" s="28" t="str">
        <f t="shared" si="4"/>
        <v>S2</v>
      </c>
      <c r="Q3" s="29">
        <v>3.0</v>
      </c>
      <c r="R3" s="29" t="str">
        <f t="shared" si="5"/>
        <v>Q3</v>
      </c>
    </row>
    <row r="4">
      <c r="A4" s="22">
        <v>44853.0</v>
      </c>
      <c r="B4" s="23">
        <v>5.563157596E9</v>
      </c>
      <c r="C4" s="24" t="s">
        <v>75</v>
      </c>
      <c r="D4" s="23">
        <v>2.7400609E7</v>
      </c>
      <c r="E4" s="22">
        <v>44854.0</v>
      </c>
      <c r="F4" s="25" t="s">
        <v>76</v>
      </c>
      <c r="G4" s="26">
        <v>4.0</v>
      </c>
      <c r="H4" s="25" t="s">
        <v>70</v>
      </c>
      <c r="I4" s="25" t="s">
        <v>77</v>
      </c>
      <c r="J4" s="25" t="s">
        <v>72</v>
      </c>
      <c r="K4" s="25" t="s">
        <v>73</v>
      </c>
      <c r="L4" s="25" t="str">
        <f t="shared" si="1"/>
        <v>FAMILIAR</v>
      </c>
      <c r="M4" s="25">
        <f t="shared" si="2"/>
        <v>10</v>
      </c>
      <c r="N4" s="25">
        <f t="shared" si="3"/>
        <v>2022</v>
      </c>
      <c r="O4" s="27" t="str">
        <f>VLOOKUP(K4,'CA y tablas'!$B$22:$C$28,2,FALSE)</f>
        <v>AMERICANO</v>
      </c>
      <c r="P4" s="28" t="str">
        <f t="shared" si="4"/>
        <v>S2</v>
      </c>
      <c r="Q4" s="29">
        <v>3.0</v>
      </c>
      <c r="R4" s="29" t="str">
        <f t="shared" si="5"/>
        <v>Q3</v>
      </c>
    </row>
    <row r="5">
      <c r="A5" s="30">
        <v>44853.0</v>
      </c>
      <c r="B5" s="31">
        <v>1.467588883E9</v>
      </c>
      <c r="C5" s="32" t="s">
        <v>78</v>
      </c>
      <c r="D5" s="31">
        <v>3.4375852E7</v>
      </c>
      <c r="E5" s="30">
        <v>44855.0</v>
      </c>
      <c r="F5" s="33" t="s">
        <v>76</v>
      </c>
      <c r="G5" s="34">
        <v>2.0</v>
      </c>
      <c r="H5" s="33" t="s">
        <v>70</v>
      </c>
      <c r="I5" s="33" t="s">
        <v>77</v>
      </c>
      <c r="J5" s="33" t="s">
        <v>79</v>
      </c>
      <c r="K5" s="33" t="s">
        <v>73</v>
      </c>
      <c r="L5" s="33" t="str">
        <f t="shared" si="1"/>
        <v>FAMILIAR</v>
      </c>
      <c r="M5" s="33">
        <f t="shared" si="2"/>
        <v>10</v>
      </c>
      <c r="N5" s="33">
        <f t="shared" si="3"/>
        <v>2022</v>
      </c>
      <c r="O5" s="35" t="str">
        <f>VLOOKUP(K5,'CA y tablas'!$B$22:$C$28,2,FALSE)</f>
        <v>AMERICANO</v>
      </c>
      <c r="P5" s="28" t="str">
        <f t="shared" si="4"/>
        <v>S2</v>
      </c>
      <c r="Q5" s="29">
        <v>3.0</v>
      </c>
      <c r="R5" s="29" t="str">
        <f t="shared" si="5"/>
        <v>Q3</v>
      </c>
    </row>
    <row r="6">
      <c r="A6" s="22">
        <v>44852.0</v>
      </c>
      <c r="B6" s="23">
        <v>9.030738216E9</v>
      </c>
      <c r="C6" s="24" t="s">
        <v>80</v>
      </c>
      <c r="D6" s="23">
        <v>3.8348226E7</v>
      </c>
      <c r="E6" s="22">
        <v>44858.0</v>
      </c>
      <c r="F6" s="25" t="s">
        <v>69</v>
      </c>
      <c r="G6" s="26">
        <v>1.0</v>
      </c>
      <c r="H6" s="25" t="s">
        <v>81</v>
      </c>
      <c r="I6" s="25" t="s">
        <v>77</v>
      </c>
      <c r="J6" s="25" t="s">
        <v>79</v>
      </c>
      <c r="K6" s="25" t="s">
        <v>73</v>
      </c>
      <c r="L6" s="25" t="str">
        <f t="shared" si="1"/>
        <v>INDIVIDUAL</v>
      </c>
      <c r="M6" s="25">
        <f t="shared" si="2"/>
        <v>10</v>
      </c>
      <c r="N6" s="25">
        <f t="shared" si="3"/>
        <v>2022</v>
      </c>
      <c r="O6" s="27" t="str">
        <f>VLOOKUP(K6,'CA y tablas'!$B$22:$C$28,2,FALSE)</f>
        <v>AMERICANO</v>
      </c>
      <c r="P6" s="28" t="str">
        <f t="shared" si="4"/>
        <v>S2</v>
      </c>
      <c r="Q6" s="29">
        <v>3.0</v>
      </c>
      <c r="R6" s="29" t="str">
        <f t="shared" si="5"/>
        <v>Q3</v>
      </c>
    </row>
    <row r="7">
      <c r="A7" s="30">
        <v>44852.0</v>
      </c>
      <c r="B7" s="31">
        <v>7.839167276E9</v>
      </c>
      <c r="C7" s="32" t="s">
        <v>82</v>
      </c>
      <c r="D7" s="31">
        <v>4.2523387E7</v>
      </c>
      <c r="E7" s="30">
        <v>44858.0</v>
      </c>
      <c r="F7" s="33" t="s">
        <v>69</v>
      </c>
      <c r="G7" s="34">
        <v>3.0</v>
      </c>
      <c r="H7" s="33" t="s">
        <v>81</v>
      </c>
      <c r="I7" s="33" t="s">
        <v>77</v>
      </c>
      <c r="J7" s="33" t="s">
        <v>83</v>
      </c>
      <c r="K7" s="33" t="s">
        <v>84</v>
      </c>
      <c r="L7" s="33" t="str">
        <f t="shared" si="1"/>
        <v>FAMILIAR</v>
      </c>
      <c r="M7" s="33">
        <f t="shared" si="2"/>
        <v>10</v>
      </c>
      <c r="N7" s="33">
        <f t="shared" si="3"/>
        <v>2022</v>
      </c>
      <c r="O7" s="35" t="str">
        <f>VLOOKUP(K7,'CA y tablas'!$B$22:$C$28,2,FALSE)</f>
        <v>EUROPEO</v>
      </c>
      <c r="P7" s="28" t="str">
        <f t="shared" si="4"/>
        <v>S2</v>
      </c>
      <c r="Q7" s="29">
        <v>3.0</v>
      </c>
      <c r="R7" s="29" t="str">
        <f t="shared" si="5"/>
        <v>Q3</v>
      </c>
    </row>
    <row r="8">
      <c r="A8" s="22">
        <v>44855.0</v>
      </c>
      <c r="B8" s="23">
        <v>8.249432962E9</v>
      </c>
      <c r="C8" s="24" t="s">
        <v>85</v>
      </c>
      <c r="D8" s="23">
        <v>3.914219E7</v>
      </c>
      <c r="E8" s="22">
        <v>44858.0</v>
      </c>
      <c r="F8" s="25" t="s">
        <v>69</v>
      </c>
      <c r="G8" s="26">
        <v>2.0</v>
      </c>
      <c r="H8" s="25" t="s">
        <v>81</v>
      </c>
      <c r="I8" s="25" t="s">
        <v>77</v>
      </c>
      <c r="J8" s="25" t="s">
        <v>83</v>
      </c>
      <c r="K8" s="25" t="s">
        <v>84</v>
      </c>
      <c r="L8" s="25" t="str">
        <f t="shared" si="1"/>
        <v>FAMILIAR</v>
      </c>
      <c r="M8" s="25">
        <f t="shared" si="2"/>
        <v>10</v>
      </c>
      <c r="N8" s="25">
        <f t="shared" si="3"/>
        <v>2022</v>
      </c>
      <c r="O8" s="27" t="str">
        <f>VLOOKUP(K8,'CA y tablas'!$B$22:$C$28,2,FALSE)</f>
        <v>EUROPEO</v>
      </c>
      <c r="P8" s="28" t="str">
        <f t="shared" si="4"/>
        <v>S2</v>
      </c>
      <c r="Q8" s="29">
        <v>3.0</v>
      </c>
      <c r="R8" s="29" t="str">
        <f t="shared" si="5"/>
        <v>Q3</v>
      </c>
    </row>
    <row r="9">
      <c r="A9" s="30">
        <v>44859.0</v>
      </c>
      <c r="B9" s="31">
        <v>4.583243626E9</v>
      </c>
      <c r="C9" s="32" t="s">
        <v>86</v>
      </c>
      <c r="D9" s="31">
        <v>1.0017335E7</v>
      </c>
      <c r="E9" s="30">
        <v>44860.0</v>
      </c>
      <c r="F9" s="33" t="s">
        <v>69</v>
      </c>
      <c r="G9" s="34">
        <v>2.0</v>
      </c>
      <c r="H9" s="33" t="s">
        <v>87</v>
      </c>
      <c r="I9" s="33" t="s">
        <v>88</v>
      </c>
      <c r="J9" s="33" t="s">
        <v>83</v>
      </c>
      <c r="K9" s="33" t="s">
        <v>84</v>
      </c>
      <c r="L9" s="33" t="str">
        <f t="shared" si="1"/>
        <v>FAMILIAR</v>
      </c>
      <c r="M9" s="33">
        <f t="shared" si="2"/>
        <v>10</v>
      </c>
      <c r="N9" s="33">
        <f t="shared" si="3"/>
        <v>2022</v>
      </c>
      <c r="O9" s="35" t="str">
        <f>VLOOKUP(K9,'CA y tablas'!$B$22:$C$28,2,FALSE)</f>
        <v>EUROPEO</v>
      </c>
      <c r="P9" s="28" t="str">
        <f t="shared" si="4"/>
        <v>S2</v>
      </c>
      <c r="Q9" s="29">
        <v>3.0</v>
      </c>
      <c r="R9" s="29" t="str">
        <f t="shared" si="5"/>
        <v>Q3</v>
      </c>
    </row>
    <row r="10">
      <c r="A10" s="22">
        <v>44859.0</v>
      </c>
      <c r="B10" s="23">
        <v>5.611820922E9</v>
      </c>
      <c r="C10" s="24" t="s">
        <v>89</v>
      </c>
      <c r="D10" s="23">
        <v>3.7797759E7</v>
      </c>
      <c r="E10" s="22">
        <v>44862.0</v>
      </c>
      <c r="F10" s="25" t="s">
        <v>69</v>
      </c>
      <c r="G10" s="26">
        <v>2.0</v>
      </c>
      <c r="H10" s="25" t="s">
        <v>87</v>
      </c>
      <c r="I10" s="25" t="s">
        <v>88</v>
      </c>
      <c r="J10" s="25" t="s">
        <v>83</v>
      </c>
      <c r="K10" s="25" t="s">
        <v>90</v>
      </c>
      <c r="L10" s="25" t="str">
        <f t="shared" si="1"/>
        <v>FAMILIAR</v>
      </c>
      <c r="M10" s="25">
        <f t="shared" si="2"/>
        <v>10</v>
      </c>
      <c r="N10" s="25">
        <f t="shared" si="3"/>
        <v>2022</v>
      </c>
      <c r="O10" s="27" t="str">
        <f>VLOOKUP(K10,'CA y tablas'!$B$22:$C$28,2,FALSE)</f>
        <v>EUROPEO</v>
      </c>
      <c r="P10" s="28" t="str">
        <f t="shared" si="4"/>
        <v>S2</v>
      </c>
      <c r="Q10" s="29">
        <v>3.0</v>
      </c>
      <c r="R10" s="29" t="str">
        <f t="shared" si="5"/>
        <v>Q3</v>
      </c>
    </row>
    <row r="11">
      <c r="A11" s="30">
        <v>44861.0</v>
      </c>
      <c r="B11" s="31">
        <v>6.98713694E9</v>
      </c>
      <c r="C11" s="32" t="s">
        <v>91</v>
      </c>
      <c r="D11" s="31">
        <v>1.1239744E7</v>
      </c>
      <c r="E11" s="30">
        <v>44862.0</v>
      </c>
      <c r="F11" s="33" t="s">
        <v>69</v>
      </c>
      <c r="G11" s="34">
        <v>2.0</v>
      </c>
      <c r="H11" s="33" t="s">
        <v>92</v>
      </c>
      <c r="I11" s="33" t="s">
        <v>88</v>
      </c>
      <c r="J11" s="33" t="s">
        <v>93</v>
      </c>
      <c r="K11" s="33" t="s">
        <v>90</v>
      </c>
      <c r="L11" s="33" t="str">
        <f t="shared" si="1"/>
        <v>FAMILIAR</v>
      </c>
      <c r="M11" s="33">
        <f t="shared" si="2"/>
        <v>10</v>
      </c>
      <c r="N11" s="33">
        <f t="shared" si="3"/>
        <v>2022</v>
      </c>
      <c r="O11" s="35" t="str">
        <f>VLOOKUP(K11,'CA y tablas'!$B$22:$C$28,2,FALSE)</f>
        <v>EUROPEO</v>
      </c>
      <c r="P11" s="28" t="str">
        <f t="shared" si="4"/>
        <v>S2</v>
      </c>
      <c r="Q11" s="29">
        <v>3.0</v>
      </c>
      <c r="R11" s="29" t="str">
        <f t="shared" si="5"/>
        <v>Q3</v>
      </c>
    </row>
    <row r="12">
      <c r="A12" s="22">
        <v>44861.0</v>
      </c>
      <c r="B12" s="23">
        <v>3.995222884E9</v>
      </c>
      <c r="C12" s="24" t="s">
        <v>94</v>
      </c>
      <c r="D12" s="23">
        <v>1.347532E7</v>
      </c>
      <c r="E12" s="22">
        <v>44862.0</v>
      </c>
      <c r="F12" s="25" t="s">
        <v>76</v>
      </c>
      <c r="G12" s="26">
        <v>2.0</v>
      </c>
      <c r="H12" s="25" t="s">
        <v>92</v>
      </c>
      <c r="I12" s="25" t="s">
        <v>77</v>
      </c>
      <c r="J12" s="25" t="s">
        <v>93</v>
      </c>
      <c r="K12" s="25" t="s">
        <v>90</v>
      </c>
      <c r="L12" s="25" t="str">
        <f t="shared" si="1"/>
        <v>FAMILIAR</v>
      </c>
      <c r="M12" s="25">
        <f t="shared" si="2"/>
        <v>10</v>
      </c>
      <c r="N12" s="25">
        <f t="shared" si="3"/>
        <v>2022</v>
      </c>
      <c r="O12" s="27" t="str">
        <f>VLOOKUP(K12,'CA y tablas'!$B$22:$C$28,2,FALSE)</f>
        <v>EUROPEO</v>
      </c>
      <c r="P12" s="28" t="str">
        <f t="shared" si="4"/>
        <v>S2</v>
      </c>
      <c r="Q12" s="29">
        <v>3.0</v>
      </c>
      <c r="R12" s="29" t="str">
        <f t="shared" si="5"/>
        <v>Q3</v>
      </c>
    </row>
    <row r="13">
      <c r="A13" s="30">
        <v>44862.0</v>
      </c>
      <c r="B13" s="31">
        <v>9.673398696E9</v>
      </c>
      <c r="C13" s="32" t="s">
        <v>95</v>
      </c>
      <c r="D13" s="31">
        <v>1.3607418E7</v>
      </c>
      <c r="E13" s="30">
        <v>44862.0</v>
      </c>
      <c r="F13" s="33" t="s">
        <v>76</v>
      </c>
      <c r="G13" s="34">
        <v>1.0</v>
      </c>
      <c r="H13" s="33" t="s">
        <v>92</v>
      </c>
      <c r="I13" s="33" t="s">
        <v>77</v>
      </c>
      <c r="J13" s="33" t="s">
        <v>93</v>
      </c>
      <c r="K13" s="33" t="s">
        <v>90</v>
      </c>
      <c r="L13" s="33" t="str">
        <f t="shared" si="1"/>
        <v>INDIVIDUAL</v>
      </c>
      <c r="M13" s="33">
        <f t="shared" si="2"/>
        <v>10</v>
      </c>
      <c r="N13" s="33">
        <f t="shared" si="3"/>
        <v>2022</v>
      </c>
      <c r="O13" s="35" t="str">
        <f>VLOOKUP(K13,'CA y tablas'!$B$22:$C$28,2,FALSE)</f>
        <v>EUROPEO</v>
      </c>
      <c r="P13" s="28" t="str">
        <f t="shared" si="4"/>
        <v>S2</v>
      </c>
      <c r="Q13" s="29">
        <v>3.0</v>
      </c>
      <c r="R13" s="29" t="str">
        <f t="shared" si="5"/>
        <v>Q3</v>
      </c>
    </row>
    <row r="14">
      <c r="A14" s="22">
        <v>44862.0</v>
      </c>
      <c r="B14" s="23">
        <v>2.824734931E9</v>
      </c>
      <c r="C14" s="24" t="s">
        <v>96</v>
      </c>
      <c r="D14" s="23">
        <v>4.4580929E7</v>
      </c>
      <c r="E14" s="22">
        <v>44865.0</v>
      </c>
      <c r="F14" s="25" t="s">
        <v>76</v>
      </c>
      <c r="G14" s="26">
        <v>5.0</v>
      </c>
      <c r="H14" s="25" t="s">
        <v>92</v>
      </c>
      <c r="I14" s="25" t="s">
        <v>77</v>
      </c>
      <c r="J14" s="25" t="s">
        <v>93</v>
      </c>
      <c r="K14" s="25" t="s">
        <v>90</v>
      </c>
      <c r="L14" s="25" t="str">
        <f t="shared" si="1"/>
        <v>FAMILIAR</v>
      </c>
      <c r="M14" s="25">
        <f t="shared" si="2"/>
        <v>10</v>
      </c>
      <c r="N14" s="25">
        <f t="shared" si="3"/>
        <v>2022</v>
      </c>
      <c r="O14" s="27" t="str">
        <f>VLOOKUP(K14,'CA y tablas'!$B$22:$C$28,2,FALSE)</f>
        <v>EUROPEO</v>
      </c>
      <c r="P14" s="28" t="str">
        <f t="shared" si="4"/>
        <v>S2</v>
      </c>
      <c r="Q14" s="29">
        <v>3.0</v>
      </c>
      <c r="R14" s="29" t="str">
        <f t="shared" si="5"/>
        <v>Q3</v>
      </c>
    </row>
    <row r="15">
      <c r="A15" s="30">
        <v>44865.0</v>
      </c>
      <c r="B15" s="31">
        <v>9.895775956E9</v>
      </c>
      <c r="C15" s="32" t="s">
        <v>97</v>
      </c>
      <c r="D15" s="31">
        <v>1.737776E7</v>
      </c>
      <c r="E15" s="30">
        <v>44865.0</v>
      </c>
      <c r="F15" s="33" t="s">
        <v>69</v>
      </c>
      <c r="G15" s="34">
        <v>5.0</v>
      </c>
      <c r="H15" s="33" t="s">
        <v>92</v>
      </c>
      <c r="I15" s="33" t="s">
        <v>77</v>
      </c>
      <c r="J15" s="33" t="s">
        <v>98</v>
      </c>
      <c r="K15" s="33" t="s">
        <v>99</v>
      </c>
      <c r="L15" s="33" t="str">
        <f t="shared" si="1"/>
        <v>FAMILIAR</v>
      </c>
      <c r="M15" s="33">
        <f t="shared" si="2"/>
        <v>10</v>
      </c>
      <c r="N15" s="33">
        <f t="shared" si="3"/>
        <v>2022</v>
      </c>
      <c r="O15" s="35" t="str">
        <f>VLOOKUP(K15,'CA y tablas'!$B$22:$C$28,2,FALSE)</f>
        <v>EUROPEO</v>
      </c>
      <c r="P15" s="28" t="str">
        <f t="shared" si="4"/>
        <v>S2</v>
      </c>
      <c r="Q15" s="29">
        <v>3.0</v>
      </c>
      <c r="R15" s="29" t="str">
        <f t="shared" si="5"/>
        <v>Q3</v>
      </c>
    </row>
    <row r="16">
      <c r="A16" s="22">
        <v>44862.0</v>
      </c>
      <c r="B16" s="23">
        <v>3.586447233E9</v>
      </c>
      <c r="C16" s="24" t="s">
        <v>100</v>
      </c>
      <c r="D16" s="23">
        <v>4.2525454E7</v>
      </c>
      <c r="E16" s="22">
        <v>44867.0</v>
      </c>
      <c r="F16" s="25" t="s">
        <v>69</v>
      </c>
      <c r="G16" s="26">
        <v>1.0</v>
      </c>
      <c r="H16" s="25" t="s">
        <v>92</v>
      </c>
      <c r="I16" s="25" t="s">
        <v>77</v>
      </c>
      <c r="J16" s="25" t="s">
        <v>98</v>
      </c>
      <c r="K16" s="25" t="s">
        <v>99</v>
      </c>
      <c r="L16" s="25" t="str">
        <f t="shared" si="1"/>
        <v>INDIVIDUAL</v>
      </c>
      <c r="M16" s="25">
        <f t="shared" si="2"/>
        <v>11</v>
      </c>
      <c r="N16" s="25">
        <f t="shared" si="3"/>
        <v>2022</v>
      </c>
      <c r="O16" s="27" t="str">
        <f>VLOOKUP(K16,'CA y tablas'!$B$22:$C$28,2,FALSE)</f>
        <v>EUROPEO</v>
      </c>
      <c r="P16" s="28" t="str">
        <f t="shared" si="4"/>
        <v>S2</v>
      </c>
      <c r="Q16" s="29">
        <v>3.0</v>
      </c>
      <c r="R16" s="29" t="str">
        <f t="shared" si="5"/>
        <v>Q3</v>
      </c>
    </row>
    <row r="17">
      <c r="A17" s="30">
        <v>44865.0</v>
      </c>
      <c r="B17" s="31">
        <v>2.583345015E9</v>
      </c>
      <c r="C17" s="32" t="s">
        <v>101</v>
      </c>
      <c r="D17" s="31">
        <v>3.7457357E7</v>
      </c>
      <c r="E17" s="30">
        <v>44867.0</v>
      </c>
      <c r="F17" s="33" t="s">
        <v>69</v>
      </c>
      <c r="G17" s="34">
        <v>4.0</v>
      </c>
      <c r="H17" s="33" t="s">
        <v>92</v>
      </c>
      <c r="I17" s="33" t="s">
        <v>77</v>
      </c>
      <c r="J17" s="33" t="s">
        <v>98</v>
      </c>
      <c r="K17" s="33" t="s">
        <v>99</v>
      </c>
      <c r="L17" s="33" t="str">
        <f t="shared" si="1"/>
        <v>FAMILIAR</v>
      </c>
      <c r="M17" s="33">
        <f t="shared" si="2"/>
        <v>11</v>
      </c>
      <c r="N17" s="33">
        <f t="shared" si="3"/>
        <v>2022</v>
      </c>
      <c r="O17" s="35" t="str">
        <f>VLOOKUP(K17,'CA y tablas'!$B$22:$C$28,2,FALSE)</f>
        <v>EUROPEO</v>
      </c>
      <c r="P17" s="28" t="str">
        <f t="shared" si="4"/>
        <v>S2</v>
      </c>
      <c r="Q17" s="29">
        <v>3.0</v>
      </c>
      <c r="R17" s="29" t="str">
        <f t="shared" si="5"/>
        <v>Q3</v>
      </c>
    </row>
    <row r="18">
      <c r="A18" s="22">
        <v>44859.0</v>
      </c>
      <c r="B18" s="23">
        <v>3.735635514E9</v>
      </c>
      <c r="C18" s="24" t="s">
        <v>102</v>
      </c>
      <c r="D18" s="23">
        <v>2.9865699E7</v>
      </c>
      <c r="E18" s="22">
        <v>44868.0</v>
      </c>
      <c r="F18" s="25" t="s">
        <v>69</v>
      </c>
      <c r="G18" s="26">
        <v>3.0</v>
      </c>
      <c r="H18" s="25" t="s">
        <v>92</v>
      </c>
      <c r="I18" s="25" t="s">
        <v>77</v>
      </c>
      <c r="J18" s="25" t="s">
        <v>98</v>
      </c>
      <c r="K18" s="25" t="s">
        <v>103</v>
      </c>
      <c r="L18" s="25" t="str">
        <f t="shared" si="1"/>
        <v>FAMILIAR</v>
      </c>
      <c r="M18" s="25">
        <f t="shared" si="2"/>
        <v>11</v>
      </c>
      <c r="N18" s="25">
        <f t="shared" si="3"/>
        <v>2022</v>
      </c>
      <c r="O18" s="27" t="str">
        <f>VLOOKUP(K18,'CA y tablas'!$B$22:$C$28,2,FALSE)</f>
        <v>EUROPEO</v>
      </c>
      <c r="P18" s="28" t="str">
        <f t="shared" si="4"/>
        <v>S2</v>
      </c>
      <c r="Q18" s="29">
        <v>3.0</v>
      </c>
      <c r="R18" s="29" t="str">
        <f t="shared" si="5"/>
        <v>Q3</v>
      </c>
    </row>
    <row r="19">
      <c r="A19" s="30">
        <v>44862.0</v>
      </c>
      <c r="B19" s="31">
        <v>2.824753584E9</v>
      </c>
      <c r="C19" s="32" t="s">
        <v>102</v>
      </c>
      <c r="D19" s="31">
        <v>2.9865699E7</v>
      </c>
      <c r="E19" s="30">
        <v>44868.0</v>
      </c>
      <c r="F19" s="33" t="s">
        <v>69</v>
      </c>
      <c r="G19" s="34">
        <v>1.0</v>
      </c>
      <c r="H19" s="33" t="s">
        <v>92</v>
      </c>
      <c r="I19" s="33" t="s">
        <v>77</v>
      </c>
      <c r="J19" s="33" t="s">
        <v>98</v>
      </c>
      <c r="K19" s="33" t="s">
        <v>103</v>
      </c>
      <c r="L19" s="33" t="str">
        <f t="shared" si="1"/>
        <v>INDIVIDUAL</v>
      </c>
      <c r="M19" s="33">
        <f t="shared" si="2"/>
        <v>11</v>
      </c>
      <c r="N19" s="33">
        <f t="shared" si="3"/>
        <v>2022</v>
      </c>
      <c r="O19" s="35" t="str">
        <f>VLOOKUP(K19,'CA y tablas'!$B$22:$C$28,2,FALSE)</f>
        <v>EUROPEO</v>
      </c>
      <c r="P19" s="28" t="str">
        <f t="shared" si="4"/>
        <v>S2</v>
      </c>
      <c r="Q19" s="29">
        <v>3.0</v>
      </c>
      <c r="R19" s="29" t="str">
        <f t="shared" si="5"/>
        <v>Q3</v>
      </c>
    </row>
    <row r="20">
      <c r="A20" s="22">
        <v>44872.0</v>
      </c>
      <c r="B20" s="23">
        <v>6.328497383E9</v>
      </c>
      <c r="C20" s="24" t="s">
        <v>104</v>
      </c>
      <c r="D20" s="23">
        <v>3.7957969E7</v>
      </c>
      <c r="E20" s="22">
        <v>44872.0</v>
      </c>
      <c r="F20" s="25" t="s">
        <v>69</v>
      </c>
      <c r="G20" s="26">
        <v>2.0</v>
      </c>
      <c r="H20" s="25" t="s">
        <v>92</v>
      </c>
      <c r="I20" s="25" t="s">
        <v>77</v>
      </c>
      <c r="J20" s="25" t="s">
        <v>98</v>
      </c>
      <c r="K20" s="25" t="s">
        <v>103</v>
      </c>
      <c r="L20" s="25" t="str">
        <f t="shared" si="1"/>
        <v>FAMILIAR</v>
      </c>
      <c r="M20" s="25">
        <f t="shared" si="2"/>
        <v>11</v>
      </c>
      <c r="N20" s="25">
        <f t="shared" si="3"/>
        <v>2022</v>
      </c>
      <c r="O20" s="27" t="str">
        <f>VLOOKUP(K20,'CA y tablas'!$B$22:$C$28,2,FALSE)</f>
        <v>EUROPEO</v>
      </c>
      <c r="P20" s="28" t="str">
        <f t="shared" si="4"/>
        <v>S2</v>
      </c>
      <c r="Q20" s="29">
        <v>3.0</v>
      </c>
      <c r="R20" s="29" t="str">
        <f t="shared" si="5"/>
        <v>Q3</v>
      </c>
    </row>
    <row r="21" ht="15.75" customHeight="1">
      <c r="A21" s="30">
        <v>44865.0</v>
      </c>
      <c r="B21" s="31">
        <v>2.583533864E9</v>
      </c>
      <c r="C21" s="32" t="s">
        <v>105</v>
      </c>
      <c r="D21" s="31">
        <v>3.0759172E7</v>
      </c>
      <c r="E21" s="30">
        <v>44873.0</v>
      </c>
      <c r="F21" s="33" t="s">
        <v>69</v>
      </c>
      <c r="G21" s="34">
        <v>2.0</v>
      </c>
      <c r="H21" s="33" t="s">
        <v>106</v>
      </c>
      <c r="I21" s="33" t="s">
        <v>77</v>
      </c>
      <c r="J21" s="33" t="s">
        <v>98</v>
      </c>
      <c r="K21" s="33" t="s">
        <v>107</v>
      </c>
      <c r="L21" s="33" t="str">
        <f t="shared" si="1"/>
        <v>FAMILIAR</v>
      </c>
      <c r="M21" s="33">
        <f t="shared" si="2"/>
        <v>11</v>
      </c>
      <c r="N21" s="33">
        <f t="shared" si="3"/>
        <v>2022</v>
      </c>
      <c r="O21" s="35" t="str">
        <f>VLOOKUP(K21,'CA y tablas'!$B$22:$C$28,2,FALSE)</f>
        <v>AMERICANO</v>
      </c>
      <c r="P21" s="28" t="str">
        <f t="shared" si="4"/>
        <v>S2</v>
      </c>
      <c r="Q21" s="29">
        <v>3.0</v>
      </c>
      <c r="R21" s="29" t="str">
        <f t="shared" si="5"/>
        <v>Q3</v>
      </c>
    </row>
    <row r="22" ht="15.75" customHeight="1">
      <c r="A22" s="22">
        <v>44869.0</v>
      </c>
      <c r="B22" s="23">
        <v>9.35098143E9</v>
      </c>
      <c r="C22" s="24" t="s">
        <v>108</v>
      </c>
      <c r="D22" s="23">
        <v>1.327965E7</v>
      </c>
      <c r="E22" s="22">
        <v>44873.0</v>
      </c>
      <c r="F22" s="25" t="s">
        <v>69</v>
      </c>
      <c r="G22" s="26">
        <v>2.0</v>
      </c>
      <c r="H22" s="25" t="s">
        <v>106</v>
      </c>
      <c r="I22" s="25" t="s">
        <v>71</v>
      </c>
      <c r="J22" s="25" t="s">
        <v>72</v>
      </c>
      <c r="K22" s="25" t="s">
        <v>107</v>
      </c>
      <c r="L22" s="25" t="str">
        <f t="shared" si="1"/>
        <v>FAMILIAR</v>
      </c>
      <c r="M22" s="25">
        <f t="shared" si="2"/>
        <v>11</v>
      </c>
      <c r="N22" s="25">
        <f t="shared" si="3"/>
        <v>2022</v>
      </c>
      <c r="O22" s="27" t="str">
        <f>VLOOKUP(K22,'CA y tablas'!$B$22:$C$28,2,FALSE)</f>
        <v>AMERICANO</v>
      </c>
      <c r="P22" s="28" t="str">
        <f t="shared" si="4"/>
        <v>S2</v>
      </c>
      <c r="Q22" s="29">
        <v>3.0</v>
      </c>
      <c r="R22" s="29" t="str">
        <f t="shared" si="5"/>
        <v>Q3</v>
      </c>
    </row>
    <row r="23" ht="15.75" customHeight="1">
      <c r="A23" s="30">
        <v>44872.0</v>
      </c>
      <c r="B23" s="31">
        <v>8.52191172E9</v>
      </c>
      <c r="C23" s="32" t="s">
        <v>109</v>
      </c>
      <c r="D23" s="31">
        <v>4.1817341E7</v>
      </c>
      <c r="E23" s="30">
        <v>44875.0</v>
      </c>
      <c r="F23" s="33" t="s">
        <v>76</v>
      </c>
      <c r="G23" s="34">
        <v>1.0</v>
      </c>
      <c r="H23" s="33" t="s">
        <v>106</v>
      </c>
      <c r="I23" s="33" t="s">
        <v>71</v>
      </c>
      <c r="J23" s="33" t="s">
        <v>72</v>
      </c>
      <c r="K23" s="33" t="s">
        <v>73</v>
      </c>
      <c r="L23" s="33" t="str">
        <f t="shared" si="1"/>
        <v>INDIVIDUAL</v>
      </c>
      <c r="M23" s="33">
        <f t="shared" si="2"/>
        <v>11</v>
      </c>
      <c r="N23" s="33">
        <f t="shared" si="3"/>
        <v>2022</v>
      </c>
      <c r="O23" s="35" t="str">
        <f>VLOOKUP(K23,'CA y tablas'!$B$22:$C$28,2,FALSE)</f>
        <v>AMERICANO</v>
      </c>
      <c r="P23" s="28" t="str">
        <f t="shared" si="4"/>
        <v>S2</v>
      </c>
      <c r="Q23" s="29">
        <v>3.0</v>
      </c>
      <c r="R23" s="29" t="str">
        <f t="shared" si="5"/>
        <v>Q3</v>
      </c>
    </row>
    <row r="24" ht="15.75" customHeight="1">
      <c r="A24" s="22">
        <v>44873.0</v>
      </c>
      <c r="B24" s="23">
        <v>3.383448714E9</v>
      </c>
      <c r="C24" s="24" t="s">
        <v>110</v>
      </c>
      <c r="D24" s="23">
        <v>2.2877703E7</v>
      </c>
      <c r="E24" s="22">
        <v>44875.0</v>
      </c>
      <c r="F24" s="25" t="s">
        <v>76</v>
      </c>
      <c r="G24" s="26">
        <v>5.0</v>
      </c>
      <c r="H24" s="25" t="s">
        <v>106</v>
      </c>
      <c r="I24" s="25" t="s">
        <v>71</v>
      </c>
      <c r="J24" s="25" t="s">
        <v>72</v>
      </c>
      <c r="K24" s="25" t="s">
        <v>73</v>
      </c>
      <c r="L24" s="25" t="str">
        <f t="shared" si="1"/>
        <v>FAMILIAR</v>
      </c>
      <c r="M24" s="25">
        <f t="shared" si="2"/>
        <v>11</v>
      </c>
      <c r="N24" s="25">
        <f t="shared" si="3"/>
        <v>2022</v>
      </c>
      <c r="O24" s="27" t="str">
        <f>VLOOKUP(K24,'CA y tablas'!$B$22:$C$28,2,FALSE)</f>
        <v>AMERICANO</v>
      </c>
      <c r="P24" s="28" t="str">
        <f t="shared" si="4"/>
        <v>S2</v>
      </c>
      <c r="Q24" s="29">
        <v>3.0</v>
      </c>
      <c r="R24" s="29" t="str">
        <f t="shared" si="5"/>
        <v>Q3</v>
      </c>
    </row>
    <row r="25" ht="15.75" customHeight="1">
      <c r="A25" s="30">
        <v>44874.0</v>
      </c>
      <c r="B25" s="31">
        <v>7.715769412E9</v>
      </c>
      <c r="C25" s="32" t="s">
        <v>111</v>
      </c>
      <c r="D25" s="31">
        <v>2.0433224E7</v>
      </c>
      <c r="E25" s="30">
        <v>44875.0</v>
      </c>
      <c r="F25" s="33" t="s">
        <v>69</v>
      </c>
      <c r="G25" s="34">
        <v>7.0</v>
      </c>
      <c r="H25" s="33" t="s">
        <v>112</v>
      </c>
      <c r="I25" s="33" t="s">
        <v>71</v>
      </c>
      <c r="J25" s="33" t="s">
        <v>72</v>
      </c>
      <c r="K25" s="33" t="s">
        <v>73</v>
      </c>
      <c r="L25" s="33" t="str">
        <f t="shared" si="1"/>
        <v>FAMILIAR</v>
      </c>
      <c r="M25" s="33">
        <f t="shared" si="2"/>
        <v>11</v>
      </c>
      <c r="N25" s="33">
        <f t="shared" si="3"/>
        <v>2022</v>
      </c>
      <c r="O25" s="35" t="str">
        <f>VLOOKUP(K25,'CA y tablas'!$B$22:$C$28,2,FALSE)</f>
        <v>AMERICANO</v>
      </c>
      <c r="P25" s="28" t="str">
        <f t="shared" si="4"/>
        <v>S2</v>
      </c>
      <c r="Q25" s="29">
        <v>3.0</v>
      </c>
      <c r="R25" s="29" t="str">
        <f t="shared" si="5"/>
        <v>Q3</v>
      </c>
    </row>
    <row r="26" ht="15.75" customHeight="1">
      <c r="A26" s="22">
        <v>44874.0</v>
      </c>
      <c r="B26" s="23">
        <v>1.513424872E9</v>
      </c>
      <c r="C26" s="24" t="s">
        <v>113</v>
      </c>
      <c r="D26" s="23">
        <v>4.1184687E7</v>
      </c>
      <c r="E26" s="22">
        <v>44875.0</v>
      </c>
      <c r="F26" s="25" t="s">
        <v>69</v>
      </c>
      <c r="G26" s="26">
        <v>1.0</v>
      </c>
      <c r="H26" s="25" t="s">
        <v>112</v>
      </c>
      <c r="I26" s="25" t="s">
        <v>71</v>
      </c>
      <c r="J26" s="25" t="s">
        <v>72</v>
      </c>
      <c r="K26" s="25" t="s">
        <v>73</v>
      </c>
      <c r="L26" s="25" t="str">
        <f t="shared" si="1"/>
        <v>INDIVIDUAL</v>
      </c>
      <c r="M26" s="25">
        <f t="shared" si="2"/>
        <v>11</v>
      </c>
      <c r="N26" s="25">
        <f t="shared" si="3"/>
        <v>2022</v>
      </c>
      <c r="O26" s="27" t="str">
        <f>VLOOKUP(K26,'CA y tablas'!$B$22:$C$28,2,FALSE)</f>
        <v>AMERICANO</v>
      </c>
      <c r="P26" s="28" t="str">
        <f t="shared" si="4"/>
        <v>S2</v>
      </c>
      <c r="Q26" s="29">
        <v>3.0</v>
      </c>
      <c r="R26" s="29" t="str">
        <f t="shared" si="5"/>
        <v>Q3</v>
      </c>
    </row>
    <row r="27" ht="15.75" customHeight="1">
      <c r="A27" s="30">
        <v>44872.0</v>
      </c>
      <c r="B27" s="31">
        <v>7.976295364E9</v>
      </c>
      <c r="C27" s="32" t="s">
        <v>114</v>
      </c>
      <c r="D27" s="31">
        <v>4.4186873E7</v>
      </c>
      <c r="E27" s="30">
        <v>44876.0</v>
      </c>
      <c r="F27" s="33" t="s">
        <v>76</v>
      </c>
      <c r="G27" s="34">
        <v>1.0</v>
      </c>
      <c r="H27" s="33" t="s">
        <v>112</v>
      </c>
      <c r="I27" s="33" t="s">
        <v>71</v>
      </c>
      <c r="J27" s="33" t="s">
        <v>79</v>
      </c>
      <c r="K27" s="33" t="s">
        <v>73</v>
      </c>
      <c r="L27" s="33" t="str">
        <f t="shared" si="1"/>
        <v>INDIVIDUAL</v>
      </c>
      <c r="M27" s="33">
        <f t="shared" si="2"/>
        <v>11</v>
      </c>
      <c r="N27" s="33">
        <f t="shared" si="3"/>
        <v>2022</v>
      </c>
      <c r="O27" s="35" t="str">
        <f>VLOOKUP(K27,'CA y tablas'!$B$22:$C$28,2,FALSE)</f>
        <v>AMERICANO</v>
      </c>
      <c r="P27" s="28" t="str">
        <f t="shared" si="4"/>
        <v>S2</v>
      </c>
      <c r="Q27" s="29">
        <v>3.0</v>
      </c>
      <c r="R27" s="29" t="str">
        <f t="shared" si="5"/>
        <v>Q3</v>
      </c>
    </row>
    <row r="28" ht="15.75" customHeight="1">
      <c r="A28" s="22">
        <v>44874.0</v>
      </c>
      <c r="B28" s="23">
        <v>6.293532814E9</v>
      </c>
      <c r="C28" s="24" t="s">
        <v>115</v>
      </c>
      <c r="D28" s="23">
        <v>3.6853886E7</v>
      </c>
      <c r="E28" s="22">
        <v>44876.0</v>
      </c>
      <c r="F28" s="25" t="s">
        <v>76</v>
      </c>
      <c r="G28" s="26">
        <v>1.0</v>
      </c>
      <c r="H28" s="25" t="s">
        <v>116</v>
      </c>
      <c r="I28" s="25" t="s">
        <v>71</v>
      </c>
      <c r="J28" s="25" t="s">
        <v>79</v>
      </c>
      <c r="K28" s="25" t="s">
        <v>73</v>
      </c>
      <c r="L28" s="25" t="str">
        <f t="shared" si="1"/>
        <v>INDIVIDUAL</v>
      </c>
      <c r="M28" s="25">
        <f t="shared" si="2"/>
        <v>11</v>
      </c>
      <c r="N28" s="25">
        <f t="shared" si="3"/>
        <v>2022</v>
      </c>
      <c r="O28" s="27" t="str">
        <f>VLOOKUP(K28,'CA y tablas'!$B$22:$C$28,2,FALSE)</f>
        <v>AMERICANO</v>
      </c>
      <c r="P28" s="28" t="str">
        <f t="shared" si="4"/>
        <v>S2</v>
      </c>
      <c r="Q28" s="29">
        <v>3.0</v>
      </c>
      <c r="R28" s="29" t="str">
        <f t="shared" si="5"/>
        <v>Q3</v>
      </c>
    </row>
    <row r="29" ht="15.75" customHeight="1">
      <c r="A29" s="30">
        <v>44876.0</v>
      </c>
      <c r="B29" s="31">
        <v>7.765889423E9</v>
      </c>
      <c r="C29" s="32" t="s">
        <v>117</v>
      </c>
      <c r="D29" s="31">
        <v>3.6420699E7</v>
      </c>
      <c r="E29" s="30">
        <v>44876.0</v>
      </c>
      <c r="F29" s="33" t="s">
        <v>76</v>
      </c>
      <c r="G29" s="34">
        <v>5.0</v>
      </c>
      <c r="H29" s="33" t="s">
        <v>116</v>
      </c>
      <c r="I29" s="33" t="s">
        <v>71</v>
      </c>
      <c r="J29" s="33" t="s">
        <v>79</v>
      </c>
      <c r="K29" s="33" t="s">
        <v>73</v>
      </c>
      <c r="L29" s="33" t="str">
        <f t="shared" si="1"/>
        <v>FAMILIAR</v>
      </c>
      <c r="M29" s="33">
        <f t="shared" si="2"/>
        <v>11</v>
      </c>
      <c r="N29" s="33">
        <f t="shared" si="3"/>
        <v>2022</v>
      </c>
      <c r="O29" s="35" t="str">
        <f>VLOOKUP(K29,'CA y tablas'!$B$22:$C$28,2,FALSE)</f>
        <v>AMERICANO</v>
      </c>
      <c r="P29" s="28" t="str">
        <f t="shared" si="4"/>
        <v>S2</v>
      </c>
      <c r="Q29" s="29">
        <v>3.0</v>
      </c>
      <c r="R29" s="29" t="str">
        <f t="shared" si="5"/>
        <v>Q3</v>
      </c>
    </row>
    <row r="30" ht="15.75" customHeight="1">
      <c r="A30" s="22">
        <v>44876.0</v>
      </c>
      <c r="B30" s="23">
        <v>6.223801625E9</v>
      </c>
      <c r="C30" s="24" t="s">
        <v>118</v>
      </c>
      <c r="D30" s="23">
        <v>9.6164611E7</v>
      </c>
      <c r="E30" s="22">
        <v>44876.0</v>
      </c>
      <c r="F30" s="25" t="s">
        <v>69</v>
      </c>
      <c r="G30" s="26">
        <v>1.0</v>
      </c>
      <c r="H30" s="25" t="s">
        <v>116</v>
      </c>
      <c r="I30" s="25" t="s">
        <v>71</v>
      </c>
      <c r="J30" s="25" t="s">
        <v>79</v>
      </c>
      <c r="K30" s="25" t="s">
        <v>73</v>
      </c>
      <c r="L30" s="25" t="str">
        <f t="shared" si="1"/>
        <v>INDIVIDUAL</v>
      </c>
      <c r="M30" s="25">
        <f t="shared" si="2"/>
        <v>11</v>
      </c>
      <c r="N30" s="25">
        <f t="shared" si="3"/>
        <v>2022</v>
      </c>
      <c r="O30" s="27" t="str">
        <f>VLOOKUP(K30,'CA y tablas'!$B$22:$C$28,2,FALSE)</f>
        <v>AMERICANO</v>
      </c>
      <c r="P30" s="28" t="str">
        <f t="shared" si="4"/>
        <v>S2</v>
      </c>
      <c r="Q30" s="29">
        <v>3.0</v>
      </c>
      <c r="R30" s="29" t="str">
        <f t="shared" si="5"/>
        <v>Q3</v>
      </c>
    </row>
    <row r="31" ht="15.75" customHeight="1">
      <c r="A31" s="30">
        <v>44876.0</v>
      </c>
      <c r="B31" s="31">
        <v>5.621307123E9</v>
      </c>
      <c r="C31" s="32" t="s">
        <v>119</v>
      </c>
      <c r="D31" s="31">
        <v>3.3165611E7</v>
      </c>
      <c r="E31" s="30">
        <v>44879.0</v>
      </c>
      <c r="F31" s="33" t="s">
        <v>69</v>
      </c>
      <c r="G31" s="34">
        <v>1.0</v>
      </c>
      <c r="H31" s="33" t="s">
        <v>116</v>
      </c>
      <c r="I31" s="33" t="s">
        <v>71</v>
      </c>
      <c r="J31" s="33" t="s">
        <v>79</v>
      </c>
      <c r="K31" s="33" t="s">
        <v>73</v>
      </c>
      <c r="L31" s="33" t="str">
        <f t="shared" si="1"/>
        <v>INDIVIDUAL</v>
      </c>
      <c r="M31" s="33">
        <f t="shared" si="2"/>
        <v>11</v>
      </c>
      <c r="N31" s="33">
        <f t="shared" si="3"/>
        <v>2022</v>
      </c>
      <c r="O31" s="35" t="str">
        <f>VLOOKUP(K31,'CA y tablas'!$B$22:$C$28,2,FALSE)</f>
        <v>AMERICANO</v>
      </c>
      <c r="P31" s="28" t="str">
        <f t="shared" si="4"/>
        <v>S2</v>
      </c>
      <c r="Q31" s="29">
        <v>3.0</v>
      </c>
      <c r="R31" s="29" t="str">
        <f t="shared" si="5"/>
        <v>Q3</v>
      </c>
    </row>
    <row r="32" ht="15.75" customHeight="1">
      <c r="A32" s="22">
        <v>44879.0</v>
      </c>
      <c r="B32" s="23">
        <v>2.732514676E9</v>
      </c>
      <c r="C32" s="24" t="s">
        <v>120</v>
      </c>
      <c r="D32" s="23">
        <v>3.4807781E7</v>
      </c>
      <c r="E32" s="22">
        <v>44879.0</v>
      </c>
      <c r="F32" s="25" t="s">
        <v>69</v>
      </c>
      <c r="G32" s="26">
        <v>3.0</v>
      </c>
      <c r="H32" s="25" t="s">
        <v>116</v>
      </c>
      <c r="I32" s="25" t="s">
        <v>71</v>
      </c>
      <c r="J32" s="25" t="s">
        <v>79</v>
      </c>
      <c r="K32" s="25" t="s">
        <v>107</v>
      </c>
      <c r="L32" s="25" t="str">
        <f t="shared" si="1"/>
        <v>FAMILIAR</v>
      </c>
      <c r="M32" s="25">
        <f t="shared" si="2"/>
        <v>11</v>
      </c>
      <c r="N32" s="25">
        <f t="shared" si="3"/>
        <v>2022</v>
      </c>
      <c r="O32" s="27" t="str">
        <f>VLOOKUP(K32,'CA y tablas'!$B$22:$C$28,2,FALSE)</f>
        <v>AMERICANO</v>
      </c>
      <c r="P32" s="28" t="str">
        <f t="shared" si="4"/>
        <v>S2</v>
      </c>
      <c r="Q32" s="29">
        <v>3.0</v>
      </c>
      <c r="R32" s="29" t="str">
        <f t="shared" si="5"/>
        <v>Q3</v>
      </c>
    </row>
    <row r="33" ht="15.75" customHeight="1">
      <c r="A33" s="30">
        <v>44869.0</v>
      </c>
      <c r="B33" s="31">
        <v>4.971198035E9</v>
      </c>
      <c r="C33" s="32" t="s">
        <v>121</v>
      </c>
      <c r="D33" s="31">
        <v>2.0284943E7</v>
      </c>
      <c r="E33" s="30">
        <v>44880.0</v>
      </c>
      <c r="F33" s="33" t="s">
        <v>69</v>
      </c>
      <c r="G33" s="34">
        <v>1.0</v>
      </c>
      <c r="H33" s="33" t="s">
        <v>116</v>
      </c>
      <c r="I33" s="33" t="s">
        <v>71</v>
      </c>
      <c r="J33" s="33" t="s">
        <v>79</v>
      </c>
      <c r="K33" s="33" t="s">
        <v>107</v>
      </c>
      <c r="L33" s="33" t="str">
        <f t="shared" si="1"/>
        <v>INDIVIDUAL</v>
      </c>
      <c r="M33" s="33">
        <f t="shared" si="2"/>
        <v>11</v>
      </c>
      <c r="N33" s="33">
        <f t="shared" si="3"/>
        <v>2022</v>
      </c>
      <c r="O33" s="35" t="str">
        <f>VLOOKUP(K33,'CA y tablas'!$B$22:$C$28,2,FALSE)</f>
        <v>AMERICANO</v>
      </c>
      <c r="P33" s="28" t="str">
        <f t="shared" si="4"/>
        <v>S2</v>
      </c>
      <c r="Q33" s="29">
        <v>3.0</v>
      </c>
      <c r="R33" s="29" t="str">
        <f t="shared" si="5"/>
        <v>Q3</v>
      </c>
    </row>
    <row r="34" ht="15.75" customHeight="1">
      <c r="A34" s="22">
        <v>44872.0</v>
      </c>
      <c r="B34" s="23">
        <v>8.297366582E9</v>
      </c>
      <c r="C34" s="24" t="s">
        <v>121</v>
      </c>
      <c r="D34" s="23">
        <v>2.0284943E7</v>
      </c>
      <c r="E34" s="22">
        <v>44880.0</v>
      </c>
      <c r="F34" s="25" t="s">
        <v>69</v>
      </c>
      <c r="G34" s="26">
        <v>1.0</v>
      </c>
      <c r="H34" s="25" t="s">
        <v>116</v>
      </c>
      <c r="I34" s="25" t="s">
        <v>71</v>
      </c>
      <c r="J34" s="25" t="s">
        <v>79</v>
      </c>
      <c r="K34" s="25" t="s">
        <v>107</v>
      </c>
      <c r="L34" s="25" t="str">
        <f t="shared" si="1"/>
        <v>INDIVIDUAL</v>
      </c>
      <c r="M34" s="25">
        <f t="shared" si="2"/>
        <v>11</v>
      </c>
      <c r="N34" s="25">
        <f t="shared" si="3"/>
        <v>2022</v>
      </c>
      <c r="O34" s="27" t="str">
        <f>VLOOKUP(K34,'CA y tablas'!$B$22:$C$28,2,FALSE)</f>
        <v>AMERICANO</v>
      </c>
      <c r="P34" s="28" t="str">
        <f t="shared" si="4"/>
        <v>S2</v>
      </c>
      <c r="Q34" s="29">
        <v>3.0</v>
      </c>
      <c r="R34" s="29" t="str">
        <f t="shared" si="5"/>
        <v>Q3</v>
      </c>
    </row>
    <row r="35" ht="15.75" customHeight="1">
      <c r="A35" s="30">
        <v>44872.0</v>
      </c>
      <c r="B35" s="31">
        <v>7.424480486E9</v>
      </c>
      <c r="C35" s="32" t="s">
        <v>121</v>
      </c>
      <c r="D35" s="31">
        <v>2.0284943E7</v>
      </c>
      <c r="E35" s="30">
        <v>44880.0</v>
      </c>
      <c r="F35" s="33" t="s">
        <v>76</v>
      </c>
      <c r="G35" s="34">
        <v>1.0</v>
      </c>
      <c r="H35" s="33" t="s">
        <v>116</v>
      </c>
      <c r="I35" s="33" t="s">
        <v>71</v>
      </c>
      <c r="J35" s="33" t="s">
        <v>79</v>
      </c>
      <c r="K35" s="33" t="s">
        <v>99</v>
      </c>
      <c r="L35" s="33" t="str">
        <f t="shared" si="1"/>
        <v>INDIVIDUAL</v>
      </c>
      <c r="M35" s="33">
        <f t="shared" si="2"/>
        <v>11</v>
      </c>
      <c r="N35" s="33">
        <f t="shared" si="3"/>
        <v>2022</v>
      </c>
      <c r="O35" s="35" t="str">
        <f>VLOOKUP(K35,'CA y tablas'!$B$22:$C$28,2,FALSE)</f>
        <v>EUROPEO</v>
      </c>
      <c r="P35" s="28" t="str">
        <f t="shared" si="4"/>
        <v>S2</v>
      </c>
      <c r="Q35" s="29">
        <v>3.0</v>
      </c>
      <c r="R35" s="29" t="str">
        <f t="shared" si="5"/>
        <v>Q3</v>
      </c>
    </row>
    <row r="36" ht="15.75" customHeight="1">
      <c r="A36" s="22">
        <v>44873.0</v>
      </c>
      <c r="B36" s="23">
        <v>7.416223625E9</v>
      </c>
      <c r="C36" s="24" t="s">
        <v>122</v>
      </c>
      <c r="D36" s="23">
        <v>4.1649848E7</v>
      </c>
      <c r="E36" s="22">
        <v>44880.0</v>
      </c>
      <c r="F36" s="25" t="s">
        <v>76</v>
      </c>
      <c r="G36" s="26">
        <v>2.0</v>
      </c>
      <c r="H36" s="25" t="s">
        <v>116</v>
      </c>
      <c r="I36" s="25" t="s">
        <v>71</v>
      </c>
      <c r="J36" s="25" t="s">
        <v>79</v>
      </c>
      <c r="K36" s="25" t="s">
        <v>99</v>
      </c>
      <c r="L36" s="25" t="str">
        <f t="shared" si="1"/>
        <v>FAMILIAR</v>
      </c>
      <c r="M36" s="25">
        <f t="shared" si="2"/>
        <v>11</v>
      </c>
      <c r="N36" s="25">
        <f t="shared" si="3"/>
        <v>2022</v>
      </c>
      <c r="O36" s="27" t="str">
        <f>VLOOKUP(K36,'CA y tablas'!$B$22:$C$28,2,FALSE)</f>
        <v>EUROPEO</v>
      </c>
      <c r="P36" s="28" t="str">
        <f t="shared" si="4"/>
        <v>S2</v>
      </c>
      <c r="Q36" s="29">
        <v>3.0</v>
      </c>
      <c r="R36" s="29" t="str">
        <f t="shared" si="5"/>
        <v>Q3</v>
      </c>
    </row>
    <row r="37" ht="15.75" customHeight="1">
      <c r="A37" s="30">
        <v>44879.0</v>
      </c>
      <c r="B37" s="31">
        <v>2.773726491E9</v>
      </c>
      <c r="C37" s="32" t="s">
        <v>123</v>
      </c>
      <c r="D37" s="31">
        <v>4.3648131E7</v>
      </c>
      <c r="E37" s="30">
        <v>44880.0</v>
      </c>
      <c r="F37" s="33" t="s">
        <v>76</v>
      </c>
      <c r="G37" s="34">
        <v>3.0</v>
      </c>
      <c r="H37" s="33" t="s">
        <v>116</v>
      </c>
      <c r="I37" s="33" t="s">
        <v>71</v>
      </c>
      <c r="J37" s="33" t="s">
        <v>79</v>
      </c>
      <c r="K37" s="33" t="s">
        <v>99</v>
      </c>
      <c r="L37" s="33" t="str">
        <f t="shared" si="1"/>
        <v>FAMILIAR</v>
      </c>
      <c r="M37" s="33">
        <f t="shared" si="2"/>
        <v>11</v>
      </c>
      <c r="N37" s="33">
        <f t="shared" si="3"/>
        <v>2022</v>
      </c>
      <c r="O37" s="35" t="str">
        <f>VLOOKUP(K37,'CA y tablas'!$B$22:$C$28,2,FALSE)</f>
        <v>EUROPEO</v>
      </c>
      <c r="P37" s="28" t="str">
        <f t="shared" si="4"/>
        <v>S2</v>
      </c>
      <c r="Q37" s="29">
        <v>3.0</v>
      </c>
      <c r="R37" s="29" t="str">
        <f t="shared" si="5"/>
        <v>Q3</v>
      </c>
    </row>
    <row r="38" ht="15.75" customHeight="1">
      <c r="A38" s="22">
        <v>44865.0</v>
      </c>
      <c r="B38" s="23">
        <v>3.378537842E9</v>
      </c>
      <c r="C38" s="24" t="s">
        <v>124</v>
      </c>
      <c r="D38" s="23">
        <v>4.0953281E7</v>
      </c>
      <c r="E38" s="22">
        <v>44882.0</v>
      </c>
      <c r="F38" s="25" t="s">
        <v>76</v>
      </c>
      <c r="G38" s="26">
        <v>1.0</v>
      </c>
      <c r="H38" s="25" t="s">
        <v>116</v>
      </c>
      <c r="I38" s="25" t="s">
        <v>71</v>
      </c>
      <c r="J38" s="25" t="s">
        <v>98</v>
      </c>
      <c r="K38" s="25" t="s">
        <v>90</v>
      </c>
      <c r="L38" s="25" t="str">
        <f t="shared" si="1"/>
        <v>INDIVIDUAL</v>
      </c>
      <c r="M38" s="25">
        <f t="shared" si="2"/>
        <v>11</v>
      </c>
      <c r="N38" s="25">
        <f t="shared" si="3"/>
        <v>2022</v>
      </c>
      <c r="O38" s="27" t="str">
        <f>VLOOKUP(K38,'CA y tablas'!$B$22:$C$28,2,FALSE)</f>
        <v>EUROPEO</v>
      </c>
      <c r="P38" s="28" t="str">
        <f t="shared" si="4"/>
        <v>S2</v>
      </c>
      <c r="Q38" s="29">
        <v>3.0</v>
      </c>
      <c r="R38" s="29" t="str">
        <f t="shared" si="5"/>
        <v>Q3</v>
      </c>
    </row>
    <row r="39" ht="15.75" customHeight="1">
      <c r="A39" s="30">
        <v>44879.0</v>
      </c>
      <c r="B39" s="31">
        <v>2.943298772E9</v>
      </c>
      <c r="C39" s="32" t="s">
        <v>125</v>
      </c>
      <c r="D39" s="31">
        <v>4.4814042E7</v>
      </c>
      <c r="E39" s="30">
        <v>44882.0</v>
      </c>
      <c r="F39" s="33" t="s">
        <v>69</v>
      </c>
      <c r="G39" s="34">
        <v>4.0</v>
      </c>
      <c r="H39" s="33" t="s">
        <v>116</v>
      </c>
      <c r="I39" s="33" t="s">
        <v>88</v>
      </c>
      <c r="J39" s="33" t="s">
        <v>98</v>
      </c>
      <c r="K39" s="33" t="s">
        <v>90</v>
      </c>
      <c r="L39" s="33" t="str">
        <f t="shared" si="1"/>
        <v>FAMILIAR</v>
      </c>
      <c r="M39" s="33">
        <f t="shared" si="2"/>
        <v>11</v>
      </c>
      <c r="N39" s="33">
        <f t="shared" si="3"/>
        <v>2022</v>
      </c>
      <c r="O39" s="35" t="str">
        <f>VLOOKUP(K39,'CA y tablas'!$B$22:$C$28,2,FALSE)</f>
        <v>EUROPEO</v>
      </c>
      <c r="P39" s="28" t="str">
        <f t="shared" si="4"/>
        <v>S2</v>
      </c>
      <c r="Q39" s="29">
        <v>3.0</v>
      </c>
      <c r="R39" s="29" t="str">
        <f t="shared" si="5"/>
        <v>Q3</v>
      </c>
    </row>
    <row r="40" ht="15.75" customHeight="1">
      <c r="A40" s="22">
        <v>44879.0</v>
      </c>
      <c r="B40" s="23">
        <v>7.718622995E9</v>
      </c>
      <c r="C40" s="24" t="s">
        <v>126</v>
      </c>
      <c r="D40" s="23">
        <v>4.3431505E7</v>
      </c>
      <c r="E40" s="22">
        <v>44882.0</v>
      </c>
      <c r="F40" s="25" t="s">
        <v>69</v>
      </c>
      <c r="G40" s="26">
        <v>3.0</v>
      </c>
      <c r="H40" s="25" t="s">
        <v>116</v>
      </c>
      <c r="I40" s="25" t="s">
        <v>88</v>
      </c>
      <c r="J40" s="25" t="s">
        <v>98</v>
      </c>
      <c r="K40" s="25" t="s">
        <v>90</v>
      </c>
      <c r="L40" s="25" t="str">
        <f t="shared" si="1"/>
        <v>FAMILIAR</v>
      </c>
      <c r="M40" s="25">
        <f t="shared" si="2"/>
        <v>11</v>
      </c>
      <c r="N40" s="25">
        <f t="shared" si="3"/>
        <v>2022</v>
      </c>
      <c r="O40" s="27" t="str">
        <f>VLOOKUP(K40,'CA y tablas'!$B$22:$C$28,2,FALSE)</f>
        <v>EUROPEO</v>
      </c>
      <c r="P40" s="28" t="str">
        <f t="shared" si="4"/>
        <v>S2</v>
      </c>
      <c r="Q40" s="29">
        <v>3.0</v>
      </c>
      <c r="R40" s="29" t="str">
        <f t="shared" si="5"/>
        <v>Q3</v>
      </c>
    </row>
    <row r="41" ht="15.75" customHeight="1">
      <c r="A41" s="30">
        <v>44874.0</v>
      </c>
      <c r="B41" s="31">
        <v>1.513374096E9</v>
      </c>
      <c r="C41" s="32" t="s">
        <v>127</v>
      </c>
      <c r="D41" s="31">
        <v>4.1983841E7</v>
      </c>
      <c r="E41" s="30">
        <v>44883.0</v>
      </c>
      <c r="F41" s="33" t="s">
        <v>69</v>
      </c>
      <c r="G41" s="34">
        <v>2.0</v>
      </c>
      <c r="H41" s="33" t="s">
        <v>116</v>
      </c>
      <c r="I41" s="33" t="s">
        <v>88</v>
      </c>
      <c r="J41" s="33" t="s">
        <v>98</v>
      </c>
      <c r="K41" s="33" t="s">
        <v>90</v>
      </c>
      <c r="L41" s="33" t="str">
        <f t="shared" si="1"/>
        <v>FAMILIAR</v>
      </c>
      <c r="M41" s="33">
        <f t="shared" si="2"/>
        <v>11</v>
      </c>
      <c r="N41" s="33">
        <f t="shared" si="3"/>
        <v>2022</v>
      </c>
      <c r="O41" s="35" t="str">
        <f>VLOOKUP(K41,'CA y tablas'!$B$22:$C$28,2,FALSE)</f>
        <v>EUROPEO</v>
      </c>
      <c r="P41" s="28" t="str">
        <f t="shared" si="4"/>
        <v>S2</v>
      </c>
      <c r="Q41" s="29">
        <v>3.0</v>
      </c>
      <c r="R41" s="29" t="str">
        <f t="shared" si="5"/>
        <v>Q3</v>
      </c>
    </row>
    <row r="42" ht="15.75" customHeight="1">
      <c r="A42" s="22">
        <v>44866.0</v>
      </c>
      <c r="B42" s="23">
        <v>8.930817582E9</v>
      </c>
      <c r="C42" s="24" t="s">
        <v>128</v>
      </c>
      <c r="D42" s="23">
        <v>3.397175E7</v>
      </c>
      <c r="E42" s="22">
        <v>44887.0</v>
      </c>
      <c r="F42" s="25" t="s">
        <v>69</v>
      </c>
      <c r="G42" s="26">
        <v>2.0</v>
      </c>
      <c r="H42" s="25" t="s">
        <v>116</v>
      </c>
      <c r="I42" s="25" t="s">
        <v>88</v>
      </c>
      <c r="J42" s="25" t="s">
        <v>98</v>
      </c>
      <c r="K42" s="25" t="s">
        <v>90</v>
      </c>
      <c r="L42" s="25" t="str">
        <f t="shared" si="1"/>
        <v>FAMILIAR</v>
      </c>
      <c r="M42" s="25">
        <f t="shared" si="2"/>
        <v>11</v>
      </c>
      <c r="N42" s="25">
        <f t="shared" si="3"/>
        <v>2022</v>
      </c>
      <c r="O42" s="27" t="str">
        <f>VLOOKUP(K42,'CA y tablas'!$B$22:$C$28,2,FALSE)</f>
        <v>EUROPEO</v>
      </c>
      <c r="P42" s="28" t="str">
        <f t="shared" si="4"/>
        <v>S2</v>
      </c>
      <c r="Q42" s="29">
        <v>3.0</v>
      </c>
      <c r="R42" s="29" t="str">
        <f t="shared" si="5"/>
        <v>Q3</v>
      </c>
    </row>
    <row r="43" ht="15.75" customHeight="1">
      <c r="A43" s="30">
        <v>44883.0</v>
      </c>
      <c r="B43" s="31">
        <v>2.16849171E9</v>
      </c>
      <c r="C43" s="32" t="s">
        <v>129</v>
      </c>
      <c r="D43" s="31">
        <v>2.425275E7</v>
      </c>
      <c r="E43" s="30">
        <v>44887.0</v>
      </c>
      <c r="F43" s="33" t="s">
        <v>69</v>
      </c>
      <c r="G43" s="34">
        <v>2.0</v>
      </c>
      <c r="H43" s="33" t="s">
        <v>92</v>
      </c>
      <c r="I43" s="33" t="s">
        <v>71</v>
      </c>
      <c r="J43" s="33" t="s">
        <v>98</v>
      </c>
      <c r="K43" s="33" t="s">
        <v>84</v>
      </c>
      <c r="L43" s="33" t="str">
        <f t="shared" si="1"/>
        <v>FAMILIAR</v>
      </c>
      <c r="M43" s="33">
        <f t="shared" si="2"/>
        <v>11</v>
      </c>
      <c r="N43" s="33">
        <f t="shared" si="3"/>
        <v>2022</v>
      </c>
      <c r="O43" s="35" t="str">
        <f>VLOOKUP(K43,'CA y tablas'!$B$22:$C$28,2,FALSE)</f>
        <v>EUROPEO</v>
      </c>
      <c r="P43" s="28" t="str">
        <f t="shared" si="4"/>
        <v>S2</v>
      </c>
      <c r="Q43" s="29">
        <v>3.0</v>
      </c>
      <c r="R43" s="29" t="str">
        <f t="shared" si="5"/>
        <v>Q3</v>
      </c>
    </row>
    <row r="44" ht="15.75" customHeight="1">
      <c r="A44" s="22">
        <v>44883.0</v>
      </c>
      <c r="B44" s="23">
        <v>8.96352163E9</v>
      </c>
      <c r="C44" s="24" t="s">
        <v>130</v>
      </c>
      <c r="D44" s="23">
        <v>4.1650004E7</v>
      </c>
      <c r="E44" s="22">
        <v>44887.0</v>
      </c>
      <c r="F44" s="25" t="s">
        <v>69</v>
      </c>
      <c r="G44" s="26">
        <v>2.0</v>
      </c>
      <c r="H44" s="25" t="s">
        <v>92</v>
      </c>
      <c r="I44" s="25" t="s">
        <v>71</v>
      </c>
      <c r="J44" s="25" t="s">
        <v>98</v>
      </c>
      <c r="K44" s="25" t="s">
        <v>84</v>
      </c>
      <c r="L44" s="25" t="str">
        <f t="shared" si="1"/>
        <v>FAMILIAR</v>
      </c>
      <c r="M44" s="25">
        <f t="shared" si="2"/>
        <v>11</v>
      </c>
      <c r="N44" s="25">
        <f t="shared" si="3"/>
        <v>2022</v>
      </c>
      <c r="O44" s="27" t="str">
        <f>VLOOKUP(K44,'CA y tablas'!$B$22:$C$28,2,FALSE)</f>
        <v>EUROPEO</v>
      </c>
      <c r="P44" s="28" t="str">
        <f t="shared" si="4"/>
        <v>S2</v>
      </c>
      <c r="Q44" s="29">
        <v>3.0</v>
      </c>
      <c r="R44" s="29" t="str">
        <f t="shared" si="5"/>
        <v>Q3</v>
      </c>
    </row>
    <row r="45" ht="15.75" customHeight="1">
      <c r="A45" s="30">
        <v>44883.0</v>
      </c>
      <c r="B45" s="31">
        <v>7.579272433E9</v>
      </c>
      <c r="C45" s="32" t="s">
        <v>131</v>
      </c>
      <c r="D45" s="31">
        <v>4.2698524E7</v>
      </c>
      <c r="E45" s="30">
        <v>44887.0</v>
      </c>
      <c r="F45" s="33" t="s">
        <v>69</v>
      </c>
      <c r="G45" s="34">
        <v>3.0</v>
      </c>
      <c r="H45" s="33" t="s">
        <v>92</v>
      </c>
      <c r="I45" s="33" t="s">
        <v>71</v>
      </c>
      <c r="J45" s="33" t="s">
        <v>79</v>
      </c>
      <c r="K45" s="33" t="s">
        <v>84</v>
      </c>
      <c r="L45" s="33" t="str">
        <f t="shared" si="1"/>
        <v>FAMILIAR</v>
      </c>
      <c r="M45" s="33">
        <f t="shared" si="2"/>
        <v>11</v>
      </c>
      <c r="N45" s="33">
        <f t="shared" si="3"/>
        <v>2022</v>
      </c>
      <c r="O45" s="35" t="str">
        <f>VLOOKUP(K45,'CA y tablas'!$B$22:$C$28,2,FALSE)</f>
        <v>EUROPEO</v>
      </c>
      <c r="P45" s="28" t="str">
        <f t="shared" si="4"/>
        <v>S2</v>
      </c>
      <c r="Q45" s="29">
        <v>3.0</v>
      </c>
      <c r="R45" s="29" t="str">
        <f t="shared" si="5"/>
        <v>Q3</v>
      </c>
    </row>
    <row r="46" ht="15.75" customHeight="1">
      <c r="A46" s="22">
        <v>44883.0</v>
      </c>
      <c r="B46" s="23">
        <v>3.275114695E9</v>
      </c>
      <c r="C46" s="24" t="s">
        <v>132</v>
      </c>
      <c r="D46" s="23">
        <v>4.3001956E7</v>
      </c>
      <c r="E46" s="22">
        <v>44887.0</v>
      </c>
      <c r="F46" s="25" t="s">
        <v>69</v>
      </c>
      <c r="G46" s="26">
        <v>4.0</v>
      </c>
      <c r="H46" s="25" t="s">
        <v>92</v>
      </c>
      <c r="I46" s="25" t="s">
        <v>71</v>
      </c>
      <c r="J46" s="25" t="s">
        <v>79</v>
      </c>
      <c r="K46" s="25" t="s">
        <v>73</v>
      </c>
      <c r="L46" s="25" t="str">
        <f t="shared" si="1"/>
        <v>FAMILIAR</v>
      </c>
      <c r="M46" s="25">
        <f t="shared" si="2"/>
        <v>11</v>
      </c>
      <c r="N46" s="25">
        <f t="shared" si="3"/>
        <v>2022</v>
      </c>
      <c r="O46" s="27" t="str">
        <f>VLOOKUP(K46,'CA y tablas'!$B$22:$C$28,2,FALSE)</f>
        <v>AMERICANO</v>
      </c>
      <c r="P46" s="28" t="str">
        <f t="shared" si="4"/>
        <v>S2</v>
      </c>
      <c r="Q46" s="29">
        <v>3.0</v>
      </c>
      <c r="R46" s="29" t="str">
        <f t="shared" si="5"/>
        <v>Q3</v>
      </c>
    </row>
    <row r="47" ht="15.75" customHeight="1">
      <c r="A47" s="30">
        <v>44879.0</v>
      </c>
      <c r="B47" s="31">
        <v>5.538817465E9</v>
      </c>
      <c r="C47" s="32" t="s">
        <v>133</v>
      </c>
      <c r="D47" s="31">
        <v>4.3652012E7</v>
      </c>
      <c r="E47" s="30">
        <v>44888.0</v>
      </c>
      <c r="F47" s="33" t="s">
        <v>69</v>
      </c>
      <c r="G47" s="34">
        <v>2.0</v>
      </c>
      <c r="H47" s="33" t="s">
        <v>81</v>
      </c>
      <c r="I47" s="33" t="s">
        <v>71</v>
      </c>
      <c r="J47" s="33" t="s">
        <v>79</v>
      </c>
      <c r="K47" s="33" t="s">
        <v>73</v>
      </c>
      <c r="L47" s="33" t="str">
        <f t="shared" si="1"/>
        <v>FAMILIAR</v>
      </c>
      <c r="M47" s="33">
        <f t="shared" si="2"/>
        <v>11</v>
      </c>
      <c r="N47" s="33">
        <f t="shared" si="3"/>
        <v>2022</v>
      </c>
      <c r="O47" s="35" t="str">
        <f>VLOOKUP(K47,'CA y tablas'!$B$22:$C$28,2,FALSE)</f>
        <v>AMERICANO</v>
      </c>
      <c r="P47" s="28" t="str">
        <f t="shared" si="4"/>
        <v>S2</v>
      </c>
      <c r="Q47" s="29">
        <v>3.0</v>
      </c>
      <c r="R47" s="29" t="str">
        <f t="shared" si="5"/>
        <v>Q3</v>
      </c>
    </row>
    <row r="48" ht="15.75" customHeight="1">
      <c r="A48" s="22">
        <v>44887.0</v>
      </c>
      <c r="B48" s="23">
        <v>5.015195511E9</v>
      </c>
      <c r="C48" s="24" t="s">
        <v>134</v>
      </c>
      <c r="D48" s="23">
        <v>4.3648617E7</v>
      </c>
      <c r="E48" s="22">
        <v>44888.0</v>
      </c>
      <c r="F48" s="25" t="s">
        <v>69</v>
      </c>
      <c r="G48" s="26">
        <v>3.0</v>
      </c>
      <c r="H48" s="25" t="s">
        <v>81</v>
      </c>
      <c r="I48" s="25" t="s">
        <v>71</v>
      </c>
      <c r="J48" s="25" t="s">
        <v>79</v>
      </c>
      <c r="K48" s="25" t="s">
        <v>73</v>
      </c>
      <c r="L48" s="25" t="str">
        <f t="shared" si="1"/>
        <v>FAMILIAR</v>
      </c>
      <c r="M48" s="25">
        <f t="shared" si="2"/>
        <v>11</v>
      </c>
      <c r="N48" s="25">
        <f t="shared" si="3"/>
        <v>2022</v>
      </c>
      <c r="O48" s="27" t="str">
        <f>VLOOKUP(K48,'CA y tablas'!$B$22:$C$28,2,FALSE)</f>
        <v>AMERICANO</v>
      </c>
      <c r="P48" s="28" t="str">
        <f t="shared" si="4"/>
        <v>S2</v>
      </c>
      <c r="Q48" s="29">
        <v>3.0</v>
      </c>
      <c r="R48" s="29" t="str">
        <f t="shared" si="5"/>
        <v>Q3</v>
      </c>
    </row>
    <row r="49" ht="15.75" customHeight="1">
      <c r="A49" s="30">
        <v>44888.0</v>
      </c>
      <c r="B49" s="31">
        <v>4.033407254E9</v>
      </c>
      <c r="C49" s="32" t="s">
        <v>135</v>
      </c>
      <c r="D49" s="31">
        <v>4.2501671E7</v>
      </c>
      <c r="E49" s="30">
        <v>44888.0</v>
      </c>
      <c r="F49" s="33" t="s">
        <v>69</v>
      </c>
      <c r="G49" s="34">
        <v>3.0</v>
      </c>
      <c r="H49" s="33" t="s">
        <v>116</v>
      </c>
      <c r="I49" s="33" t="s">
        <v>71</v>
      </c>
      <c r="J49" s="33" t="s">
        <v>79</v>
      </c>
      <c r="K49" s="33" t="s">
        <v>73</v>
      </c>
      <c r="L49" s="33" t="str">
        <f t="shared" si="1"/>
        <v>FAMILIAR</v>
      </c>
      <c r="M49" s="33">
        <f t="shared" si="2"/>
        <v>11</v>
      </c>
      <c r="N49" s="33">
        <f t="shared" si="3"/>
        <v>2022</v>
      </c>
      <c r="O49" s="35" t="str">
        <f>VLOOKUP(K49,'CA y tablas'!$B$22:$C$28,2,FALSE)</f>
        <v>AMERICANO</v>
      </c>
      <c r="P49" s="28" t="str">
        <f t="shared" si="4"/>
        <v>S2</v>
      </c>
      <c r="Q49" s="29">
        <v>3.0</v>
      </c>
      <c r="R49" s="29" t="str">
        <f t="shared" si="5"/>
        <v>Q3</v>
      </c>
    </row>
    <row r="50" ht="15.75" customHeight="1">
      <c r="A50" s="22">
        <v>44874.0</v>
      </c>
      <c r="B50" s="23">
        <v>7.715746824E9</v>
      </c>
      <c r="C50" s="24" t="s">
        <v>136</v>
      </c>
      <c r="D50" s="23">
        <v>1.8523359E7</v>
      </c>
      <c r="E50" s="22">
        <v>44889.0</v>
      </c>
      <c r="F50" s="25" t="s">
        <v>69</v>
      </c>
      <c r="G50" s="26">
        <v>2.0</v>
      </c>
      <c r="H50" s="25" t="s">
        <v>116</v>
      </c>
      <c r="I50" s="25" t="s">
        <v>71</v>
      </c>
      <c r="J50" s="25" t="s">
        <v>79</v>
      </c>
      <c r="K50" s="25" t="s">
        <v>73</v>
      </c>
      <c r="L50" s="25" t="str">
        <f t="shared" si="1"/>
        <v>FAMILIAR</v>
      </c>
      <c r="M50" s="25">
        <f t="shared" si="2"/>
        <v>11</v>
      </c>
      <c r="N50" s="25">
        <f t="shared" si="3"/>
        <v>2022</v>
      </c>
      <c r="O50" s="27" t="str">
        <f>VLOOKUP(K50,'CA y tablas'!$B$22:$C$28,2,FALSE)</f>
        <v>AMERICANO</v>
      </c>
      <c r="P50" s="28" t="str">
        <f t="shared" si="4"/>
        <v>S2</v>
      </c>
      <c r="Q50" s="29">
        <v>3.0</v>
      </c>
      <c r="R50" s="29" t="str">
        <f t="shared" si="5"/>
        <v>Q3</v>
      </c>
    </row>
    <row r="51" ht="15.75" customHeight="1">
      <c r="A51" s="30">
        <v>44888.0</v>
      </c>
      <c r="B51" s="31">
        <v>1.56975406E9</v>
      </c>
      <c r="C51" s="32" t="s">
        <v>137</v>
      </c>
      <c r="D51" s="31">
        <v>3.8350203E7</v>
      </c>
      <c r="E51" s="30">
        <v>44889.0</v>
      </c>
      <c r="F51" s="33" t="s">
        <v>69</v>
      </c>
      <c r="G51" s="34">
        <v>2.0</v>
      </c>
      <c r="H51" s="33" t="s">
        <v>116</v>
      </c>
      <c r="I51" s="33" t="s">
        <v>88</v>
      </c>
      <c r="J51" s="33" t="s">
        <v>72</v>
      </c>
      <c r="K51" s="33" t="s">
        <v>73</v>
      </c>
      <c r="L51" s="33" t="str">
        <f t="shared" si="1"/>
        <v>FAMILIAR</v>
      </c>
      <c r="M51" s="33">
        <f t="shared" si="2"/>
        <v>11</v>
      </c>
      <c r="N51" s="33">
        <f t="shared" si="3"/>
        <v>2022</v>
      </c>
      <c r="O51" s="35" t="str">
        <f>VLOOKUP(K51,'CA y tablas'!$B$22:$C$28,2,FALSE)</f>
        <v>AMERICANO</v>
      </c>
      <c r="P51" s="28" t="str">
        <f t="shared" si="4"/>
        <v>S2</v>
      </c>
      <c r="Q51" s="29">
        <v>3.0</v>
      </c>
      <c r="R51" s="29" t="str">
        <f t="shared" si="5"/>
        <v>Q3</v>
      </c>
    </row>
    <row r="52" ht="15.75" customHeight="1">
      <c r="A52" s="22">
        <v>44887.0</v>
      </c>
      <c r="B52" s="23">
        <v>7.181106214E9</v>
      </c>
      <c r="C52" s="24" t="s">
        <v>138</v>
      </c>
      <c r="D52" s="23">
        <v>4.2350889E7</v>
      </c>
      <c r="E52" s="22">
        <v>44890.0</v>
      </c>
      <c r="F52" s="25" t="s">
        <v>76</v>
      </c>
      <c r="G52" s="26">
        <v>5.0</v>
      </c>
      <c r="H52" s="25" t="s">
        <v>116</v>
      </c>
      <c r="I52" s="25" t="s">
        <v>88</v>
      </c>
      <c r="J52" s="25" t="s">
        <v>72</v>
      </c>
      <c r="K52" s="25" t="s">
        <v>73</v>
      </c>
      <c r="L52" s="25" t="str">
        <f t="shared" si="1"/>
        <v>FAMILIAR</v>
      </c>
      <c r="M52" s="25">
        <f t="shared" si="2"/>
        <v>11</v>
      </c>
      <c r="N52" s="25">
        <f t="shared" si="3"/>
        <v>2022</v>
      </c>
      <c r="O52" s="27" t="str">
        <f>VLOOKUP(K52,'CA y tablas'!$B$22:$C$28,2,FALSE)</f>
        <v>AMERICANO</v>
      </c>
      <c r="P52" s="28" t="str">
        <f t="shared" si="4"/>
        <v>S2</v>
      </c>
      <c r="Q52" s="29">
        <v>3.0</v>
      </c>
      <c r="R52" s="29" t="str">
        <f t="shared" si="5"/>
        <v>Q3</v>
      </c>
    </row>
    <row r="53" ht="15.75" customHeight="1">
      <c r="A53" s="30">
        <v>44889.0</v>
      </c>
      <c r="B53" s="31">
        <v>7.718303611E9</v>
      </c>
      <c r="C53" s="32" t="s">
        <v>139</v>
      </c>
      <c r="D53" s="31">
        <v>4.1015407E7</v>
      </c>
      <c r="E53" s="30">
        <v>44890.0</v>
      </c>
      <c r="F53" s="33" t="s">
        <v>76</v>
      </c>
      <c r="G53" s="34">
        <v>2.0</v>
      </c>
      <c r="H53" s="33" t="s">
        <v>116</v>
      </c>
      <c r="I53" s="33" t="s">
        <v>88</v>
      </c>
      <c r="J53" s="33" t="s">
        <v>72</v>
      </c>
      <c r="K53" s="33" t="s">
        <v>73</v>
      </c>
      <c r="L53" s="33" t="str">
        <f t="shared" si="1"/>
        <v>FAMILIAR</v>
      </c>
      <c r="M53" s="33">
        <f t="shared" si="2"/>
        <v>11</v>
      </c>
      <c r="N53" s="33">
        <f t="shared" si="3"/>
        <v>2022</v>
      </c>
      <c r="O53" s="35" t="str">
        <f>VLOOKUP(K53,'CA y tablas'!$B$22:$C$28,2,FALSE)</f>
        <v>AMERICANO</v>
      </c>
      <c r="P53" s="28" t="str">
        <f t="shared" si="4"/>
        <v>S2</v>
      </c>
      <c r="Q53" s="29">
        <v>3.0</v>
      </c>
      <c r="R53" s="29" t="str">
        <f t="shared" si="5"/>
        <v>Q3</v>
      </c>
    </row>
    <row r="54" ht="15.75" customHeight="1">
      <c r="A54" s="22">
        <v>44889.0</v>
      </c>
      <c r="B54" s="23">
        <v>2.568288262E9</v>
      </c>
      <c r="C54" s="24" t="s">
        <v>140</v>
      </c>
      <c r="D54" s="23">
        <v>3.8744669E7</v>
      </c>
      <c r="E54" s="22">
        <v>44890.0</v>
      </c>
      <c r="F54" s="25" t="s">
        <v>76</v>
      </c>
      <c r="G54" s="26">
        <v>2.0</v>
      </c>
      <c r="H54" s="25" t="s">
        <v>106</v>
      </c>
      <c r="I54" s="25" t="s">
        <v>88</v>
      </c>
      <c r="J54" s="25" t="s">
        <v>72</v>
      </c>
      <c r="K54" s="25" t="s">
        <v>73</v>
      </c>
      <c r="L54" s="25" t="str">
        <f t="shared" si="1"/>
        <v>FAMILIAR</v>
      </c>
      <c r="M54" s="25">
        <f t="shared" si="2"/>
        <v>11</v>
      </c>
      <c r="N54" s="25">
        <f t="shared" si="3"/>
        <v>2022</v>
      </c>
      <c r="O54" s="27" t="str">
        <f>VLOOKUP(K54,'CA y tablas'!$B$22:$C$28,2,FALSE)</f>
        <v>AMERICANO</v>
      </c>
      <c r="P54" s="28" t="str">
        <f t="shared" si="4"/>
        <v>S2</v>
      </c>
      <c r="Q54" s="29">
        <v>3.0</v>
      </c>
      <c r="R54" s="29" t="str">
        <f t="shared" si="5"/>
        <v>Q3</v>
      </c>
    </row>
    <row r="55" ht="15.75" customHeight="1">
      <c r="A55" s="30">
        <v>44893.0</v>
      </c>
      <c r="B55" s="31">
        <v>2.996927113E9</v>
      </c>
      <c r="C55" s="32" t="s">
        <v>141</v>
      </c>
      <c r="D55" s="31">
        <v>4.3651926E7</v>
      </c>
      <c r="E55" s="30">
        <v>44893.0</v>
      </c>
      <c r="F55" s="33" t="s">
        <v>76</v>
      </c>
      <c r="G55" s="34">
        <v>1.0</v>
      </c>
      <c r="H55" s="33" t="s">
        <v>106</v>
      </c>
      <c r="I55" s="33" t="s">
        <v>88</v>
      </c>
      <c r="J55" s="33" t="s">
        <v>72</v>
      </c>
      <c r="K55" s="33" t="s">
        <v>73</v>
      </c>
      <c r="L55" s="33" t="str">
        <f t="shared" si="1"/>
        <v>INDIVIDUAL</v>
      </c>
      <c r="M55" s="33">
        <f t="shared" si="2"/>
        <v>11</v>
      </c>
      <c r="N55" s="33">
        <f t="shared" si="3"/>
        <v>2022</v>
      </c>
      <c r="O55" s="35" t="str">
        <f>VLOOKUP(K55,'CA y tablas'!$B$22:$C$28,2,FALSE)</f>
        <v>AMERICANO</v>
      </c>
      <c r="P55" s="28" t="str">
        <f t="shared" si="4"/>
        <v>S2</v>
      </c>
      <c r="Q55" s="29">
        <v>3.0</v>
      </c>
      <c r="R55" s="29" t="str">
        <f t="shared" si="5"/>
        <v>Q3</v>
      </c>
    </row>
    <row r="56" ht="15.75" customHeight="1">
      <c r="A56" s="22">
        <v>44888.0</v>
      </c>
      <c r="B56" s="23">
        <v>4.032978865E9</v>
      </c>
      <c r="C56" s="24" t="s">
        <v>142</v>
      </c>
      <c r="D56" s="23">
        <v>4.2445259E7</v>
      </c>
      <c r="E56" s="22">
        <v>44894.0</v>
      </c>
      <c r="F56" s="25" t="s">
        <v>76</v>
      </c>
      <c r="G56" s="26">
        <v>1.0</v>
      </c>
      <c r="H56" s="25" t="s">
        <v>106</v>
      </c>
      <c r="I56" s="25" t="s">
        <v>88</v>
      </c>
      <c r="J56" s="25" t="s">
        <v>72</v>
      </c>
      <c r="K56" s="25" t="s">
        <v>73</v>
      </c>
      <c r="L56" s="25" t="str">
        <f t="shared" si="1"/>
        <v>INDIVIDUAL</v>
      </c>
      <c r="M56" s="25">
        <f t="shared" si="2"/>
        <v>11</v>
      </c>
      <c r="N56" s="25">
        <f t="shared" si="3"/>
        <v>2022</v>
      </c>
      <c r="O56" s="27" t="str">
        <f>VLOOKUP(K56,'CA y tablas'!$B$22:$C$28,2,FALSE)</f>
        <v>AMERICANO</v>
      </c>
      <c r="P56" s="28" t="str">
        <f t="shared" si="4"/>
        <v>S2</v>
      </c>
      <c r="Q56" s="29">
        <v>3.0</v>
      </c>
      <c r="R56" s="29" t="str">
        <f t="shared" si="5"/>
        <v>Q3</v>
      </c>
    </row>
    <row r="57" ht="15.75" customHeight="1">
      <c r="A57" s="30">
        <v>44889.0</v>
      </c>
      <c r="B57" s="31">
        <v>5.328769644E9</v>
      </c>
      <c r="C57" s="32" t="s">
        <v>143</v>
      </c>
      <c r="D57" s="31">
        <v>3.683913E7</v>
      </c>
      <c r="E57" s="30">
        <v>44894.0</v>
      </c>
      <c r="F57" s="33" t="s">
        <v>69</v>
      </c>
      <c r="G57" s="34">
        <v>2.0</v>
      </c>
      <c r="H57" s="33" t="s">
        <v>106</v>
      </c>
      <c r="I57" s="33" t="s">
        <v>88</v>
      </c>
      <c r="J57" s="33" t="s">
        <v>72</v>
      </c>
      <c r="K57" s="33" t="s">
        <v>84</v>
      </c>
      <c r="L57" s="33" t="str">
        <f t="shared" si="1"/>
        <v>FAMILIAR</v>
      </c>
      <c r="M57" s="33">
        <f t="shared" si="2"/>
        <v>11</v>
      </c>
      <c r="N57" s="33">
        <f t="shared" si="3"/>
        <v>2022</v>
      </c>
      <c r="O57" s="35" t="str">
        <f>VLOOKUP(K57,'CA y tablas'!$B$22:$C$28,2,FALSE)</f>
        <v>EUROPEO</v>
      </c>
      <c r="P57" s="28" t="str">
        <f t="shared" si="4"/>
        <v>S2</v>
      </c>
      <c r="Q57" s="29">
        <v>3.0</v>
      </c>
      <c r="R57" s="29" t="str">
        <f t="shared" si="5"/>
        <v>Q3</v>
      </c>
    </row>
    <row r="58" ht="15.75" customHeight="1">
      <c r="A58" s="22">
        <v>44894.0</v>
      </c>
      <c r="B58" s="23">
        <v>7.718535182E9</v>
      </c>
      <c r="C58" s="24" t="s">
        <v>144</v>
      </c>
      <c r="D58" s="23">
        <v>3.6947754E7</v>
      </c>
      <c r="E58" s="22">
        <v>44896.0</v>
      </c>
      <c r="F58" s="25" t="s">
        <v>69</v>
      </c>
      <c r="G58" s="26">
        <v>2.0</v>
      </c>
      <c r="H58" s="25" t="s">
        <v>106</v>
      </c>
      <c r="I58" s="25" t="s">
        <v>88</v>
      </c>
      <c r="J58" s="25" t="s">
        <v>83</v>
      </c>
      <c r="K58" s="25" t="s">
        <v>84</v>
      </c>
      <c r="L58" s="25" t="str">
        <f t="shared" si="1"/>
        <v>FAMILIAR</v>
      </c>
      <c r="M58" s="25">
        <f t="shared" si="2"/>
        <v>12</v>
      </c>
      <c r="N58" s="25">
        <f t="shared" si="3"/>
        <v>2022</v>
      </c>
      <c r="O58" s="27" t="str">
        <f>VLOOKUP(K58,'CA y tablas'!$B$22:$C$28,2,FALSE)</f>
        <v>EUROPEO</v>
      </c>
      <c r="P58" s="28" t="str">
        <f t="shared" si="4"/>
        <v>S2</v>
      </c>
      <c r="Q58" s="29">
        <v>3.0</v>
      </c>
      <c r="R58" s="29" t="str">
        <f t="shared" si="5"/>
        <v>Q3</v>
      </c>
    </row>
    <row r="59" ht="15.75" customHeight="1">
      <c r="A59" s="30">
        <v>44894.0</v>
      </c>
      <c r="B59" s="31">
        <v>3.702967844E9</v>
      </c>
      <c r="C59" s="32" t="s">
        <v>145</v>
      </c>
      <c r="D59" s="31">
        <v>2.0925125E7</v>
      </c>
      <c r="E59" s="30">
        <v>44896.0</v>
      </c>
      <c r="F59" s="33" t="s">
        <v>69</v>
      </c>
      <c r="G59" s="34">
        <v>2.0</v>
      </c>
      <c r="H59" s="33" t="s">
        <v>106</v>
      </c>
      <c r="I59" s="33" t="s">
        <v>88</v>
      </c>
      <c r="J59" s="33" t="s">
        <v>83</v>
      </c>
      <c r="K59" s="33" t="s">
        <v>84</v>
      </c>
      <c r="L59" s="33" t="str">
        <f t="shared" si="1"/>
        <v>FAMILIAR</v>
      </c>
      <c r="M59" s="33">
        <f t="shared" si="2"/>
        <v>12</v>
      </c>
      <c r="N59" s="33">
        <f t="shared" si="3"/>
        <v>2022</v>
      </c>
      <c r="O59" s="35" t="str">
        <f>VLOOKUP(K59,'CA y tablas'!$B$22:$C$28,2,FALSE)</f>
        <v>EUROPEO</v>
      </c>
      <c r="P59" s="28" t="str">
        <f t="shared" si="4"/>
        <v>S2</v>
      </c>
      <c r="Q59" s="29">
        <v>3.0</v>
      </c>
      <c r="R59" s="29" t="str">
        <f t="shared" si="5"/>
        <v>Q3</v>
      </c>
    </row>
    <row r="60" ht="15.75" customHeight="1">
      <c r="A60" s="22">
        <v>44894.0</v>
      </c>
      <c r="B60" s="23">
        <v>5.672646582E9</v>
      </c>
      <c r="C60" s="24" t="s">
        <v>146</v>
      </c>
      <c r="D60" s="23">
        <v>3.0268671E7</v>
      </c>
      <c r="E60" s="22">
        <v>44896.0</v>
      </c>
      <c r="F60" s="25" t="s">
        <v>69</v>
      </c>
      <c r="G60" s="26">
        <v>2.0</v>
      </c>
      <c r="H60" s="25" t="s">
        <v>106</v>
      </c>
      <c r="I60" s="25" t="s">
        <v>88</v>
      </c>
      <c r="J60" s="25" t="s">
        <v>83</v>
      </c>
      <c r="K60" s="25" t="s">
        <v>84</v>
      </c>
      <c r="L60" s="25" t="str">
        <f t="shared" si="1"/>
        <v>FAMILIAR</v>
      </c>
      <c r="M60" s="25">
        <f t="shared" si="2"/>
        <v>12</v>
      </c>
      <c r="N60" s="25">
        <f t="shared" si="3"/>
        <v>2022</v>
      </c>
      <c r="O60" s="27" t="str">
        <f>VLOOKUP(K60,'CA y tablas'!$B$22:$C$28,2,FALSE)</f>
        <v>EUROPEO</v>
      </c>
      <c r="P60" s="28" t="str">
        <f t="shared" si="4"/>
        <v>S2</v>
      </c>
      <c r="Q60" s="29">
        <v>3.0</v>
      </c>
      <c r="R60" s="29" t="str">
        <f t="shared" si="5"/>
        <v>Q3</v>
      </c>
    </row>
    <row r="61" ht="15.75" customHeight="1">
      <c r="A61" s="30">
        <v>44895.0</v>
      </c>
      <c r="B61" s="31">
        <v>5.526799202E9</v>
      </c>
      <c r="C61" s="32" t="s">
        <v>147</v>
      </c>
      <c r="D61" s="31">
        <v>2.3662807E7</v>
      </c>
      <c r="E61" s="30">
        <v>44896.0</v>
      </c>
      <c r="F61" s="33" t="s">
        <v>76</v>
      </c>
      <c r="G61" s="34">
        <v>2.0</v>
      </c>
      <c r="H61" s="33" t="s">
        <v>106</v>
      </c>
      <c r="I61" s="33" t="s">
        <v>77</v>
      </c>
      <c r="J61" s="33" t="s">
        <v>83</v>
      </c>
      <c r="K61" s="33" t="s">
        <v>84</v>
      </c>
      <c r="L61" s="33" t="str">
        <f t="shared" si="1"/>
        <v>FAMILIAR</v>
      </c>
      <c r="M61" s="33">
        <f t="shared" si="2"/>
        <v>12</v>
      </c>
      <c r="N61" s="33">
        <f t="shared" si="3"/>
        <v>2022</v>
      </c>
      <c r="O61" s="35" t="str">
        <f>VLOOKUP(K61,'CA y tablas'!$B$22:$C$28,2,FALSE)</f>
        <v>EUROPEO</v>
      </c>
      <c r="P61" s="28" t="str">
        <f t="shared" si="4"/>
        <v>S2</v>
      </c>
      <c r="Q61" s="29">
        <v>3.0</v>
      </c>
      <c r="R61" s="29" t="str">
        <f t="shared" si="5"/>
        <v>Q3</v>
      </c>
    </row>
    <row r="62" ht="15.75" customHeight="1">
      <c r="A62" s="22">
        <v>44895.0</v>
      </c>
      <c r="B62" s="23">
        <v>5.526787582E9</v>
      </c>
      <c r="C62" s="24" t="s">
        <v>148</v>
      </c>
      <c r="D62" s="23">
        <v>1.1238696E7</v>
      </c>
      <c r="E62" s="22">
        <v>44896.0</v>
      </c>
      <c r="F62" s="25" t="s">
        <v>76</v>
      </c>
      <c r="G62" s="26">
        <v>1.0</v>
      </c>
      <c r="H62" s="25" t="s">
        <v>106</v>
      </c>
      <c r="I62" s="25" t="s">
        <v>77</v>
      </c>
      <c r="J62" s="25" t="s">
        <v>83</v>
      </c>
      <c r="K62" s="25" t="s">
        <v>103</v>
      </c>
      <c r="L62" s="25" t="str">
        <f t="shared" si="1"/>
        <v>INDIVIDUAL</v>
      </c>
      <c r="M62" s="25">
        <f t="shared" si="2"/>
        <v>12</v>
      </c>
      <c r="N62" s="25">
        <f t="shared" si="3"/>
        <v>2022</v>
      </c>
      <c r="O62" s="27" t="str">
        <f>VLOOKUP(K62,'CA y tablas'!$B$22:$C$28,2,FALSE)</f>
        <v>EUROPEO</v>
      </c>
      <c r="P62" s="28" t="str">
        <f t="shared" si="4"/>
        <v>S2</v>
      </c>
      <c r="Q62" s="29">
        <v>3.0</v>
      </c>
      <c r="R62" s="29" t="str">
        <f t="shared" si="5"/>
        <v>Q3</v>
      </c>
    </row>
    <row r="63" ht="15.75" customHeight="1">
      <c r="A63" s="30">
        <v>44895.0</v>
      </c>
      <c r="B63" s="31">
        <v>5.508135544E9</v>
      </c>
      <c r="C63" s="32" t="s">
        <v>146</v>
      </c>
      <c r="D63" s="31">
        <v>3.0268671E7</v>
      </c>
      <c r="E63" s="30">
        <v>44896.0</v>
      </c>
      <c r="F63" s="33" t="s">
        <v>76</v>
      </c>
      <c r="G63" s="34">
        <v>2.0</v>
      </c>
      <c r="H63" s="33" t="s">
        <v>106</v>
      </c>
      <c r="I63" s="33" t="s">
        <v>77</v>
      </c>
      <c r="J63" s="33" t="s">
        <v>83</v>
      </c>
      <c r="K63" s="33" t="s">
        <v>103</v>
      </c>
      <c r="L63" s="33" t="str">
        <f t="shared" si="1"/>
        <v>FAMILIAR</v>
      </c>
      <c r="M63" s="33">
        <f t="shared" si="2"/>
        <v>12</v>
      </c>
      <c r="N63" s="33">
        <f t="shared" si="3"/>
        <v>2022</v>
      </c>
      <c r="O63" s="35" t="str">
        <f>VLOOKUP(K63,'CA y tablas'!$B$22:$C$28,2,FALSE)</f>
        <v>EUROPEO</v>
      </c>
      <c r="P63" s="28" t="str">
        <f t="shared" si="4"/>
        <v>S2</v>
      </c>
      <c r="Q63" s="29">
        <v>3.0</v>
      </c>
      <c r="R63" s="29" t="str">
        <f t="shared" si="5"/>
        <v>Q3</v>
      </c>
    </row>
    <row r="64" ht="15.75" customHeight="1">
      <c r="A64" s="22">
        <v>44897.0</v>
      </c>
      <c r="B64" s="23">
        <v>6.429525465E9</v>
      </c>
      <c r="C64" s="24" t="s">
        <v>149</v>
      </c>
      <c r="D64" s="23">
        <v>3.7657414E7</v>
      </c>
      <c r="E64" s="22">
        <v>44897.0</v>
      </c>
      <c r="F64" s="25" t="s">
        <v>76</v>
      </c>
      <c r="G64" s="26">
        <v>1.0</v>
      </c>
      <c r="H64" s="25" t="s">
        <v>112</v>
      </c>
      <c r="I64" s="25" t="s">
        <v>77</v>
      </c>
      <c r="J64" s="25" t="s">
        <v>79</v>
      </c>
      <c r="K64" s="25" t="s">
        <v>99</v>
      </c>
      <c r="L64" s="25" t="str">
        <f t="shared" si="1"/>
        <v>INDIVIDUAL</v>
      </c>
      <c r="M64" s="25">
        <f t="shared" si="2"/>
        <v>12</v>
      </c>
      <c r="N64" s="25">
        <f t="shared" si="3"/>
        <v>2022</v>
      </c>
      <c r="O64" s="27" t="str">
        <f>VLOOKUP(K64,'CA y tablas'!$B$22:$C$28,2,FALSE)</f>
        <v>EUROPEO</v>
      </c>
      <c r="P64" s="28" t="str">
        <f t="shared" si="4"/>
        <v>S2</v>
      </c>
      <c r="Q64" s="29">
        <v>3.0</v>
      </c>
      <c r="R64" s="29" t="str">
        <f t="shared" si="5"/>
        <v>Q3</v>
      </c>
    </row>
    <row r="65" ht="15.75" customHeight="1">
      <c r="A65" s="30">
        <v>44895.0</v>
      </c>
      <c r="B65" s="31">
        <v>2.883436651E9</v>
      </c>
      <c r="C65" s="32" t="s">
        <v>150</v>
      </c>
      <c r="D65" s="31">
        <v>4.3648131E7</v>
      </c>
      <c r="E65" s="30">
        <v>44900.0</v>
      </c>
      <c r="F65" s="33" t="s">
        <v>76</v>
      </c>
      <c r="G65" s="34">
        <v>1.0</v>
      </c>
      <c r="H65" s="33" t="s">
        <v>112</v>
      </c>
      <c r="I65" s="33" t="s">
        <v>77</v>
      </c>
      <c r="J65" s="33" t="s">
        <v>79</v>
      </c>
      <c r="K65" s="33" t="s">
        <v>99</v>
      </c>
      <c r="L65" s="33" t="str">
        <f t="shared" si="1"/>
        <v>INDIVIDUAL</v>
      </c>
      <c r="M65" s="33">
        <f t="shared" si="2"/>
        <v>12</v>
      </c>
      <c r="N65" s="33">
        <f t="shared" si="3"/>
        <v>2022</v>
      </c>
      <c r="O65" s="35" t="str">
        <f>VLOOKUP(K65,'CA y tablas'!$B$22:$C$28,2,FALSE)</f>
        <v>EUROPEO</v>
      </c>
      <c r="P65" s="28" t="str">
        <f t="shared" si="4"/>
        <v>S2</v>
      </c>
      <c r="Q65" s="29">
        <v>3.0</v>
      </c>
      <c r="R65" s="29" t="str">
        <f t="shared" si="5"/>
        <v>Q3</v>
      </c>
    </row>
    <row r="66" ht="15.75" customHeight="1">
      <c r="A66" s="22">
        <v>44895.0</v>
      </c>
      <c r="B66" s="23">
        <v>5.508270471E9</v>
      </c>
      <c r="C66" s="24" t="s">
        <v>151</v>
      </c>
      <c r="D66" s="23">
        <v>3.8491501E7</v>
      </c>
      <c r="E66" s="22">
        <v>44900.0</v>
      </c>
      <c r="F66" s="25" t="s">
        <v>76</v>
      </c>
      <c r="G66" s="26">
        <v>1.0</v>
      </c>
      <c r="H66" s="25" t="s">
        <v>112</v>
      </c>
      <c r="I66" s="25" t="s">
        <v>77</v>
      </c>
      <c r="J66" s="25" t="s">
        <v>79</v>
      </c>
      <c r="K66" s="25" t="s">
        <v>99</v>
      </c>
      <c r="L66" s="25" t="str">
        <f t="shared" si="1"/>
        <v>INDIVIDUAL</v>
      </c>
      <c r="M66" s="25">
        <f t="shared" si="2"/>
        <v>12</v>
      </c>
      <c r="N66" s="25">
        <f t="shared" si="3"/>
        <v>2022</v>
      </c>
      <c r="O66" s="27" t="str">
        <f>VLOOKUP(K66,'CA y tablas'!$B$22:$C$28,2,FALSE)</f>
        <v>EUROPEO</v>
      </c>
      <c r="P66" s="28" t="str">
        <f t="shared" si="4"/>
        <v>S2</v>
      </c>
      <c r="Q66" s="29">
        <v>3.0</v>
      </c>
      <c r="R66" s="29" t="str">
        <f t="shared" si="5"/>
        <v>Q3</v>
      </c>
    </row>
    <row r="67" ht="15.75" customHeight="1">
      <c r="A67" s="30">
        <v>44888.0</v>
      </c>
      <c r="B67" s="31">
        <v>6.859817624E9</v>
      </c>
      <c r="C67" s="32" t="s">
        <v>152</v>
      </c>
      <c r="D67" s="31">
        <v>3.3374986E7</v>
      </c>
      <c r="E67" s="30">
        <v>44902.0</v>
      </c>
      <c r="F67" s="33" t="s">
        <v>76</v>
      </c>
      <c r="G67" s="34">
        <v>1.0</v>
      </c>
      <c r="H67" s="33" t="s">
        <v>112</v>
      </c>
      <c r="I67" s="33" t="s">
        <v>77</v>
      </c>
      <c r="J67" s="33" t="s">
        <v>79</v>
      </c>
      <c r="K67" s="33" t="s">
        <v>99</v>
      </c>
      <c r="L67" s="33" t="str">
        <f t="shared" si="1"/>
        <v>INDIVIDUAL</v>
      </c>
      <c r="M67" s="33">
        <f t="shared" si="2"/>
        <v>12</v>
      </c>
      <c r="N67" s="33">
        <f t="shared" si="3"/>
        <v>2022</v>
      </c>
      <c r="O67" s="35" t="str">
        <f>VLOOKUP(K67,'CA y tablas'!$B$22:$C$28,2,FALSE)</f>
        <v>EUROPEO</v>
      </c>
      <c r="P67" s="28" t="str">
        <f t="shared" si="4"/>
        <v>S2</v>
      </c>
      <c r="Q67" s="29">
        <v>3.0</v>
      </c>
      <c r="R67" s="29" t="str">
        <f t="shared" si="5"/>
        <v>Q3</v>
      </c>
    </row>
    <row r="68" ht="15.75" customHeight="1">
      <c r="A68" s="22">
        <v>44901.0</v>
      </c>
      <c r="B68" s="23">
        <v>2.378733276E9</v>
      </c>
      <c r="C68" s="24" t="s">
        <v>153</v>
      </c>
      <c r="D68" s="23">
        <v>2.7961325E7</v>
      </c>
      <c r="E68" s="22">
        <v>44902.0</v>
      </c>
      <c r="F68" s="25" t="s">
        <v>69</v>
      </c>
      <c r="G68" s="26">
        <v>2.0</v>
      </c>
      <c r="H68" s="25" t="s">
        <v>112</v>
      </c>
      <c r="I68" s="25" t="s">
        <v>77</v>
      </c>
      <c r="J68" s="25" t="s">
        <v>72</v>
      </c>
      <c r="K68" s="25" t="s">
        <v>99</v>
      </c>
      <c r="L68" s="25" t="str">
        <f t="shared" si="1"/>
        <v>FAMILIAR</v>
      </c>
      <c r="M68" s="25">
        <f t="shared" si="2"/>
        <v>12</v>
      </c>
      <c r="N68" s="25">
        <f t="shared" si="3"/>
        <v>2022</v>
      </c>
      <c r="O68" s="27" t="str">
        <f>VLOOKUP(K68,'CA y tablas'!$B$22:$C$28,2,FALSE)</f>
        <v>EUROPEO</v>
      </c>
      <c r="P68" s="28" t="str">
        <f t="shared" si="4"/>
        <v>S2</v>
      </c>
      <c r="Q68" s="29">
        <v>3.0</v>
      </c>
      <c r="R68" s="29" t="str">
        <f t="shared" si="5"/>
        <v>Q3</v>
      </c>
    </row>
    <row r="69" ht="15.75" customHeight="1">
      <c r="A69" s="30">
        <v>44902.0</v>
      </c>
      <c r="B69" s="31">
        <v>4.43327864E9</v>
      </c>
      <c r="C69" s="32" t="s">
        <v>154</v>
      </c>
      <c r="D69" s="31">
        <v>2.3517066E7</v>
      </c>
      <c r="E69" s="30">
        <v>44902.0</v>
      </c>
      <c r="F69" s="33" t="s">
        <v>69</v>
      </c>
      <c r="G69" s="34">
        <v>1.0</v>
      </c>
      <c r="H69" s="33" t="s">
        <v>112</v>
      </c>
      <c r="I69" s="33" t="s">
        <v>77</v>
      </c>
      <c r="J69" s="33" t="s">
        <v>72</v>
      </c>
      <c r="K69" s="33" t="s">
        <v>99</v>
      </c>
      <c r="L69" s="33" t="str">
        <f t="shared" si="1"/>
        <v>INDIVIDUAL</v>
      </c>
      <c r="M69" s="33">
        <f t="shared" si="2"/>
        <v>12</v>
      </c>
      <c r="N69" s="33">
        <f t="shared" si="3"/>
        <v>2022</v>
      </c>
      <c r="O69" s="35" t="str">
        <f>VLOOKUP(K69,'CA y tablas'!$B$22:$C$28,2,FALSE)</f>
        <v>EUROPEO</v>
      </c>
      <c r="P69" s="28" t="str">
        <f t="shared" si="4"/>
        <v>S2</v>
      </c>
      <c r="Q69" s="29">
        <v>3.0</v>
      </c>
      <c r="R69" s="29" t="str">
        <f t="shared" si="5"/>
        <v>Q3</v>
      </c>
    </row>
    <row r="70" ht="15.75" customHeight="1">
      <c r="A70" s="22">
        <v>44902.0</v>
      </c>
      <c r="B70" s="23">
        <v>2.384246583E9</v>
      </c>
      <c r="C70" s="24" t="s">
        <v>155</v>
      </c>
      <c r="D70" s="23">
        <v>1.4481304E7</v>
      </c>
      <c r="E70" s="22">
        <v>44907.0</v>
      </c>
      <c r="F70" s="25" t="s">
        <v>76</v>
      </c>
      <c r="G70" s="26">
        <v>2.0</v>
      </c>
      <c r="H70" s="25" t="s">
        <v>116</v>
      </c>
      <c r="I70" s="25" t="s">
        <v>77</v>
      </c>
      <c r="J70" s="25" t="s">
        <v>72</v>
      </c>
      <c r="K70" s="25" t="s">
        <v>103</v>
      </c>
      <c r="L70" s="25" t="str">
        <f t="shared" si="1"/>
        <v>FAMILIAR</v>
      </c>
      <c r="M70" s="25">
        <f t="shared" si="2"/>
        <v>12</v>
      </c>
      <c r="N70" s="25">
        <f t="shared" si="3"/>
        <v>2022</v>
      </c>
      <c r="O70" s="27" t="str">
        <f>VLOOKUP(K70,'CA y tablas'!$B$22:$C$28,2,FALSE)</f>
        <v>EUROPEO</v>
      </c>
      <c r="P70" s="28" t="str">
        <f t="shared" si="4"/>
        <v>S2</v>
      </c>
      <c r="Q70" s="29">
        <v>3.0</v>
      </c>
      <c r="R70" s="29" t="str">
        <f t="shared" si="5"/>
        <v>Q3</v>
      </c>
    </row>
    <row r="71" ht="15.75" customHeight="1">
      <c r="A71" s="30">
        <v>44901.0</v>
      </c>
      <c r="B71" s="31">
        <v>7.355726722E9</v>
      </c>
      <c r="C71" s="32" t="s">
        <v>156</v>
      </c>
      <c r="D71" s="31">
        <v>4.0275967E7</v>
      </c>
      <c r="E71" s="30">
        <v>44908.0</v>
      </c>
      <c r="F71" s="33" t="s">
        <v>76</v>
      </c>
      <c r="G71" s="34">
        <v>2.0</v>
      </c>
      <c r="H71" s="33" t="s">
        <v>116</v>
      </c>
      <c r="I71" s="33" t="s">
        <v>77</v>
      </c>
      <c r="J71" s="33" t="s">
        <v>72</v>
      </c>
      <c r="K71" s="33" t="s">
        <v>103</v>
      </c>
      <c r="L71" s="33" t="str">
        <f t="shared" si="1"/>
        <v>FAMILIAR</v>
      </c>
      <c r="M71" s="33">
        <f t="shared" si="2"/>
        <v>12</v>
      </c>
      <c r="N71" s="33">
        <f t="shared" si="3"/>
        <v>2022</v>
      </c>
      <c r="O71" s="35" t="str">
        <f>VLOOKUP(K71,'CA y tablas'!$B$22:$C$28,2,FALSE)</f>
        <v>EUROPEO</v>
      </c>
      <c r="P71" s="28" t="str">
        <f t="shared" si="4"/>
        <v>S2</v>
      </c>
      <c r="Q71" s="29">
        <v>3.0</v>
      </c>
      <c r="R71" s="29" t="str">
        <f t="shared" si="5"/>
        <v>Q3</v>
      </c>
    </row>
    <row r="72" ht="15.75" customHeight="1">
      <c r="A72" s="22">
        <v>44908.0</v>
      </c>
      <c r="B72" s="23">
        <v>9.870563496E9</v>
      </c>
      <c r="C72" s="24" t="s">
        <v>157</v>
      </c>
      <c r="D72" s="23">
        <v>3.9145592E7</v>
      </c>
      <c r="E72" s="22">
        <v>44908.0</v>
      </c>
      <c r="F72" s="25" t="s">
        <v>76</v>
      </c>
      <c r="G72" s="26">
        <v>2.0</v>
      </c>
      <c r="H72" s="25" t="s">
        <v>116</v>
      </c>
      <c r="I72" s="25" t="s">
        <v>71</v>
      </c>
      <c r="J72" s="25" t="s">
        <v>72</v>
      </c>
      <c r="K72" s="25" t="s">
        <v>103</v>
      </c>
      <c r="L72" s="25" t="str">
        <f t="shared" si="1"/>
        <v>FAMILIAR</v>
      </c>
      <c r="M72" s="25">
        <f t="shared" si="2"/>
        <v>12</v>
      </c>
      <c r="N72" s="25">
        <f t="shared" si="3"/>
        <v>2022</v>
      </c>
      <c r="O72" s="27" t="str">
        <f>VLOOKUP(K72,'CA y tablas'!$B$22:$C$28,2,FALSE)</f>
        <v>EUROPEO</v>
      </c>
      <c r="P72" s="28" t="str">
        <f t="shared" si="4"/>
        <v>S2</v>
      </c>
      <c r="Q72" s="29">
        <v>3.0</v>
      </c>
      <c r="R72" s="29" t="str">
        <f t="shared" si="5"/>
        <v>Q3</v>
      </c>
    </row>
    <row r="73" ht="15.75" customHeight="1">
      <c r="A73" s="30">
        <v>44883.0</v>
      </c>
      <c r="B73" s="31">
        <v>3.699733472E9</v>
      </c>
      <c r="C73" s="32" t="s">
        <v>158</v>
      </c>
      <c r="D73" s="31">
        <v>3.6838754E7</v>
      </c>
      <c r="E73" s="30">
        <v>44909.0</v>
      </c>
      <c r="F73" s="33" t="s">
        <v>76</v>
      </c>
      <c r="G73" s="34">
        <v>2.0</v>
      </c>
      <c r="H73" s="33" t="s">
        <v>116</v>
      </c>
      <c r="I73" s="33" t="s">
        <v>71</v>
      </c>
      <c r="J73" s="33" t="s">
        <v>72</v>
      </c>
      <c r="K73" s="33" t="s">
        <v>103</v>
      </c>
      <c r="L73" s="33" t="str">
        <f t="shared" si="1"/>
        <v>FAMILIAR</v>
      </c>
      <c r="M73" s="33">
        <f t="shared" si="2"/>
        <v>12</v>
      </c>
      <c r="N73" s="33">
        <f t="shared" si="3"/>
        <v>2022</v>
      </c>
      <c r="O73" s="35" t="str">
        <f>VLOOKUP(K73,'CA y tablas'!$B$22:$C$28,2,FALSE)</f>
        <v>EUROPEO</v>
      </c>
      <c r="P73" s="28" t="str">
        <f t="shared" si="4"/>
        <v>S2</v>
      </c>
      <c r="Q73" s="29">
        <v>3.0</v>
      </c>
      <c r="R73" s="29" t="str">
        <f t="shared" si="5"/>
        <v>Q3</v>
      </c>
    </row>
    <row r="74" ht="15.75" customHeight="1">
      <c r="A74" s="22">
        <v>44909.0</v>
      </c>
      <c r="B74" s="23">
        <v>3.390086906E9</v>
      </c>
      <c r="C74" s="24" t="s">
        <v>159</v>
      </c>
      <c r="D74" s="23">
        <v>3.1275866E7</v>
      </c>
      <c r="E74" s="22">
        <v>44910.0</v>
      </c>
      <c r="F74" s="25" t="s">
        <v>76</v>
      </c>
      <c r="G74" s="26">
        <v>3.0</v>
      </c>
      <c r="H74" s="25" t="s">
        <v>116</v>
      </c>
      <c r="I74" s="25" t="s">
        <v>71</v>
      </c>
      <c r="J74" s="25" t="s">
        <v>79</v>
      </c>
      <c r="K74" s="25" t="s">
        <v>90</v>
      </c>
      <c r="L74" s="25" t="str">
        <f t="shared" si="1"/>
        <v>FAMILIAR</v>
      </c>
      <c r="M74" s="25">
        <f t="shared" si="2"/>
        <v>12</v>
      </c>
      <c r="N74" s="25">
        <f t="shared" si="3"/>
        <v>2022</v>
      </c>
      <c r="O74" s="27" t="str">
        <f>VLOOKUP(K74,'CA y tablas'!$B$22:$C$28,2,FALSE)</f>
        <v>EUROPEO</v>
      </c>
      <c r="P74" s="28" t="str">
        <f t="shared" si="4"/>
        <v>S2</v>
      </c>
      <c r="Q74" s="29">
        <v>3.0</v>
      </c>
      <c r="R74" s="29" t="str">
        <f t="shared" si="5"/>
        <v>Q3</v>
      </c>
    </row>
    <row r="75" ht="15.75" customHeight="1">
      <c r="A75" s="30">
        <v>44909.0</v>
      </c>
      <c r="B75" s="31">
        <v>1.097832632E9</v>
      </c>
      <c r="C75" s="32" t="s">
        <v>160</v>
      </c>
      <c r="D75" s="31">
        <v>3.4880587E7</v>
      </c>
      <c r="E75" s="30">
        <v>44910.0</v>
      </c>
      <c r="F75" s="33" t="s">
        <v>69</v>
      </c>
      <c r="G75" s="34">
        <v>2.0</v>
      </c>
      <c r="H75" s="33" t="s">
        <v>116</v>
      </c>
      <c r="I75" s="33" t="s">
        <v>71</v>
      </c>
      <c r="J75" s="33" t="s">
        <v>79</v>
      </c>
      <c r="K75" s="33" t="s">
        <v>90</v>
      </c>
      <c r="L75" s="33" t="str">
        <f t="shared" si="1"/>
        <v>FAMILIAR</v>
      </c>
      <c r="M75" s="33">
        <f t="shared" si="2"/>
        <v>12</v>
      </c>
      <c r="N75" s="33">
        <f t="shared" si="3"/>
        <v>2022</v>
      </c>
      <c r="O75" s="35" t="str">
        <f>VLOOKUP(K75,'CA y tablas'!$B$22:$C$28,2,FALSE)</f>
        <v>EUROPEO</v>
      </c>
      <c r="P75" s="28" t="str">
        <f t="shared" si="4"/>
        <v>S2</v>
      </c>
      <c r="Q75" s="29">
        <v>3.0</v>
      </c>
      <c r="R75" s="29" t="str">
        <f t="shared" si="5"/>
        <v>Q3</v>
      </c>
    </row>
    <row r="76" ht="15.75" customHeight="1">
      <c r="A76" s="22">
        <v>44910.0</v>
      </c>
      <c r="B76" s="23">
        <v>5.992876212E9</v>
      </c>
      <c r="C76" s="24" t="s">
        <v>161</v>
      </c>
      <c r="D76" s="23">
        <v>3.8741719E7</v>
      </c>
      <c r="E76" s="22">
        <v>44910.0</v>
      </c>
      <c r="F76" s="25" t="s">
        <v>69</v>
      </c>
      <c r="G76" s="26">
        <v>4.0</v>
      </c>
      <c r="H76" s="25" t="s">
        <v>116</v>
      </c>
      <c r="I76" s="25" t="s">
        <v>71</v>
      </c>
      <c r="J76" s="25" t="s">
        <v>79</v>
      </c>
      <c r="K76" s="25" t="s">
        <v>90</v>
      </c>
      <c r="L76" s="25" t="str">
        <f t="shared" si="1"/>
        <v>FAMILIAR</v>
      </c>
      <c r="M76" s="25">
        <f t="shared" si="2"/>
        <v>12</v>
      </c>
      <c r="N76" s="25">
        <f t="shared" si="3"/>
        <v>2022</v>
      </c>
      <c r="O76" s="27" t="str">
        <f>VLOOKUP(K76,'CA y tablas'!$B$22:$C$28,2,FALSE)</f>
        <v>EUROPEO</v>
      </c>
      <c r="P76" s="28" t="str">
        <f t="shared" si="4"/>
        <v>S2</v>
      </c>
      <c r="Q76" s="29">
        <v>3.0</v>
      </c>
      <c r="R76" s="29" t="str">
        <f t="shared" si="5"/>
        <v>Q3</v>
      </c>
    </row>
    <row r="77" ht="15.75" customHeight="1">
      <c r="A77" s="30">
        <v>44910.0</v>
      </c>
      <c r="B77" s="31">
        <v>6.447052791E9</v>
      </c>
      <c r="C77" s="32" t="s">
        <v>162</v>
      </c>
      <c r="D77" s="31">
        <v>4.1535951E7</v>
      </c>
      <c r="E77" s="30">
        <v>44911.0</v>
      </c>
      <c r="F77" s="33" t="s">
        <v>69</v>
      </c>
      <c r="G77" s="34">
        <v>1.0</v>
      </c>
      <c r="H77" s="33" t="s">
        <v>116</v>
      </c>
      <c r="I77" s="33" t="s">
        <v>71</v>
      </c>
      <c r="J77" s="33" t="s">
        <v>79</v>
      </c>
      <c r="K77" s="33" t="s">
        <v>90</v>
      </c>
      <c r="L77" s="33" t="str">
        <f t="shared" si="1"/>
        <v>INDIVIDUAL</v>
      </c>
      <c r="M77" s="33">
        <f t="shared" si="2"/>
        <v>12</v>
      </c>
      <c r="N77" s="33">
        <f t="shared" si="3"/>
        <v>2022</v>
      </c>
      <c r="O77" s="35" t="str">
        <f>VLOOKUP(K77,'CA y tablas'!$B$22:$C$28,2,FALSE)</f>
        <v>EUROPEO</v>
      </c>
      <c r="P77" s="28" t="str">
        <f t="shared" si="4"/>
        <v>S2</v>
      </c>
      <c r="Q77" s="29">
        <v>3.0</v>
      </c>
      <c r="R77" s="29" t="str">
        <f t="shared" si="5"/>
        <v>Q3</v>
      </c>
    </row>
    <row r="78" ht="15.75" customHeight="1">
      <c r="A78" s="22">
        <v>44911.0</v>
      </c>
      <c r="B78" s="23">
        <v>8.14461284E9</v>
      </c>
      <c r="C78" s="24" t="s">
        <v>163</v>
      </c>
      <c r="D78" s="23">
        <v>3.4067977E7</v>
      </c>
      <c r="E78" s="22">
        <v>44914.0</v>
      </c>
      <c r="F78" s="25" t="s">
        <v>69</v>
      </c>
      <c r="G78" s="26">
        <v>1.0</v>
      </c>
      <c r="H78" s="25" t="s">
        <v>116</v>
      </c>
      <c r="I78" s="25" t="s">
        <v>71</v>
      </c>
      <c r="J78" s="25" t="s">
        <v>79</v>
      </c>
      <c r="K78" s="25" t="s">
        <v>90</v>
      </c>
      <c r="L78" s="25" t="str">
        <f t="shared" si="1"/>
        <v>INDIVIDUAL</v>
      </c>
      <c r="M78" s="25">
        <f t="shared" si="2"/>
        <v>12</v>
      </c>
      <c r="N78" s="25">
        <f t="shared" si="3"/>
        <v>2022</v>
      </c>
      <c r="O78" s="27" t="str">
        <f>VLOOKUP(K78,'CA y tablas'!$B$22:$C$28,2,FALSE)</f>
        <v>EUROPEO</v>
      </c>
      <c r="P78" s="28" t="str">
        <f t="shared" si="4"/>
        <v>S2</v>
      </c>
      <c r="Q78" s="29">
        <v>3.0</v>
      </c>
      <c r="R78" s="29" t="str">
        <f t="shared" si="5"/>
        <v>Q3</v>
      </c>
    </row>
    <row r="79" ht="15.75" customHeight="1">
      <c r="A79" s="30">
        <v>44901.0</v>
      </c>
      <c r="B79" s="31">
        <v>2.023592196E9</v>
      </c>
      <c r="C79" s="32" t="s">
        <v>164</v>
      </c>
      <c r="D79" s="31">
        <v>2.2414076E7</v>
      </c>
      <c r="E79" s="30">
        <v>44916.0</v>
      </c>
      <c r="F79" s="33" t="s">
        <v>69</v>
      </c>
      <c r="G79" s="34">
        <v>1.0</v>
      </c>
      <c r="H79" s="33" t="s">
        <v>116</v>
      </c>
      <c r="I79" s="33" t="s">
        <v>71</v>
      </c>
      <c r="J79" s="33" t="s">
        <v>79</v>
      </c>
      <c r="K79" s="33" t="s">
        <v>90</v>
      </c>
      <c r="L79" s="33" t="str">
        <f t="shared" si="1"/>
        <v>INDIVIDUAL</v>
      </c>
      <c r="M79" s="33">
        <f t="shared" si="2"/>
        <v>12</v>
      </c>
      <c r="N79" s="33">
        <f t="shared" si="3"/>
        <v>2022</v>
      </c>
      <c r="O79" s="35" t="str">
        <f>VLOOKUP(K79,'CA y tablas'!$B$22:$C$28,2,FALSE)</f>
        <v>EUROPEO</v>
      </c>
      <c r="P79" s="28" t="str">
        <f t="shared" si="4"/>
        <v>S2</v>
      </c>
      <c r="Q79" s="29">
        <v>3.0</v>
      </c>
      <c r="R79" s="29" t="str">
        <f t="shared" si="5"/>
        <v>Q3</v>
      </c>
    </row>
    <row r="80" ht="15.75" customHeight="1">
      <c r="A80" s="22">
        <v>44909.0</v>
      </c>
      <c r="B80" s="23">
        <v>2.324471015E9</v>
      </c>
      <c r="C80" s="24" t="s">
        <v>165</v>
      </c>
      <c r="D80" s="23">
        <v>2.3805258E7</v>
      </c>
      <c r="E80" s="22">
        <v>44916.0</v>
      </c>
      <c r="F80" s="25" t="s">
        <v>69</v>
      </c>
      <c r="G80" s="26">
        <v>2.0</v>
      </c>
      <c r="H80" s="25" t="s">
        <v>116</v>
      </c>
      <c r="I80" s="25" t="s">
        <v>71</v>
      </c>
      <c r="J80" s="25" t="s">
        <v>83</v>
      </c>
      <c r="K80" s="25" t="s">
        <v>90</v>
      </c>
      <c r="L80" s="25" t="str">
        <f t="shared" si="1"/>
        <v>FAMILIAR</v>
      </c>
      <c r="M80" s="25">
        <f t="shared" si="2"/>
        <v>12</v>
      </c>
      <c r="N80" s="25">
        <f t="shared" si="3"/>
        <v>2022</v>
      </c>
      <c r="O80" s="27" t="str">
        <f>VLOOKUP(K80,'CA y tablas'!$B$22:$C$28,2,FALSE)</f>
        <v>EUROPEO</v>
      </c>
      <c r="P80" s="28" t="str">
        <f t="shared" si="4"/>
        <v>S2</v>
      </c>
      <c r="Q80" s="29">
        <v>3.0</v>
      </c>
      <c r="R80" s="29" t="str">
        <f t="shared" si="5"/>
        <v>Q3</v>
      </c>
    </row>
    <row r="81" ht="15.75" customHeight="1">
      <c r="A81" s="30">
        <v>44909.0</v>
      </c>
      <c r="B81" s="31">
        <v>3.31912763E9</v>
      </c>
      <c r="C81" s="32" t="s">
        <v>166</v>
      </c>
      <c r="D81" s="31">
        <v>2.6057426E7</v>
      </c>
      <c r="E81" s="30">
        <v>44916.0</v>
      </c>
      <c r="F81" s="33" t="s">
        <v>76</v>
      </c>
      <c r="G81" s="34">
        <v>3.0</v>
      </c>
      <c r="H81" s="33" t="s">
        <v>116</v>
      </c>
      <c r="I81" s="33" t="s">
        <v>88</v>
      </c>
      <c r="J81" s="33" t="s">
        <v>83</v>
      </c>
      <c r="K81" s="33" t="s">
        <v>90</v>
      </c>
      <c r="L81" s="33" t="str">
        <f t="shared" si="1"/>
        <v>FAMILIAR</v>
      </c>
      <c r="M81" s="33">
        <f t="shared" si="2"/>
        <v>12</v>
      </c>
      <c r="N81" s="33">
        <f t="shared" si="3"/>
        <v>2022</v>
      </c>
      <c r="O81" s="35" t="str">
        <f>VLOOKUP(K81,'CA y tablas'!$B$22:$C$28,2,FALSE)</f>
        <v>EUROPEO</v>
      </c>
      <c r="P81" s="28" t="str">
        <f t="shared" si="4"/>
        <v>S2</v>
      </c>
      <c r="Q81" s="29">
        <v>3.0</v>
      </c>
      <c r="R81" s="29" t="str">
        <f t="shared" si="5"/>
        <v>Q3</v>
      </c>
    </row>
    <row r="82" ht="15.75" customHeight="1">
      <c r="A82" s="22">
        <v>44910.0</v>
      </c>
      <c r="B82" s="23">
        <v>5.370734095E9</v>
      </c>
      <c r="C82" s="24" t="s">
        <v>165</v>
      </c>
      <c r="D82" s="23">
        <v>2.3805258E7</v>
      </c>
      <c r="E82" s="22">
        <v>44916.0</v>
      </c>
      <c r="F82" s="25" t="s">
        <v>76</v>
      </c>
      <c r="G82" s="26">
        <v>3.0</v>
      </c>
      <c r="H82" s="25" t="s">
        <v>116</v>
      </c>
      <c r="I82" s="25" t="s">
        <v>88</v>
      </c>
      <c r="J82" s="25" t="s">
        <v>83</v>
      </c>
      <c r="K82" s="25" t="s">
        <v>90</v>
      </c>
      <c r="L82" s="25" t="str">
        <f t="shared" si="1"/>
        <v>FAMILIAR</v>
      </c>
      <c r="M82" s="25">
        <f t="shared" si="2"/>
        <v>12</v>
      </c>
      <c r="N82" s="25">
        <f t="shared" si="3"/>
        <v>2022</v>
      </c>
      <c r="O82" s="27" t="str">
        <f>VLOOKUP(K82,'CA y tablas'!$B$22:$C$28,2,FALSE)</f>
        <v>EUROPEO</v>
      </c>
      <c r="P82" s="28" t="str">
        <f t="shared" si="4"/>
        <v>S2</v>
      </c>
      <c r="Q82" s="29">
        <v>3.0</v>
      </c>
      <c r="R82" s="29" t="str">
        <f t="shared" si="5"/>
        <v>Q3</v>
      </c>
    </row>
    <row r="83" ht="15.75" customHeight="1">
      <c r="A83" s="30">
        <v>44917.0</v>
      </c>
      <c r="B83" s="31">
        <v>4.106642665E9</v>
      </c>
      <c r="C83" s="32" t="s">
        <v>167</v>
      </c>
      <c r="D83" s="31">
        <v>2.8791421E7</v>
      </c>
      <c r="E83" s="30">
        <v>44917.0</v>
      </c>
      <c r="F83" s="33" t="s">
        <v>69</v>
      </c>
      <c r="G83" s="34">
        <v>2.0</v>
      </c>
      <c r="H83" s="33" t="s">
        <v>116</v>
      </c>
      <c r="I83" s="33" t="s">
        <v>88</v>
      </c>
      <c r="J83" s="33" t="s">
        <v>83</v>
      </c>
      <c r="K83" s="33" t="s">
        <v>90</v>
      </c>
      <c r="L83" s="33" t="str">
        <f t="shared" si="1"/>
        <v>FAMILIAR</v>
      </c>
      <c r="M83" s="33">
        <f t="shared" si="2"/>
        <v>12</v>
      </c>
      <c r="N83" s="33">
        <f t="shared" si="3"/>
        <v>2022</v>
      </c>
      <c r="O83" s="35" t="str">
        <f>VLOOKUP(K83,'CA y tablas'!$B$22:$C$28,2,FALSE)</f>
        <v>EUROPEO</v>
      </c>
      <c r="P83" s="28" t="str">
        <f t="shared" si="4"/>
        <v>S2</v>
      </c>
      <c r="Q83" s="29">
        <v>3.0</v>
      </c>
      <c r="R83" s="29" t="str">
        <f t="shared" si="5"/>
        <v>Q3</v>
      </c>
    </row>
    <row r="84" ht="15.75" customHeight="1">
      <c r="A84" s="22">
        <v>44887.0</v>
      </c>
      <c r="B84" s="23">
        <v>7.18107635E9</v>
      </c>
      <c r="C84" s="24" t="s">
        <v>168</v>
      </c>
      <c r="D84" s="23">
        <v>3.4880522E7</v>
      </c>
      <c r="E84" s="22">
        <v>44918.0</v>
      </c>
      <c r="F84" s="25" t="s">
        <v>69</v>
      </c>
      <c r="G84" s="26">
        <v>2.0</v>
      </c>
      <c r="H84" s="25" t="s">
        <v>116</v>
      </c>
      <c r="I84" s="25" t="s">
        <v>88</v>
      </c>
      <c r="J84" s="25" t="s">
        <v>83</v>
      </c>
      <c r="K84" s="25" t="s">
        <v>90</v>
      </c>
      <c r="L84" s="25" t="str">
        <f t="shared" si="1"/>
        <v>FAMILIAR</v>
      </c>
      <c r="M84" s="25">
        <f t="shared" si="2"/>
        <v>12</v>
      </c>
      <c r="N84" s="25">
        <f t="shared" si="3"/>
        <v>2022</v>
      </c>
      <c r="O84" s="27" t="str">
        <f>VLOOKUP(K84,'CA y tablas'!$B$22:$C$28,2,FALSE)</f>
        <v>EUROPEO</v>
      </c>
      <c r="P84" s="28" t="str">
        <f t="shared" si="4"/>
        <v>S2</v>
      </c>
      <c r="Q84" s="29">
        <v>3.0</v>
      </c>
      <c r="R84" s="29" t="str">
        <f t="shared" si="5"/>
        <v>Q3</v>
      </c>
    </row>
    <row r="85" ht="15.75" customHeight="1">
      <c r="A85" s="30">
        <v>44910.0</v>
      </c>
      <c r="B85" s="31">
        <v>4.347282892E9</v>
      </c>
      <c r="C85" s="32" t="s">
        <v>169</v>
      </c>
      <c r="D85" s="31">
        <v>4.1059741E7</v>
      </c>
      <c r="E85" s="30">
        <v>44921.0</v>
      </c>
      <c r="F85" s="33" t="s">
        <v>69</v>
      </c>
      <c r="G85" s="34">
        <v>1.0</v>
      </c>
      <c r="H85" s="33" t="s">
        <v>116</v>
      </c>
      <c r="I85" s="33" t="s">
        <v>88</v>
      </c>
      <c r="J85" s="33" t="s">
        <v>83</v>
      </c>
      <c r="K85" s="33" t="s">
        <v>73</v>
      </c>
      <c r="L85" s="33" t="str">
        <f t="shared" si="1"/>
        <v>INDIVIDUAL</v>
      </c>
      <c r="M85" s="33">
        <f t="shared" si="2"/>
        <v>12</v>
      </c>
      <c r="N85" s="33">
        <f t="shared" si="3"/>
        <v>2022</v>
      </c>
      <c r="O85" s="35" t="str">
        <f>VLOOKUP(K85,'CA y tablas'!$B$22:$C$28,2,FALSE)</f>
        <v>AMERICANO</v>
      </c>
      <c r="P85" s="28" t="str">
        <f t="shared" si="4"/>
        <v>S2</v>
      </c>
      <c r="Q85" s="29">
        <v>3.0</v>
      </c>
      <c r="R85" s="29" t="str">
        <f t="shared" si="5"/>
        <v>Q3</v>
      </c>
    </row>
    <row r="86" ht="15.75" customHeight="1">
      <c r="A86" s="22">
        <v>44917.0</v>
      </c>
      <c r="B86" s="23">
        <v>3.790526552E9</v>
      </c>
      <c r="C86" s="24" t="s">
        <v>170</v>
      </c>
      <c r="D86" s="23">
        <v>3.2412797E7</v>
      </c>
      <c r="E86" s="22">
        <v>44921.0</v>
      </c>
      <c r="F86" s="25" t="s">
        <v>69</v>
      </c>
      <c r="G86" s="26">
        <v>2.0</v>
      </c>
      <c r="H86" s="25" t="s">
        <v>116</v>
      </c>
      <c r="I86" s="25" t="s">
        <v>88</v>
      </c>
      <c r="J86" s="25" t="s">
        <v>83</v>
      </c>
      <c r="K86" s="25" t="s">
        <v>73</v>
      </c>
      <c r="L86" s="25" t="str">
        <f t="shared" si="1"/>
        <v>FAMILIAR</v>
      </c>
      <c r="M86" s="25">
        <f t="shared" si="2"/>
        <v>12</v>
      </c>
      <c r="N86" s="25">
        <f t="shared" si="3"/>
        <v>2022</v>
      </c>
      <c r="O86" s="27" t="str">
        <f>VLOOKUP(K86,'CA y tablas'!$B$22:$C$28,2,FALSE)</f>
        <v>AMERICANO</v>
      </c>
      <c r="P86" s="28" t="str">
        <f t="shared" si="4"/>
        <v>S2</v>
      </c>
      <c r="Q86" s="29">
        <v>3.0</v>
      </c>
      <c r="R86" s="29" t="str">
        <f t="shared" si="5"/>
        <v>Q3</v>
      </c>
    </row>
    <row r="87" ht="15.75" customHeight="1">
      <c r="A87" s="30">
        <v>44921.0</v>
      </c>
      <c r="B87" s="31">
        <v>7.447323995E9</v>
      </c>
      <c r="C87" s="32" t="s">
        <v>171</v>
      </c>
      <c r="D87" s="31">
        <v>1.4410801E7</v>
      </c>
      <c r="E87" s="30">
        <v>44921.0</v>
      </c>
      <c r="F87" s="33" t="s">
        <v>69</v>
      </c>
      <c r="G87" s="34">
        <v>1.0</v>
      </c>
      <c r="H87" s="33" t="s">
        <v>70</v>
      </c>
      <c r="I87" s="33" t="s">
        <v>88</v>
      </c>
      <c r="J87" s="33" t="s">
        <v>83</v>
      </c>
      <c r="K87" s="33" t="s">
        <v>73</v>
      </c>
      <c r="L87" s="33" t="str">
        <f t="shared" si="1"/>
        <v>INDIVIDUAL</v>
      </c>
      <c r="M87" s="33">
        <f t="shared" si="2"/>
        <v>12</v>
      </c>
      <c r="N87" s="33">
        <f t="shared" si="3"/>
        <v>2022</v>
      </c>
      <c r="O87" s="35" t="str">
        <f>VLOOKUP(K87,'CA y tablas'!$B$22:$C$28,2,FALSE)</f>
        <v>AMERICANO</v>
      </c>
      <c r="P87" s="28" t="str">
        <f t="shared" si="4"/>
        <v>S2</v>
      </c>
      <c r="Q87" s="29">
        <v>3.0</v>
      </c>
      <c r="R87" s="29" t="str">
        <f t="shared" si="5"/>
        <v>Q3</v>
      </c>
    </row>
    <row r="88" ht="15.75" customHeight="1">
      <c r="A88" s="22">
        <v>44922.0</v>
      </c>
      <c r="B88" s="23">
        <v>7.447338242E9</v>
      </c>
      <c r="C88" s="24" t="s">
        <v>172</v>
      </c>
      <c r="D88" s="23">
        <v>4.0699515E7</v>
      </c>
      <c r="E88" s="22">
        <v>44921.0</v>
      </c>
      <c r="F88" s="25" t="s">
        <v>69</v>
      </c>
      <c r="G88" s="26">
        <v>2.0</v>
      </c>
      <c r="H88" s="25" t="s">
        <v>70</v>
      </c>
      <c r="I88" s="25" t="s">
        <v>88</v>
      </c>
      <c r="J88" s="25" t="s">
        <v>83</v>
      </c>
      <c r="K88" s="25" t="s">
        <v>73</v>
      </c>
      <c r="L88" s="25" t="str">
        <f t="shared" si="1"/>
        <v>FAMILIAR</v>
      </c>
      <c r="M88" s="25">
        <f t="shared" si="2"/>
        <v>12</v>
      </c>
      <c r="N88" s="25">
        <f t="shared" si="3"/>
        <v>2022</v>
      </c>
      <c r="O88" s="27" t="str">
        <f>VLOOKUP(K88,'CA y tablas'!$B$22:$C$28,2,FALSE)</f>
        <v>AMERICANO</v>
      </c>
      <c r="P88" s="28" t="str">
        <f t="shared" si="4"/>
        <v>S2</v>
      </c>
      <c r="Q88" s="29">
        <v>3.0</v>
      </c>
      <c r="R88" s="29" t="str">
        <f t="shared" si="5"/>
        <v>Q3</v>
      </c>
    </row>
    <row r="89" ht="15.75" customHeight="1">
      <c r="A89" s="30">
        <v>44921.0</v>
      </c>
      <c r="B89" s="31">
        <v>6.924031844E9</v>
      </c>
      <c r="C89" s="32" t="s">
        <v>173</v>
      </c>
      <c r="D89" s="31">
        <v>4.300164E7</v>
      </c>
      <c r="E89" s="30">
        <v>44922.0</v>
      </c>
      <c r="F89" s="33" t="s">
        <v>69</v>
      </c>
      <c r="G89" s="34">
        <v>3.0</v>
      </c>
      <c r="H89" s="33" t="s">
        <v>70</v>
      </c>
      <c r="I89" s="33" t="s">
        <v>88</v>
      </c>
      <c r="J89" s="33" t="s">
        <v>98</v>
      </c>
      <c r="K89" s="33" t="s">
        <v>73</v>
      </c>
      <c r="L89" s="33" t="str">
        <f t="shared" si="1"/>
        <v>FAMILIAR</v>
      </c>
      <c r="M89" s="33">
        <f t="shared" si="2"/>
        <v>12</v>
      </c>
      <c r="N89" s="33">
        <f t="shared" si="3"/>
        <v>2022</v>
      </c>
      <c r="O89" s="35" t="str">
        <f>VLOOKUP(K89,'CA y tablas'!$B$22:$C$28,2,FALSE)</f>
        <v>AMERICANO</v>
      </c>
      <c r="P89" s="28" t="str">
        <f t="shared" si="4"/>
        <v>S2</v>
      </c>
      <c r="Q89" s="29">
        <v>3.0</v>
      </c>
      <c r="R89" s="29" t="str">
        <f t="shared" si="5"/>
        <v>Q3</v>
      </c>
    </row>
    <row r="90" ht="15.75" customHeight="1">
      <c r="A90" s="22">
        <v>44921.0</v>
      </c>
      <c r="B90" s="23">
        <v>1.773358473E9</v>
      </c>
      <c r="C90" s="24" t="s">
        <v>174</v>
      </c>
      <c r="D90" s="23">
        <v>3.1644698E7</v>
      </c>
      <c r="E90" s="22">
        <v>44922.0</v>
      </c>
      <c r="F90" s="25" t="s">
        <v>69</v>
      </c>
      <c r="G90" s="26">
        <v>2.0</v>
      </c>
      <c r="H90" s="25" t="s">
        <v>70</v>
      </c>
      <c r="I90" s="25" t="s">
        <v>77</v>
      </c>
      <c r="J90" s="25" t="s">
        <v>98</v>
      </c>
      <c r="K90" s="25" t="s">
        <v>73</v>
      </c>
      <c r="L90" s="25" t="str">
        <f t="shared" si="1"/>
        <v>FAMILIAR</v>
      </c>
      <c r="M90" s="25">
        <f t="shared" si="2"/>
        <v>12</v>
      </c>
      <c r="N90" s="25">
        <f t="shared" si="3"/>
        <v>2022</v>
      </c>
      <c r="O90" s="27" t="str">
        <f>VLOOKUP(K90,'CA y tablas'!$B$22:$C$28,2,FALSE)</f>
        <v>AMERICANO</v>
      </c>
      <c r="P90" s="28" t="str">
        <f t="shared" si="4"/>
        <v>S2</v>
      </c>
      <c r="Q90" s="29">
        <v>3.0</v>
      </c>
      <c r="R90" s="29" t="str">
        <f t="shared" si="5"/>
        <v>Q3</v>
      </c>
    </row>
    <row r="91" ht="15.75" customHeight="1">
      <c r="A91" s="30">
        <v>44922.0</v>
      </c>
      <c r="B91" s="31">
        <v>5.839758562E9</v>
      </c>
      <c r="C91" s="32" t="s">
        <v>175</v>
      </c>
      <c r="D91" s="31">
        <v>3.2277507E7</v>
      </c>
      <c r="E91" s="30">
        <v>44924.0</v>
      </c>
      <c r="F91" s="33" t="s">
        <v>76</v>
      </c>
      <c r="G91" s="34">
        <v>4.0</v>
      </c>
      <c r="H91" s="33" t="s">
        <v>70</v>
      </c>
      <c r="I91" s="33" t="s">
        <v>77</v>
      </c>
      <c r="J91" s="33" t="s">
        <v>98</v>
      </c>
      <c r="K91" s="33" t="s">
        <v>73</v>
      </c>
      <c r="L91" s="33" t="str">
        <f t="shared" si="1"/>
        <v>FAMILIAR</v>
      </c>
      <c r="M91" s="33">
        <f t="shared" si="2"/>
        <v>12</v>
      </c>
      <c r="N91" s="33">
        <f t="shared" si="3"/>
        <v>2022</v>
      </c>
      <c r="O91" s="35" t="str">
        <f>VLOOKUP(K91,'CA y tablas'!$B$22:$C$28,2,FALSE)</f>
        <v>AMERICANO</v>
      </c>
      <c r="P91" s="28" t="str">
        <f t="shared" si="4"/>
        <v>S2</v>
      </c>
      <c r="Q91" s="29">
        <v>3.0</v>
      </c>
      <c r="R91" s="29" t="str">
        <f t="shared" si="5"/>
        <v>Q3</v>
      </c>
    </row>
    <row r="92" ht="15.75" customHeight="1">
      <c r="A92" s="22">
        <v>44902.0</v>
      </c>
      <c r="B92" s="23">
        <v>4.742858794E9</v>
      </c>
      <c r="C92" s="24" t="s">
        <v>176</v>
      </c>
      <c r="D92" s="23">
        <v>3.4105944E7</v>
      </c>
      <c r="E92" s="22">
        <v>44925.0</v>
      </c>
      <c r="F92" s="25" t="s">
        <v>76</v>
      </c>
      <c r="G92" s="26">
        <v>4.0</v>
      </c>
      <c r="H92" s="25" t="s">
        <v>116</v>
      </c>
      <c r="I92" s="25" t="s">
        <v>77</v>
      </c>
      <c r="J92" s="25" t="s">
        <v>98</v>
      </c>
      <c r="K92" s="25" t="s">
        <v>73</v>
      </c>
      <c r="L92" s="25" t="str">
        <f t="shared" si="1"/>
        <v>FAMILIAR</v>
      </c>
      <c r="M92" s="25">
        <f t="shared" si="2"/>
        <v>12</v>
      </c>
      <c r="N92" s="25">
        <f t="shared" si="3"/>
        <v>2022</v>
      </c>
      <c r="O92" s="27" t="str">
        <f>VLOOKUP(K92,'CA y tablas'!$B$22:$C$28,2,FALSE)</f>
        <v>AMERICANO</v>
      </c>
      <c r="P92" s="28" t="str">
        <f t="shared" si="4"/>
        <v>S2</v>
      </c>
      <c r="Q92" s="29">
        <v>3.0</v>
      </c>
      <c r="R92" s="29" t="str">
        <f t="shared" si="5"/>
        <v>Q3</v>
      </c>
    </row>
    <row r="93" ht="15.75" customHeight="1">
      <c r="A93" s="30">
        <v>44902.0</v>
      </c>
      <c r="B93" s="31">
        <v>6.827937093E9</v>
      </c>
      <c r="C93" s="32" t="s">
        <v>177</v>
      </c>
      <c r="D93" s="31">
        <v>4.115805E7</v>
      </c>
      <c r="E93" s="30">
        <v>44925.0</v>
      </c>
      <c r="F93" s="33" t="s">
        <v>76</v>
      </c>
      <c r="G93" s="34">
        <v>4.0</v>
      </c>
      <c r="H93" s="33" t="s">
        <v>116</v>
      </c>
      <c r="I93" s="33" t="s">
        <v>77</v>
      </c>
      <c r="J93" s="33" t="s">
        <v>93</v>
      </c>
      <c r="K93" s="33" t="s">
        <v>99</v>
      </c>
      <c r="L93" s="33" t="str">
        <f t="shared" si="1"/>
        <v>FAMILIAR</v>
      </c>
      <c r="M93" s="33">
        <f t="shared" si="2"/>
        <v>12</v>
      </c>
      <c r="N93" s="33">
        <f t="shared" si="3"/>
        <v>2022</v>
      </c>
      <c r="O93" s="35" t="str">
        <f>VLOOKUP(K93,'CA y tablas'!$B$22:$C$28,2,FALSE)</f>
        <v>EUROPEO</v>
      </c>
      <c r="P93" s="28" t="str">
        <f t="shared" si="4"/>
        <v>S2</v>
      </c>
      <c r="Q93" s="29">
        <v>3.0</v>
      </c>
      <c r="R93" s="29" t="str">
        <f t="shared" si="5"/>
        <v>Q3</v>
      </c>
    </row>
    <row r="94" ht="15.75" customHeight="1">
      <c r="A94" s="22">
        <v>44921.0</v>
      </c>
      <c r="B94" s="23">
        <v>9.606388665E9</v>
      </c>
      <c r="C94" s="24" t="s">
        <v>178</v>
      </c>
      <c r="D94" s="23">
        <v>2.2995653E7</v>
      </c>
      <c r="E94" s="22">
        <v>44925.0</v>
      </c>
      <c r="F94" s="25" t="s">
        <v>69</v>
      </c>
      <c r="G94" s="26">
        <v>1.0</v>
      </c>
      <c r="H94" s="25" t="s">
        <v>116</v>
      </c>
      <c r="I94" s="25" t="s">
        <v>77</v>
      </c>
      <c r="J94" s="25" t="s">
        <v>93</v>
      </c>
      <c r="K94" s="25" t="s">
        <v>99</v>
      </c>
      <c r="L94" s="25" t="str">
        <f t="shared" si="1"/>
        <v>INDIVIDUAL</v>
      </c>
      <c r="M94" s="25">
        <f t="shared" si="2"/>
        <v>12</v>
      </c>
      <c r="N94" s="25">
        <f t="shared" si="3"/>
        <v>2022</v>
      </c>
      <c r="O94" s="27" t="str">
        <f>VLOOKUP(K94,'CA y tablas'!$B$22:$C$28,2,FALSE)</f>
        <v>EUROPEO</v>
      </c>
      <c r="P94" s="28" t="str">
        <f t="shared" si="4"/>
        <v>S2</v>
      </c>
      <c r="Q94" s="29">
        <v>3.0</v>
      </c>
      <c r="R94" s="29" t="str">
        <f t="shared" si="5"/>
        <v>Q3</v>
      </c>
    </row>
    <row r="95" ht="15.75" customHeight="1">
      <c r="A95" s="30">
        <v>44924.0</v>
      </c>
      <c r="B95" s="31">
        <v>8.257968633E9</v>
      </c>
      <c r="C95" s="32" t="s">
        <v>179</v>
      </c>
      <c r="D95" s="31">
        <v>3.9478534E7</v>
      </c>
      <c r="E95" s="30">
        <v>44925.0</v>
      </c>
      <c r="F95" s="33" t="s">
        <v>69</v>
      </c>
      <c r="G95" s="34">
        <v>1.0</v>
      </c>
      <c r="H95" s="33" t="s">
        <v>116</v>
      </c>
      <c r="I95" s="33" t="s">
        <v>77</v>
      </c>
      <c r="J95" s="33" t="s">
        <v>93</v>
      </c>
      <c r="K95" s="33" t="s">
        <v>99</v>
      </c>
      <c r="L95" s="33" t="str">
        <f t="shared" si="1"/>
        <v>INDIVIDUAL</v>
      </c>
      <c r="M95" s="33">
        <f t="shared" si="2"/>
        <v>12</v>
      </c>
      <c r="N95" s="33">
        <f t="shared" si="3"/>
        <v>2022</v>
      </c>
      <c r="O95" s="35" t="str">
        <f>VLOOKUP(K95,'CA y tablas'!$B$22:$C$28,2,FALSE)</f>
        <v>EUROPEO</v>
      </c>
      <c r="P95" s="28" t="str">
        <f t="shared" si="4"/>
        <v>S2</v>
      </c>
      <c r="Q95" s="29">
        <v>3.0</v>
      </c>
      <c r="R95" s="29" t="str">
        <f t="shared" si="5"/>
        <v>Q3</v>
      </c>
    </row>
    <row r="96" ht="15.75" customHeight="1">
      <c r="A96" s="22">
        <v>44924.0</v>
      </c>
      <c r="B96" s="23">
        <v>7.462228745E9</v>
      </c>
      <c r="C96" s="24" t="s">
        <v>166</v>
      </c>
      <c r="D96" s="23">
        <v>2.6057426E7</v>
      </c>
      <c r="E96" s="22">
        <v>44925.0</v>
      </c>
      <c r="F96" s="25" t="s">
        <v>69</v>
      </c>
      <c r="G96" s="26">
        <v>1.0</v>
      </c>
      <c r="H96" s="25" t="s">
        <v>116</v>
      </c>
      <c r="I96" s="25" t="s">
        <v>77</v>
      </c>
      <c r="J96" s="25" t="s">
        <v>93</v>
      </c>
      <c r="K96" s="25" t="s">
        <v>99</v>
      </c>
      <c r="L96" s="25" t="str">
        <f t="shared" si="1"/>
        <v>INDIVIDUAL</v>
      </c>
      <c r="M96" s="25">
        <f t="shared" si="2"/>
        <v>12</v>
      </c>
      <c r="N96" s="25">
        <f t="shared" si="3"/>
        <v>2022</v>
      </c>
      <c r="O96" s="27" t="str">
        <f>VLOOKUP(K96,'CA y tablas'!$B$22:$C$28,2,FALSE)</f>
        <v>EUROPEO</v>
      </c>
      <c r="P96" s="28" t="str">
        <f t="shared" si="4"/>
        <v>S2</v>
      </c>
      <c r="Q96" s="29">
        <v>3.0</v>
      </c>
      <c r="R96" s="29" t="str">
        <f t="shared" si="5"/>
        <v>Q3</v>
      </c>
    </row>
    <row r="97" ht="15.75" customHeight="1">
      <c r="A97" s="30">
        <v>44925.0</v>
      </c>
      <c r="B97" s="31">
        <v>5.106948361E9</v>
      </c>
      <c r="C97" s="32" t="s">
        <v>180</v>
      </c>
      <c r="D97" s="31">
        <v>4.0356496E7</v>
      </c>
      <c r="E97" s="30">
        <v>44925.0</v>
      </c>
      <c r="F97" s="33" t="s">
        <v>76</v>
      </c>
      <c r="G97" s="34">
        <v>1.0</v>
      </c>
      <c r="H97" s="33" t="s">
        <v>70</v>
      </c>
      <c r="I97" s="33" t="s">
        <v>77</v>
      </c>
      <c r="J97" s="33" t="s">
        <v>93</v>
      </c>
      <c r="K97" s="33" t="s">
        <v>99</v>
      </c>
      <c r="L97" s="33" t="str">
        <f t="shared" si="1"/>
        <v>INDIVIDUAL</v>
      </c>
      <c r="M97" s="33">
        <f t="shared" si="2"/>
        <v>12</v>
      </c>
      <c r="N97" s="33">
        <f t="shared" si="3"/>
        <v>2022</v>
      </c>
      <c r="O97" s="35" t="str">
        <f>VLOOKUP(K97,'CA y tablas'!$B$22:$C$28,2,FALSE)</f>
        <v>EUROPEO</v>
      </c>
      <c r="P97" s="28" t="str">
        <f t="shared" si="4"/>
        <v>S1</v>
      </c>
      <c r="Q97" s="29">
        <v>3.0</v>
      </c>
      <c r="R97" s="29" t="str">
        <f t="shared" si="5"/>
        <v>Q1</v>
      </c>
    </row>
    <row r="98" ht="15.75" customHeight="1">
      <c r="A98" s="22">
        <v>44914.0</v>
      </c>
      <c r="B98" s="23">
        <v>6.370068003E9</v>
      </c>
      <c r="C98" s="24" t="s">
        <v>181</v>
      </c>
      <c r="D98" s="23">
        <v>2.9430282E7</v>
      </c>
      <c r="E98" s="22">
        <v>44928.0</v>
      </c>
      <c r="F98" s="25" t="s">
        <v>69</v>
      </c>
      <c r="G98" s="26">
        <v>1.0</v>
      </c>
      <c r="H98" s="25" t="s">
        <v>70</v>
      </c>
      <c r="I98" s="25" t="s">
        <v>77</v>
      </c>
      <c r="J98" s="25" t="s">
        <v>93</v>
      </c>
      <c r="K98" s="25" t="s">
        <v>99</v>
      </c>
      <c r="L98" s="25" t="str">
        <f t="shared" si="1"/>
        <v>INDIVIDUAL</v>
      </c>
      <c r="M98" s="25">
        <f t="shared" si="2"/>
        <v>1</v>
      </c>
      <c r="N98" s="25">
        <f t="shared" si="3"/>
        <v>2023</v>
      </c>
      <c r="O98" s="27" t="str">
        <f>VLOOKUP(K98,'CA y tablas'!$B$22:$C$28,2,FALSE)</f>
        <v>EUROPEO</v>
      </c>
      <c r="P98" s="28" t="str">
        <f t="shared" si="4"/>
        <v>S1</v>
      </c>
      <c r="Q98" s="29">
        <v>1.0</v>
      </c>
      <c r="R98" s="29" t="str">
        <f t="shared" si="5"/>
        <v>Q1</v>
      </c>
    </row>
    <row r="99" ht="15.75" customHeight="1">
      <c r="A99" s="30">
        <v>44925.0</v>
      </c>
      <c r="B99" s="31">
        <v>1.419231936E9</v>
      </c>
      <c r="C99" s="32" t="s">
        <v>182</v>
      </c>
      <c r="D99" s="31">
        <v>1.0017156E7</v>
      </c>
      <c r="E99" s="30">
        <v>44928.0</v>
      </c>
      <c r="F99" s="33" t="s">
        <v>69</v>
      </c>
      <c r="G99" s="34">
        <v>1.0</v>
      </c>
      <c r="H99" s="33" t="s">
        <v>70</v>
      </c>
      <c r="I99" s="33" t="s">
        <v>71</v>
      </c>
      <c r="J99" s="33" t="s">
        <v>93</v>
      </c>
      <c r="K99" s="33" t="s">
        <v>73</v>
      </c>
      <c r="L99" s="33" t="str">
        <f t="shared" si="1"/>
        <v>INDIVIDUAL</v>
      </c>
      <c r="M99" s="33">
        <f t="shared" si="2"/>
        <v>1</v>
      </c>
      <c r="N99" s="33">
        <f t="shared" si="3"/>
        <v>2023</v>
      </c>
      <c r="O99" s="35" t="str">
        <f>VLOOKUP(K99,'CA y tablas'!$B$22:$C$28,2,FALSE)</f>
        <v>AMERICANO</v>
      </c>
      <c r="P99" s="28" t="str">
        <f t="shared" si="4"/>
        <v>S1</v>
      </c>
      <c r="Q99" s="29">
        <v>1.0</v>
      </c>
      <c r="R99" s="29" t="str">
        <f t="shared" si="5"/>
        <v>Q1</v>
      </c>
    </row>
    <row r="100" ht="15.75" customHeight="1">
      <c r="A100" s="22">
        <v>44925.0</v>
      </c>
      <c r="B100" s="23">
        <v>5.251045321E9</v>
      </c>
      <c r="C100" s="24" t="s">
        <v>183</v>
      </c>
      <c r="D100" s="23">
        <v>2.0692417E7</v>
      </c>
      <c r="E100" s="22">
        <v>44928.0</v>
      </c>
      <c r="F100" s="25" t="s">
        <v>69</v>
      </c>
      <c r="G100" s="26">
        <v>1.0</v>
      </c>
      <c r="H100" s="25" t="s">
        <v>70</v>
      </c>
      <c r="I100" s="25" t="s">
        <v>71</v>
      </c>
      <c r="J100" s="25" t="s">
        <v>93</v>
      </c>
      <c r="K100" s="25" t="s">
        <v>73</v>
      </c>
      <c r="L100" s="25" t="str">
        <f t="shared" si="1"/>
        <v>INDIVIDUAL</v>
      </c>
      <c r="M100" s="25">
        <f t="shared" si="2"/>
        <v>1</v>
      </c>
      <c r="N100" s="25">
        <f t="shared" si="3"/>
        <v>2023</v>
      </c>
      <c r="O100" s="27" t="str">
        <f>VLOOKUP(K100,'CA y tablas'!$B$22:$C$28,2,FALSE)</f>
        <v>AMERICANO</v>
      </c>
      <c r="P100" s="28" t="str">
        <f t="shared" si="4"/>
        <v>S1</v>
      </c>
      <c r="Q100" s="29">
        <v>1.0</v>
      </c>
      <c r="R100" s="29" t="str">
        <f t="shared" si="5"/>
        <v>Q1</v>
      </c>
    </row>
    <row r="101" ht="15.75" customHeight="1">
      <c r="A101" s="30">
        <v>44917.0</v>
      </c>
      <c r="B101" s="31">
        <v>1.592620315E9</v>
      </c>
      <c r="C101" s="32" t="s">
        <v>181</v>
      </c>
      <c r="D101" s="31">
        <v>2.9430282E7</v>
      </c>
      <c r="E101" s="30">
        <v>44929.0</v>
      </c>
      <c r="F101" s="33" t="s">
        <v>69</v>
      </c>
      <c r="G101" s="34">
        <v>1.0</v>
      </c>
      <c r="H101" s="33" t="s">
        <v>70</v>
      </c>
      <c r="I101" s="33" t="s">
        <v>71</v>
      </c>
      <c r="J101" s="33" t="s">
        <v>93</v>
      </c>
      <c r="K101" s="33" t="s">
        <v>73</v>
      </c>
      <c r="L101" s="33" t="str">
        <f t="shared" si="1"/>
        <v>INDIVIDUAL</v>
      </c>
      <c r="M101" s="33">
        <f t="shared" si="2"/>
        <v>1</v>
      </c>
      <c r="N101" s="33">
        <f t="shared" si="3"/>
        <v>2023</v>
      </c>
      <c r="O101" s="35" t="str">
        <f>VLOOKUP(K101,'CA y tablas'!$B$22:$C$28,2,FALSE)</f>
        <v>AMERICANO</v>
      </c>
      <c r="P101" s="28" t="str">
        <f t="shared" si="4"/>
        <v>S1</v>
      </c>
      <c r="Q101" s="29">
        <v>1.0</v>
      </c>
      <c r="R101" s="29" t="str">
        <f t="shared" si="5"/>
        <v>Q1</v>
      </c>
    </row>
    <row r="102" ht="15.75" customHeight="1">
      <c r="A102" s="22">
        <v>44921.0</v>
      </c>
      <c r="B102" s="23">
        <v>5.442689626E9</v>
      </c>
      <c r="C102" s="24" t="s">
        <v>184</v>
      </c>
      <c r="D102" s="23">
        <v>6636918.0</v>
      </c>
      <c r="E102" s="22">
        <v>44930.0</v>
      </c>
      <c r="F102" s="25" t="s">
        <v>69</v>
      </c>
      <c r="G102" s="26">
        <v>1.0</v>
      </c>
      <c r="H102" s="25" t="s">
        <v>70</v>
      </c>
      <c r="I102" s="25" t="s">
        <v>71</v>
      </c>
      <c r="J102" s="25" t="s">
        <v>72</v>
      </c>
      <c r="K102" s="25" t="s">
        <v>73</v>
      </c>
      <c r="L102" s="25" t="str">
        <f t="shared" si="1"/>
        <v>INDIVIDUAL</v>
      </c>
      <c r="M102" s="25">
        <f t="shared" si="2"/>
        <v>1</v>
      </c>
      <c r="N102" s="25">
        <f t="shared" si="3"/>
        <v>2023</v>
      </c>
      <c r="O102" s="27" t="str">
        <f>VLOOKUP(K102,'CA y tablas'!$B$22:$C$28,2,FALSE)</f>
        <v>AMERICANO</v>
      </c>
      <c r="P102" s="28" t="str">
        <f t="shared" si="4"/>
        <v>S1</v>
      </c>
      <c r="Q102" s="29">
        <v>1.0</v>
      </c>
      <c r="R102" s="29" t="str">
        <f t="shared" si="5"/>
        <v>Q1</v>
      </c>
    </row>
    <row r="103" ht="15.75" customHeight="1">
      <c r="A103" s="30">
        <v>44921.0</v>
      </c>
      <c r="B103" s="31">
        <v>9.606409245E9</v>
      </c>
      <c r="C103" s="32" t="s">
        <v>185</v>
      </c>
      <c r="D103" s="31">
        <v>3916583.0</v>
      </c>
      <c r="E103" s="30">
        <v>44930.0</v>
      </c>
      <c r="F103" s="33" t="s">
        <v>69</v>
      </c>
      <c r="G103" s="34">
        <v>2.0</v>
      </c>
      <c r="H103" s="33" t="s">
        <v>92</v>
      </c>
      <c r="I103" s="33" t="s">
        <v>71</v>
      </c>
      <c r="J103" s="33" t="s">
        <v>72</v>
      </c>
      <c r="K103" s="33" t="s">
        <v>73</v>
      </c>
      <c r="L103" s="33" t="str">
        <f t="shared" si="1"/>
        <v>FAMILIAR</v>
      </c>
      <c r="M103" s="33">
        <f t="shared" si="2"/>
        <v>1</v>
      </c>
      <c r="N103" s="33">
        <f t="shared" si="3"/>
        <v>2023</v>
      </c>
      <c r="O103" s="35" t="str">
        <f>VLOOKUP(K103,'CA y tablas'!$B$22:$C$28,2,FALSE)</f>
        <v>AMERICANO</v>
      </c>
      <c r="P103" s="28" t="str">
        <f t="shared" si="4"/>
        <v>S1</v>
      </c>
      <c r="Q103" s="29">
        <v>1.0</v>
      </c>
      <c r="R103" s="29" t="str">
        <f t="shared" si="5"/>
        <v>Q1</v>
      </c>
    </row>
    <row r="104" ht="15.75" customHeight="1">
      <c r="A104" s="22">
        <v>44922.0</v>
      </c>
      <c r="B104" s="23">
        <v>4.328899396E9</v>
      </c>
      <c r="C104" s="24" t="s">
        <v>186</v>
      </c>
      <c r="D104" s="23">
        <v>5142007.0</v>
      </c>
      <c r="E104" s="22">
        <v>44930.0</v>
      </c>
      <c r="F104" s="25" t="s">
        <v>76</v>
      </c>
      <c r="G104" s="26">
        <v>2.0</v>
      </c>
      <c r="H104" s="25" t="s">
        <v>92</v>
      </c>
      <c r="I104" s="25" t="s">
        <v>71</v>
      </c>
      <c r="J104" s="25" t="s">
        <v>72</v>
      </c>
      <c r="K104" s="25" t="s">
        <v>73</v>
      </c>
      <c r="L104" s="25" t="str">
        <f t="shared" si="1"/>
        <v>FAMILIAR</v>
      </c>
      <c r="M104" s="25">
        <f t="shared" si="2"/>
        <v>1</v>
      </c>
      <c r="N104" s="25">
        <f t="shared" si="3"/>
        <v>2023</v>
      </c>
      <c r="O104" s="27" t="str">
        <f>VLOOKUP(K104,'CA y tablas'!$B$22:$C$28,2,FALSE)</f>
        <v>AMERICANO</v>
      </c>
      <c r="P104" s="28" t="str">
        <f t="shared" si="4"/>
        <v>S1</v>
      </c>
      <c r="Q104" s="29">
        <v>1.0</v>
      </c>
      <c r="R104" s="29" t="str">
        <f t="shared" si="5"/>
        <v>Q1</v>
      </c>
    </row>
    <row r="105" ht="15.75" customHeight="1">
      <c r="A105" s="30">
        <v>44922.0</v>
      </c>
      <c r="B105" s="31">
        <v>5.251041084E9</v>
      </c>
      <c r="C105" s="32" t="s">
        <v>187</v>
      </c>
      <c r="D105" s="31">
        <v>5142082.0</v>
      </c>
      <c r="E105" s="30">
        <v>44930.0</v>
      </c>
      <c r="F105" s="33" t="s">
        <v>76</v>
      </c>
      <c r="G105" s="34">
        <v>2.0</v>
      </c>
      <c r="H105" s="33" t="s">
        <v>92</v>
      </c>
      <c r="I105" s="33" t="s">
        <v>71</v>
      </c>
      <c r="J105" s="33" t="s">
        <v>72</v>
      </c>
      <c r="K105" s="33" t="s">
        <v>73</v>
      </c>
      <c r="L105" s="33" t="str">
        <f t="shared" si="1"/>
        <v>FAMILIAR</v>
      </c>
      <c r="M105" s="33">
        <f t="shared" si="2"/>
        <v>1</v>
      </c>
      <c r="N105" s="33">
        <f t="shared" si="3"/>
        <v>2023</v>
      </c>
      <c r="O105" s="35" t="str">
        <f>VLOOKUP(K105,'CA y tablas'!$B$22:$C$28,2,FALSE)</f>
        <v>AMERICANO</v>
      </c>
      <c r="P105" s="28" t="str">
        <f t="shared" si="4"/>
        <v>S1</v>
      </c>
      <c r="Q105" s="29">
        <v>1.0</v>
      </c>
      <c r="R105" s="29" t="str">
        <f t="shared" si="5"/>
        <v>Q1</v>
      </c>
    </row>
    <row r="106" ht="15.75" customHeight="1">
      <c r="A106" s="22">
        <v>44921.0</v>
      </c>
      <c r="B106" s="23">
        <v>6.500386712E9</v>
      </c>
      <c r="C106" s="24" t="s">
        <v>188</v>
      </c>
      <c r="D106" s="23">
        <v>4.5184382E7</v>
      </c>
      <c r="E106" s="22">
        <v>44932.0</v>
      </c>
      <c r="F106" s="25" t="s">
        <v>69</v>
      </c>
      <c r="G106" s="26">
        <v>3.0</v>
      </c>
      <c r="H106" s="25" t="s">
        <v>92</v>
      </c>
      <c r="I106" s="25" t="s">
        <v>71</v>
      </c>
      <c r="J106" s="25" t="s">
        <v>72</v>
      </c>
      <c r="K106" s="25" t="s">
        <v>73</v>
      </c>
      <c r="L106" s="25" t="str">
        <f t="shared" si="1"/>
        <v>FAMILIAR</v>
      </c>
      <c r="M106" s="25">
        <f t="shared" si="2"/>
        <v>1</v>
      </c>
      <c r="N106" s="25">
        <f t="shared" si="3"/>
        <v>2023</v>
      </c>
      <c r="O106" s="27" t="str">
        <f>VLOOKUP(K106,'CA y tablas'!$B$22:$C$28,2,FALSE)</f>
        <v>AMERICANO</v>
      </c>
      <c r="P106" s="28" t="str">
        <f t="shared" si="4"/>
        <v>S1</v>
      </c>
      <c r="Q106" s="29">
        <v>1.0</v>
      </c>
      <c r="R106" s="29" t="str">
        <f t="shared" si="5"/>
        <v>Q1</v>
      </c>
    </row>
    <row r="107" ht="15.75" customHeight="1">
      <c r="A107" s="30">
        <v>44922.0</v>
      </c>
      <c r="B107" s="31">
        <v>3.435910155E9</v>
      </c>
      <c r="C107" s="32" t="s">
        <v>189</v>
      </c>
      <c r="D107" s="31">
        <v>2.3079907E7</v>
      </c>
      <c r="E107" s="30">
        <v>44932.0</v>
      </c>
      <c r="F107" s="33" t="s">
        <v>69</v>
      </c>
      <c r="G107" s="34">
        <v>2.0</v>
      </c>
      <c r="H107" s="33" t="s">
        <v>92</v>
      </c>
      <c r="I107" s="33" t="s">
        <v>71</v>
      </c>
      <c r="J107" s="33" t="s">
        <v>72</v>
      </c>
      <c r="K107" s="33" t="s">
        <v>73</v>
      </c>
      <c r="L107" s="33" t="str">
        <f t="shared" si="1"/>
        <v>FAMILIAR</v>
      </c>
      <c r="M107" s="33">
        <f t="shared" si="2"/>
        <v>1</v>
      </c>
      <c r="N107" s="33">
        <f t="shared" si="3"/>
        <v>2023</v>
      </c>
      <c r="O107" s="35" t="str">
        <f>VLOOKUP(K107,'CA y tablas'!$B$22:$C$28,2,FALSE)</f>
        <v>AMERICANO</v>
      </c>
      <c r="P107" s="28" t="str">
        <f t="shared" si="4"/>
        <v>S1</v>
      </c>
      <c r="Q107" s="29">
        <v>1.0</v>
      </c>
      <c r="R107" s="29" t="str">
        <f t="shared" si="5"/>
        <v>Q1</v>
      </c>
    </row>
    <row r="108" ht="15.75" customHeight="1">
      <c r="A108" s="22">
        <v>44939.0</v>
      </c>
      <c r="B108" s="23">
        <v>5.487296636E9</v>
      </c>
      <c r="C108" s="24" t="s">
        <v>190</v>
      </c>
      <c r="D108" s="23">
        <v>3.9205077E7</v>
      </c>
      <c r="E108" s="22">
        <v>44942.0</v>
      </c>
      <c r="F108" s="25" t="s">
        <v>69</v>
      </c>
      <c r="G108" s="26">
        <v>1.0</v>
      </c>
      <c r="H108" s="25" t="s">
        <v>92</v>
      </c>
      <c r="I108" s="25" t="s">
        <v>71</v>
      </c>
      <c r="J108" s="25" t="s">
        <v>72</v>
      </c>
      <c r="K108" s="25" t="s">
        <v>84</v>
      </c>
      <c r="L108" s="25" t="str">
        <f t="shared" si="1"/>
        <v>INDIVIDUAL</v>
      </c>
      <c r="M108" s="25">
        <f t="shared" si="2"/>
        <v>1</v>
      </c>
      <c r="N108" s="25">
        <f t="shared" si="3"/>
        <v>2023</v>
      </c>
      <c r="O108" s="27" t="str">
        <f>VLOOKUP(K108,'CA y tablas'!$B$22:$C$28,2,FALSE)</f>
        <v>EUROPEO</v>
      </c>
      <c r="P108" s="28" t="str">
        <f t="shared" si="4"/>
        <v>S1</v>
      </c>
      <c r="Q108" s="29">
        <v>1.0</v>
      </c>
      <c r="R108" s="29" t="str">
        <f t="shared" si="5"/>
        <v>Q1</v>
      </c>
    </row>
    <row r="109" ht="15.75" customHeight="1">
      <c r="A109" s="30">
        <v>44924.0</v>
      </c>
      <c r="B109" s="31">
        <v>5.10676166E9</v>
      </c>
      <c r="C109" s="32" t="s">
        <v>191</v>
      </c>
      <c r="D109" s="31">
        <v>2.0692257E7</v>
      </c>
      <c r="E109" s="30">
        <v>44945.0</v>
      </c>
      <c r="F109" s="33" t="s">
        <v>69</v>
      </c>
      <c r="G109" s="34">
        <v>1.0</v>
      </c>
      <c r="H109" s="33" t="s">
        <v>92</v>
      </c>
      <c r="I109" s="33" t="s">
        <v>71</v>
      </c>
      <c r="J109" s="33" t="s">
        <v>72</v>
      </c>
      <c r="K109" s="33" t="s">
        <v>84</v>
      </c>
      <c r="L109" s="33" t="str">
        <f t="shared" si="1"/>
        <v>INDIVIDUAL</v>
      </c>
      <c r="M109" s="33">
        <f t="shared" si="2"/>
        <v>1</v>
      </c>
      <c r="N109" s="33">
        <f t="shared" si="3"/>
        <v>2023</v>
      </c>
      <c r="O109" s="35" t="str">
        <f>VLOOKUP(K109,'CA y tablas'!$B$22:$C$28,2,FALSE)</f>
        <v>EUROPEO</v>
      </c>
      <c r="P109" s="28" t="str">
        <f t="shared" si="4"/>
        <v>S1</v>
      </c>
      <c r="Q109" s="29">
        <v>1.0</v>
      </c>
      <c r="R109" s="29" t="str">
        <f t="shared" si="5"/>
        <v>Q1</v>
      </c>
    </row>
    <row r="110" ht="15.75" customHeight="1">
      <c r="A110" s="22">
        <v>44945.0</v>
      </c>
      <c r="B110" s="23">
        <v>4.125553751E9</v>
      </c>
      <c r="C110" s="24" t="s">
        <v>192</v>
      </c>
      <c r="D110" s="23">
        <v>3.5809036E7</v>
      </c>
      <c r="E110" s="22">
        <v>44946.0</v>
      </c>
      <c r="F110" s="25" t="s">
        <v>69</v>
      </c>
      <c r="G110" s="26">
        <v>1.0</v>
      </c>
      <c r="H110" s="25" t="s">
        <v>81</v>
      </c>
      <c r="I110" s="25" t="s">
        <v>71</v>
      </c>
      <c r="J110" s="25" t="s">
        <v>72</v>
      </c>
      <c r="K110" s="25" t="s">
        <v>84</v>
      </c>
      <c r="L110" s="25" t="str">
        <f t="shared" si="1"/>
        <v>INDIVIDUAL</v>
      </c>
      <c r="M110" s="25">
        <f t="shared" si="2"/>
        <v>1</v>
      </c>
      <c r="N110" s="25">
        <f t="shared" si="3"/>
        <v>2023</v>
      </c>
      <c r="O110" s="27" t="str">
        <f>VLOOKUP(K110,'CA y tablas'!$B$22:$C$28,2,FALSE)</f>
        <v>EUROPEO</v>
      </c>
      <c r="P110" s="28" t="str">
        <f t="shared" si="4"/>
        <v>S1</v>
      </c>
      <c r="Q110" s="29">
        <v>1.0</v>
      </c>
      <c r="R110" s="29" t="str">
        <f t="shared" si="5"/>
        <v>Q1</v>
      </c>
    </row>
    <row r="111" ht="15.75" customHeight="1">
      <c r="A111" s="30">
        <v>44943.0</v>
      </c>
      <c r="B111" s="31">
        <v>1.29901009E9</v>
      </c>
      <c r="C111" s="32" t="s">
        <v>193</v>
      </c>
      <c r="D111" s="31">
        <v>3.8744872E7</v>
      </c>
      <c r="E111" s="30">
        <v>44949.0</v>
      </c>
      <c r="F111" s="33" t="s">
        <v>76</v>
      </c>
      <c r="G111" s="34">
        <v>2.0</v>
      </c>
      <c r="H111" s="33" t="s">
        <v>81</v>
      </c>
      <c r="I111" s="33" t="s">
        <v>71</v>
      </c>
      <c r="J111" s="33" t="s">
        <v>72</v>
      </c>
      <c r="K111" s="33" t="s">
        <v>84</v>
      </c>
      <c r="L111" s="33" t="str">
        <f t="shared" si="1"/>
        <v>FAMILIAR</v>
      </c>
      <c r="M111" s="33">
        <f t="shared" si="2"/>
        <v>1</v>
      </c>
      <c r="N111" s="33">
        <f t="shared" si="3"/>
        <v>2023</v>
      </c>
      <c r="O111" s="35" t="str">
        <f>VLOOKUP(K111,'CA y tablas'!$B$22:$C$28,2,FALSE)</f>
        <v>EUROPEO</v>
      </c>
      <c r="P111" s="28" t="str">
        <f t="shared" si="4"/>
        <v>S1</v>
      </c>
      <c r="Q111" s="29">
        <v>1.0</v>
      </c>
      <c r="R111" s="29" t="str">
        <f t="shared" si="5"/>
        <v>Q1</v>
      </c>
    </row>
    <row r="112" ht="15.75" customHeight="1">
      <c r="A112" s="22">
        <v>44943.0</v>
      </c>
      <c r="B112" s="23">
        <v>5.09083953E9</v>
      </c>
      <c r="C112" s="24" t="s">
        <v>194</v>
      </c>
      <c r="D112" s="23">
        <v>4.4028802E7</v>
      </c>
      <c r="E112" s="22">
        <v>44949.0</v>
      </c>
      <c r="F112" s="25" t="s">
        <v>69</v>
      </c>
      <c r="G112" s="26">
        <v>2.0</v>
      </c>
      <c r="H112" s="25" t="s">
        <v>81</v>
      </c>
      <c r="I112" s="25" t="s">
        <v>71</v>
      </c>
      <c r="J112" s="25" t="s">
        <v>72</v>
      </c>
      <c r="K112" s="25" t="s">
        <v>84</v>
      </c>
      <c r="L112" s="25" t="str">
        <f t="shared" si="1"/>
        <v>FAMILIAR</v>
      </c>
      <c r="M112" s="25">
        <f t="shared" si="2"/>
        <v>1</v>
      </c>
      <c r="N112" s="25">
        <f t="shared" si="3"/>
        <v>2023</v>
      </c>
      <c r="O112" s="27" t="str">
        <f>VLOOKUP(K112,'CA y tablas'!$B$22:$C$28,2,FALSE)</f>
        <v>EUROPEO</v>
      </c>
      <c r="P112" s="28" t="str">
        <f t="shared" si="4"/>
        <v>S1</v>
      </c>
      <c r="Q112" s="29">
        <v>1.0</v>
      </c>
      <c r="R112" s="29" t="str">
        <f t="shared" si="5"/>
        <v>Q1</v>
      </c>
    </row>
    <row r="113" ht="15.75" customHeight="1">
      <c r="A113" s="30">
        <v>44945.0</v>
      </c>
      <c r="B113" s="31">
        <v>2.218419965E9</v>
      </c>
      <c r="C113" s="32" t="s">
        <v>195</v>
      </c>
      <c r="D113" s="31">
        <v>3.0759788E7</v>
      </c>
      <c r="E113" s="30">
        <v>44949.0</v>
      </c>
      <c r="F113" s="33" t="s">
        <v>69</v>
      </c>
      <c r="G113" s="34">
        <v>2.0</v>
      </c>
      <c r="H113" s="33" t="s">
        <v>106</v>
      </c>
      <c r="I113" s="33" t="s">
        <v>71</v>
      </c>
      <c r="J113" s="33" t="s">
        <v>98</v>
      </c>
      <c r="K113" s="33" t="s">
        <v>84</v>
      </c>
      <c r="L113" s="33" t="str">
        <f t="shared" si="1"/>
        <v>FAMILIAR</v>
      </c>
      <c r="M113" s="33">
        <f t="shared" si="2"/>
        <v>1</v>
      </c>
      <c r="N113" s="33">
        <f t="shared" si="3"/>
        <v>2023</v>
      </c>
      <c r="O113" s="35" t="str">
        <f>VLOOKUP(K113,'CA y tablas'!$B$22:$C$28,2,FALSE)</f>
        <v>EUROPEO</v>
      </c>
      <c r="P113" s="28" t="str">
        <f t="shared" si="4"/>
        <v>S1</v>
      </c>
      <c r="Q113" s="29">
        <v>1.0</v>
      </c>
      <c r="R113" s="29" t="str">
        <f t="shared" si="5"/>
        <v>Q1</v>
      </c>
    </row>
    <row r="114" ht="15.75" customHeight="1">
      <c r="A114" s="22">
        <v>44943.0</v>
      </c>
      <c r="B114" s="23">
        <v>4.984782025E9</v>
      </c>
      <c r="C114" s="24" t="s">
        <v>196</v>
      </c>
      <c r="D114" s="23">
        <v>6479904.0</v>
      </c>
      <c r="E114" s="22">
        <v>44950.0</v>
      </c>
      <c r="F114" s="25" t="s">
        <v>76</v>
      </c>
      <c r="G114" s="26">
        <v>2.0</v>
      </c>
      <c r="H114" s="25" t="s">
        <v>106</v>
      </c>
      <c r="I114" s="25" t="s">
        <v>71</v>
      </c>
      <c r="J114" s="25" t="s">
        <v>98</v>
      </c>
      <c r="K114" s="25" t="s">
        <v>107</v>
      </c>
      <c r="L114" s="25" t="str">
        <f t="shared" si="1"/>
        <v>FAMILIAR</v>
      </c>
      <c r="M114" s="25">
        <f t="shared" si="2"/>
        <v>1</v>
      </c>
      <c r="N114" s="25">
        <f t="shared" si="3"/>
        <v>2023</v>
      </c>
      <c r="O114" s="27" t="str">
        <f>VLOOKUP(K114,'CA y tablas'!$B$22:$C$28,2,FALSE)</f>
        <v>AMERICANO</v>
      </c>
      <c r="P114" s="28" t="str">
        <f t="shared" si="4"/>
        <v>S1</v>
      </c>
      <c r="Q114" s="29">
        <v>1.0</v>
      </c>
      <c r="R114" s="29" t="str">
        <f t="shared" si="5"/>
        <v>Q1</v>
      </c>
    </row>
    <row r="115" ht="15.75" customHeight="1">
      <c r="A115" s="30">
        <v>44950.0</v>
      </c>
      <c r="B115" s="31">
        <v>2.960991272E9</v>
      </c>
      <c r="C115" s="32" t="s">
        <v>197</v>
      </c>
      <c r="D115" s="31">
        <v>3.7528214E7</v>
      </c>
      <c r="E115" s="30">
        <v>44950.0</v>
      </c>
      <c r="F115" s="33" t="s">
        <v>69</v>
      </c>
      <c r="G115" s="34">
        <v>2.0</v>
      </c>
      <c r="H115" s="33" t="s">
        <v>106</v>
      </c>
      <c r="I115" s="33" t="s">
        <v>71</v>
      </c>
      <c r="J115" s="33" t="s">
        <v>98</v>
      </c>
      <c r="K115" s="33" t="s">
        <v>107</v>
      </c>
      <c r="L115" s="33" t="str">
        <f t="shared" si="1"/>
        <v>FAMILIAR</v>
      </c>
      <c r="M115" s="33">
        <f t="shared" si="2"/>
        <v>1</v>
      </c>
      <c r="N115" s="33">
        <f t="shared" si="3"/>
        <v>2023</v>
      </c>
      <c r="O115" s="35" t="str">
        <f>VLOOKUP(K115,'CA y tablas'!$B$22:$C$28,2,FALSE)</f>
        <v>AMERICANO</v>
      </c>
      <c r="P115" s="28" t="str">
        <f t="shared" si="4"/>
        <v>S1</v>
      </c>
      <c r="Q115" s="29">
        <v>1.0</v>
      </c>
      <c r="R115" s="29" t="str">
        <f t="shared" si="5"/>
        <v>Q1</v>
      </c>
    </row>
    <row r="116" ht="15.75" customHeight="1">
      <c r="A116" s="22">
        <v>44950.0</v>
      </c>
      <c r="B116" s="23">
        <v>3.188533585E9</v>
      </c>
      <c r="C116" s="24" t="s">
        <v>198</v>
      </c>
      <c r="D116" s="23">
        <v>4.0274592E7</v>
      </c>
      <c r="E116" s="22">
        <v>44950.0</v>
      </c>
      <c r="F116" s="25" t="s">
        <v>76</v>
      </c>
      <c r="G116" s="26">
        <v>3.0</v>
      </c>
      <c r="H116" s="25" t="s">
        <v>81</v>
      </c>
      <c r="I116" s="25" t="s">
        <v>71</v>
      </c>
      <c r="J116" s="25" t="s">
        <v>98</v>
      </c>
      <c r="K116" s="25" t="s">
        <v>107</v>
      </c>
      <c r="L116" s="25" t="str">
        <f t="shared" si="1"/>
        <v>FAMILIAR</v>
      </c>
      <c r="M116" s="25">
        <f t="shared" si="2"/>
        <v>1</v>
      </c>
      <c r="N116" s="25">
        <f t="shared" si="3"/>
        <v>2023</v>
      </c>
      <c r="O116" s="27" t="str">
        <f>VLOOKUP(K116,'CA y tablas'!$B$22:$C$28,2,FALSE)</f>
        <v>AMERICANO</v>
      </c>
      <c r="P116" s="28" t="str">
        <f t="shared" si="4"/>
        <v>S1</v>
      </c>
      <c r="Q116" s="29">
        <v>1.0</v>
      </c>
      <c r="R116" s="29" t="str">
        <f t="shared" si="5"/>
        <v>Q1</v>
      </c>
    </row>
    <row r="117" ht="15.75" customHeight="1">
      <c r="A117" s="30">
        <v>44937.0</v>
      </c>
      <c r="B117" s="31">
        <v>2.440433026E9</v>
      </c>
      <c r="C117" s="32" t="s">
        <v>199</v>
      </c>
      <c r="D117" s="31">
        <v>3.3051506E7</v>
      </c>
      <c r="E117" s="30">
        <v>44951.0</v>
      </c>
      <c r="F117" s="33" t="s">
        <v>69</v>
      </c>
      <c r="G117" s="34">
        <v>3.0</v>
      </c>
      <c r="H117" s="33" t="s">
        <v>81</v>
      </c>
      <c r="I117" s="33" t="s">
        <v>71</v>
      </c>
      <c r="J117" s="33" t="s">
        <v>98</v>
      </c>
      <c r="K117" s="33" t="s">
        <v>107</v>
      </c>
      <c r="L117" s="33" t="str">
        <f t="shared" si="1"/>
        <v>FAMILIAR</v>
      </c>
      <c r="M117" s="33">
        <f t="shared" si="2"/>
        <v>1</v>
      </c>
      <c r="N117" s="33">
        <f t="shared" si="3"/>
        <v>2023</v>
      </c>
      <c r="O117" s="35" t="str">
        <f>VLOOKUP(K117,'CA y tablas'!$B$22:$C$28,2,FALSE)</f>
        <v>AMERICANO</v>
      </c>
      <c r="P117" s="28" t="str">
        <f t="shared" si="4"/>
        <v>S1</v>
      </c>
      <c r="Q117" s="29">
        <v>1.0</v>
      </c>
      <c r="R117" s="29" t="str">
        <f t="shared" si="5"/>
        <v>Q1</v>
      </c>
    </row>
    <row r="118" ht="15.75" customHeight="1">
      <c r="A118" s="22">
        <v>44950.0</v>
      </c>
      <c r="B118" s="23">
        <v>4.492068582E9</v>
      </c>
      <c r="C118" s="24" t="s">
        <v>200</v>
      </c>
      <c r="D118" s="23">
        <v>3.6224247E7</v>
      </c>
      <c r="E118" s="22">
        <v>44951.0</v>
      </c>
      <c r="F118" s="25" t="s">
        <v>69</v>
      </c>
      <c r="G118" s="26">
        <v>4.0</v>
      </c>
      <c r="H118" s="25" t="s">
        <v>81</v>
      </c>
      <c r="I118" s="25" t="s">
        <v>71</v>
      </c>
      <c r="J118" s="25" t="s">
        <v>98</v>
      </c>
      <c r="K118" s="25" t="s">
        <v>107</v>
      </c>
      <c r="L118" s="25" t="str">
        <f t="shared" si="1"/>
        <v>FAMILIAR</v>
      </c>
      <c r="M118" s="25">
        <f t="shared" si="2"/>
        <v>1</v>
      </c>
      <c r="N118" s="25">
        <f t="shared" si="3"/>
        <v>2023</v>
      </c>
      <c r="O118" s="27" t="str">
        <f>VLOOKUP(K118,'CA y tablas'!$B$22:$C$28,2,FALSE)</f>
        <v>AMERICANO</v>
      </c>
      <c r="P118" s="28" t="str">
        <f t="shared" si="4"/>
        <v>S1</v>
      </c>
      <c r="Q118" s="29">
        <v>1.0</v>
      </c>
      <c r="R118" s="29" t="str">
        <f t="shared" si="5"/>
        <v>Q1</v>
      </c>
    </row>
    <row r="119" ht="15.75" customHeight="1">
      <c r="A119" s="30">
        <v>44945.0</v>
      </c>
      <c r="B119" s="31">
        <v>9.855941303E9</v>
      </c>
      <c r="C119" s="32" t="s">
        <v>201</v>
      </c>
      <c r="D119" s="31">
        <v>2.3518407E7</v>
      </c>
      <c r="E119" s="30">
        <v>44952.0</v>
      </c>
      <c r="F119" s="33" t="s">
        <v>76</v>
      </c>
      <c r="G119" s="34">
        <v>2.0</v>
      </c>
      <c r="H119" s="33" t="s">
        <v>81</v>
      </c>
      <c r="I119" s="33" t="s">
        <v>71</v>
      </c>
      <c r="J119" s="33" t="s">
        <v>93</v>
      </c>
      <c r="K119" s="33" t="s">
        <v>107</v>
      </c>
      <c r="L119" s="33" t="str">
        <f t="shared" si="1"/>
        <v>FAMILIAR</v>
      </c>
      <c r="M119" s="33">
        <f t="shared" si="2"/>
        <v>1</v>
      </c>
      <c r="N119" s="33">
        <f t="shared" si="3"/>
        <v>2023</v>
      </c>
      <c r="O119" s="35" t="str">
        <f>VLOOKUP(K119,'CA y tablas'!$B$22:$C$28,2,FALSE)</f>
        <v>AMERICANO</v>
      </c>
      <c r="P119" s="28" t="str">
        <f t="shared" si="4"/>
        <v>S1</v>
      </c>
      <c r="Q119" s="29">
        <v>1.0</v>
      </c>
      <c r="R119" s="29" t="str">
        <f t="shared" si="5"/>
        <v>Q1</v>
      </c>
    </row>
    <row r="120" ht="15.75" customHeight="1">
      <c r="A120" s="22">
        <v>44950.0</v>
      </c>
      <c r="B120" s="23">
        <v>3.407160842E9</v>
      </c>
      <c r="C120" s="24" t="s">
        <v>202</v>
      </c>
      <c r="D120" s="23">
        <v>3.5029552E7</v>
      </c>
      <c r="E120" s="22">
        <v>44956.0</v>
      </c>
      <c r="F120" s="25" t="s">
        <v>69</v>
      </c>
      <c r="G120" s="26">
        <v>2.0</v>
      </c>
      <c r="H120" s="25" t="s">
        <v>112</v>
      </c>
      <c r="I120" s="25" t="s">
        <v>71</v>
      </c>
      <c r="J120" s="25" t="s">
        <v>93</v>
      </c>
      <c r="K120" s="25" t="s">
        <v>107</v>
      </c>
      <c r="L120" s="25" t="str">
        <f t="shared" si="1"/>
        <v>FAMILIAR</v>
      </c>
      <c r="M120" s="25">
        <f t="shared" si="2"/>
        <v>1</v>
      </c>
      <c r="N120" s="25">
        <f t="shared" si="3"/>
        <v>2023</v>
      </c>
      <c r="O120" s="27" t="str">
        <f>VLOOKUP(K120,'CA y tablas'!$B$22:$C$28,2,FALSE)</f>
        <v>AMERICANO</v>
      </c>
      <c r="P120" s="28" t="str">
        <f t="shared" si="4"/>
        <v>S1</v>
      </c>
      <c r="Q120" s="29">
        <v>1.0</v>
      </c>
      <c r="R120" s="29" t="str">
        <f t="shared" si="5"/>
        <v>Q1</v>
      </c>
    </row>
    <row r="121" ht="15.75" customHeight="1">
      <c r="A121" s="30">
        <v>44953.0</v>
      </c>
      <c r="B121" s="31">
        <v>6.331043132E9</v>
      </c>
      <c r="C121" s="32" t="s">
        <v>203</v>
      </c>
      <c r="D121" s="31">
        <v>2.7575063E7</v>
      </c>
      <c r="E121" s="30">
        <v>44956.0</v>
      </c>
      <c r="F121" s="33" t="s">
        <v>69</v>
      </c>
      <c r="G121" s="34">
        <v>1.0</v>
      </c>
      <c r="H121" s="33" t="s">
        <v>112</v>
      </c>
      <c r="I121" s="33" t="s">
        <v>71</v>
      </c>
      <c r="J121" s="33" t="s">
        <v>93</v>
      </c>
      <c r="K121" s="33" t="s">
        <v>99</v>
      </c>
      <c r="L121" s="33" t="str">
        <f t="shared" si="1"/>
        <v>INDIVIDUAL</v>
      </c>
      <c r="M121" s="33">
        <f t="shared" si="2"/>
        <v>1</v>
      </c>
      <c r="N121" s="33">
        <f t="shared" si="3"/>
        <v>2023</v>
      </c>
      <c r="O121" s="35" t="str">
        <f>VLOOKUP(K121,'CA y tablas'!$B$22:$C$28,2,FALSE)</f>
        <v>EUROPEO</v>
      </c>
      <c r="P121" s="28" t="str">
        <f t="shared" si="4"/>
        <v>S1</v>
      </c>
      <c r="Q121" s="29">
        <v>1.0</v>
      </c>
      <c r="R121" s="29" t="str">
        <f t="shared" si="5"/>
        <v>Q1</v>
      </c>
    </row>
    <row r="122" ht="15.75" customHeight="1">
      <c r="A122" s="22">
        <v>44957.0</v>
      </c>
      <c r="B122" s="23">
        <v>1.300758395E9</v>
      </c>
      <c r="C122" s="24" t="s">
        <v>204</v>
      </c>
      <c r="D122" s="23">
        <v>2.9323107E7</v>
      </c>
      <c r="E122" s="22">
        <v>44958.0</v>
      </c>
      <c r="F122" s="25" t="s">
        <v>69</v>
      </c>
      <c r="G122" s="26">
        <v>1.0</v>
      </c>
      <c r="H122" s="25" t="s">
        <v>112</v>
      </c>
      <c r="I122" s="25" t="s">
        <v>71</v>
      </c>
      <c r="J122" s="25" t="s">
        <v>93</v>
      </c>
      <c r="K122" s="25" t="s">
        <v>99</v>
      </c>
      <c r="L122" s="25" t="str">
        <f t="shared" si="1"/>
        <v>INDIVIDUAL</v>
      </c>
      <c r="M122" s="25">
        <f t="shared" si="2"/>
        <v>2</v>
      </c>
      <c r="N122" s="25">
        <f t="shared" si="3"/>
        <v>2023</v>
      </c>
      <c r="O122" s="27" t="str">
        <f>VLOOKUP(K122,'CA y tablas'!$B$22:$C$28,2,FALSE)</f>
        <v>EUROPEO</v>
      </c>
      <c r="P122" s="28" t="str">
        <f t="shared" si="4"/>
        <v>S1</v>
      </c>
      <c r="Q122" s="29">
        <v>1.0</v>
      </c>
      <c r="R122" s="29" t="str">
        <f t="shared" si="5"/>
        <v>Q1</v>
      </c>
    </row>
    <row r="123" ht="15.75" customHeight="1">
      <c r="A123" s="30">
        <v>44958.0</v>
      </c>
      <c r="B123" s="31">
        <v>4.967665146E9</v>
      </c>
      <c r="C123" s="32" t="s">
        <v>205</v>
      </c>
      <c r="D123" s="31">
        <v>1.4083299E7</v>
      </c>
      <c r="E123" s="30">
        <v>44958.0</v>
      </c>
      <c r="F123" s="33" t="s">
        <v>76</v>
      </c>
      <c r="G123" s="34">
        <v>1.0</v>
      </c>
      <c r="H123" s="33" t="s">
        <v>112</v>
      </c>
      <c r="I123" s="33" t="s">
        <v>71</v>
      </c>
      <c r="J123" s="33" t="s">
        <v>93</v>
      </c>
      <c r="K123" s="33" t="s">
        <v>99</v>
      </c>
      <c r="L123" s="33" t="str">
        <f t="shared" si="1"/>
        <v>INDIVIDUAL</v>
      </c>
      <c r="M123" s="33">
        <f t="shared" si="2"/>
        <v>2</v>
      </c>
      <c r="N123" s="33">
        <f t="shared" si="3"/>
        <v>2023</v>
      </c>
      <c r="O123" s="35" t="str">
        <f>VLOOKUP(K123,'CA y tablas'!$B$22:$C$28,2,FALSE)</f>
        <v>EUROPEO</v>
      </c>
      <c r="P123" s="28" t="str">
        <f t="shared" si="4"/>
        <v>S1</v>
      </c>
      <c r="Q123" s="29">
        <v>1.0</v>
      </c>
      <c r="R123" s="29" t="str">
        <f t="shared" si="5"/>
        <v>Q1</v>
      </c>
    </row>
    <row r="124" ht="15.75" customHeight="1">
      <c r="A124" s="22">
        <v>44946.0</v>
      </c>
      <c r="B124" s="23">
        <v>1.278564685E9</v>
      </c>
      <c r="C124" s="24" t="s">
        <v>206</v>
      </c>
      <c r="D124" s="23">
        <v>1.6526017E7</v>
      </c>
      <c r="E124" s="22">
        <v>44959.0</v>
      </c>
      <c r="F124" s="25" t="s">
        <v>69</v>
      </c>
      <c r="G124" s="26">
        <v>1.0</v>
      </c>
      <c r="H124" s="25" t="s">
        <v>112</v>
      </c>
      <c r="I124" s="25" t="s">
        <v>71</v>
      </c>
      <c r="J124" s="25" t="s">
        <v>93</v>
      </c>
      <c r="K124" s="25" t="s">
        <v>99</v>
      </c>
      <c r="L124" s="25" t="str">
        <f t="shared" si="1"/>
        <v>INDIVIDUAL</v>
      </c>
      <c r="M124" s="25">
        <f t="shared" si="2"/>
        <v>2</v>
      </c>
      <c r="N124" s="25">
        <f t="shared" si="3"/>
        <v>2023</v>
      </c>
      <c r="O124" s="27" t="str">
        <f>VLOOKUP(K124,'CA y tablas'!$B$22:$C$28,2,FALSE)</f>
        <v>EUROPEO</v>
      </c>
      <c r="P124" s="28" t="str">
        <f t="shared" si="4"/>
        <v>S1</v>
      </c>
      <c r="Q124" s="29">
        <v>1.0</v>
      </c>
      <c r="R124" s="29" t="str">
        <f t="shared" si="5"/>
        <v>Q1</v>
      </c>
    </row>
    <row r="125" ht="15.75" customHeight="1">
      <c r="A125" s="30">
        <v>44956.0</v>
      </c>
      <c r="B125" s="31">
        <v>8.91321473E9</v>
      </c>
      <c r="C125" s="32" t="s">
        <v>207</v>
      </c>
      <c r="D125" s="31">
        <v>2.2822961E7</v>
      </c>
      <c r="E125" s="30">
        <v>44959.0</v>
      </c>
      <c r="F125" s="33" t="s">
        <v>69</v>
      </c>
      <c r="G125" s="34">
        <v>1.0</v>
      </c>
      <c r="H125" s="33" t="s">
        <v>112</v>
      </c>
      <c r="I125" s="33" t="s">
        <v>71</v>
      </c>
      <c r="J125" s="33" t="s">
        <v>93</v>
      </c>
      <c r="K125" s="33" t="s">
        <v>99</v>
      </c>
      <c r="L125" s="33" t="str">
        <f t="shared" si="1"/>
        <v>INDIVIDUAL</v>
      </c>
      <c r="M125" s="33">
        <f t="shared" si="2"/>
        <v>2</v>
      </c>
      <c r="N125" s="33">
        <f t="shared" si="3"/>
        <v>2023</v>
      </c>
      <c r="O125" s="35" t="str">
        <f>VLOOKUP(K125,'CA y tablas'!$B$22:$C$28,2,FALSE)</f>
        <v>EUROPEO</v>
      </c>
      <c r="P125" s="28" t="str">
        <f t="shared" si="4"/>
        <v>S1</v>
      </c>
      <c r="Q125" s="29">
        <v>1.0</v>
      </c>
      <c r="R125" s="29" t="str">
        <f t="shared" si="5"/>
        <v>Q1</v>
      </c>
    </row>
    <row r="126" ht="15.75" customHeight="1">
      <c r="A126" s="22">
        <v>44958.0</v>
      </c>
      <c r="B126" s="23">
        <v>5.014954755E9</v>
      </c>
      <c r="C126" s="24" t="s">
        <v>208</v>
      </c>
      <c r="D126" s="23">
        <v>3.4159034E7</v>
      </c>
      <c r="E126" s="22">
        <v>44960.0</v>
      </c>
      <c r="F126" s="25" t="s">
        <v>69</v>
      </c>
      <c r="G126" s="26">
        <v>1.0</v>
      </c>
      <c r="H126" s="25" t="s">
        <v>112</v>
      </c>
      <c r="I126" s="25" t="s">
        <v>71</v>
      </c>
      <c r="J126" s="25" t="s">
        <v>93</v>
      </c>
      <c r="K126" s="25" t="s">
        <v>99</v>
      </c>
      <c r="L126" s="25" t="str">
        <f t="shared" si="1"/>
        <v>INDIVIDUAL</v>
      </c>
      <c r="M126" s="25">
        <f t="shared" si="2"/>
        <v>2</v>
      </c>
      <c r="N126" s="25">
        <f t="shared" si="3"/>
        <v>2023</v>
      </c>
      <c r="O126" s="27" t="str">
        <f>VLOOKUP(K126,'CA y tablas'!$B$22:$C$28,2,FALSE)</f>
        <v>EUROPEO</v>
      </c>
      <c r="P126" s="28" t="str">
        <f t="shared" si="4"/>
        <v>S1</v>
      </c>
      <c r="Q126" s="29">
        <v>1.0</v>
      </c>
      <c r="R126" s="29" t="str">
        <f t="shared" si="5"/>
        <v>Q1</v>
      </c>
    </row>
    <row r="127" ht="15.75" customHeight="1">
      <c r="A127" s="30">
        <v>44960.0</v>
      </c>
      <c r="B127" s="31">
        <v>8.459905624E9</v>
      </c>
      <c r="C127" s="32" t="s">
        <v>209</v>
      </c>
      <c r="D127" s="31">
        <v>4.3026119E7</v>
      </c>
      <c r="E127" s="30">
        <v>44960.0</v>
      </c>
      <c r="F127" s="33" t="s">
        <v>69</v>
      </c>
      <c r="G127" s="34">
        <v>2.0</v>
      </c>
      <c r="H127" s="33" t="s">
        <v>112</v>
      </c>
      <c r="I127" s="33" t="s">
        <v>71</v>
      </c>
      <c r="J127" s="33" t="s">
        <v>93</v>
      </c>
      <c r="K127" s="33" t="s">
        <v>73</v>
      </c>
      <c r="L127" s="33" t="str">
        <f t="shared" si="1"/>
        <v>FAMILIAR</v>
      </c>
      <c r="M127" s="33">
        <f t="shared" si="2"/>
        <v>2</v>
      </c>
      <c r="N127" s="33">
        <f t="shared" si="3"/>
        <v>2023</v>
      </c>
      <c r="O127" s="35" t="str">
        <f>VLOOKUP(K127,'CA y tablas'!$B$22:$C$28,2,FALSE)</f>
        <v>AMERICANO</v>
      </c>
      <c r="P127" s="28" t="str">
        <f t="shared" si="4"/>
        <v>S1</v>
      </c>
      <c r="Q127" s="29">
        <v>1.0</v>
      </c>
      <c r="R127" s="29" t="str">
        <f t="shared" si="5"/>
        <v>Q1</v>
      </c>
    </row>
    <row r="128" ht="15.75" customHeight="1">
      <c r="A128" s="22">
        <v>44960.0</v>
      </c>
      <c r="B128" s="23">
        <v>2.330118825E9</v>
      </c>
      <c r="C128" s="24" t="s">
        <v>210</v>
      </c>
      <c r="D128" s="23">
        <v>4.0148277E7</v>
      </c>
      <c r="E128" s="22">
        <v>44960.0</v>
      </c>
      <c r="F128" s="25" t="s">
        <v>69</v>
      </c>
      <c r="G128" s="26">
        <v>2.0</v>
      </c>
      <c r="H128" s="25" t="s">
        <v>92</v>
      </c>
      <c r="I128" s="25" t="s">
        <v>71</v>
      </c>
      <c r="J128" s="25" t="s">
        <v>93</v>
      </c>
      <c r="K128" s="25" t="s">
        <v>73</v>
      </c>
      <c r="L128" s="25" t="str">
        <f t="shared" si="1"/>
        <v>FAMILIAR</v>
      </c>
      <c r="M128" s="25">
        <f t="shared" si="2"/>
        <v>2</v>
      </c>
      <c r="N128" s="25">
        <f t="shared" si="3"/>
        <v>2023</v>
      </c>
      <c r="O128" s="27" t="str">
        <f>VLOOKUP(K128,'CA y tablas'!$B$22:$C$28,2,FALSE)</f>
        <v>AMERICANO</v>
      </c>
      <c r="P128" s="28" t="str">
        <f t="shared" si="4"/>
        <v>S1</v>
      </c>
      <c r="Q128" s="29">
        <v>1.0</v>
      </c>
      <c r="R128" s="29" t="str">
        <f t="shared" si="5"/>
        <v>Q1</v>
      </c>
    </row>
    <row r="129" ht="15.75" customHeight="1">
      <c r="A129" s="30">
        <v>44960.0</v>
      </c>
      <c r="B129" s="31">
        <v>1.128625772E9</v>
      </c>
      <c r="C129" s="32" t="s">
        <v>209</v>
      </c>
      <c r="D129" s="31">
        <v>4.3026119E7</v>
      </c>
      <c r="E129" s="30">
        <v>44960.0</v>
      </c>
      <c r="F129" s="33" t="s">
        <v>69</v>
      </c>
      <c r="G129" s="34">
        <v>2.0</v>
      </c>
      <c r="H129" s="33" t="s">
        <v>92</v>
      </c>
      <c r="I129" s="33" t="s">
        <v>71</v>
      </c>
      <c r="J129" s="33" t="s">
        <v>93</v>
      </c>
      <c r="K129" s="33" t="s">
        <v>73</v>
      </c>
      <c r="L129" s="33" t="str">
        <f t="shared" si="1"/>
        <v>FAMILIAR</v>
      </c>
      <c r="M129" s="33">
        <f t="shared" si="2"/>
        <v>2</v>
      </c>
      <c r="N129" s="33">
        <f t="shared" si="3"/>
        <v>2023</v>
      </c>
      <c r="O129" s="35" t="str">
        <f>VLOOKUP(K129,'CA y tablas'!$B$22:$C$28,2,FALSE)</f>
        <v>AMERICANO</v>
      </c>
      <c r="P129" s="28" t="str">
        <f t="shared" si="4"/>
        <v>S1</v>
      </c>
      <c r="Q129" s="29">
        <v>1.0</v>
      </c>
      <c r="R129" s="29" t="str">
        <f t="shared" si="5"/>
        <v>Q1</v>
      </c>
    </row>
    <row r="130" ht="15.75" customHeight="1">
      <c r="A130" s="22">
        <v>44953.0</v>
      </c>
      <c r="B130" s="23">
        <v>9.629086412E9</v>
      </c>
      <c r="C130" s="24" t="s">
        <v>211</v>
      </c>
      <c r="D130" s="23">
        <v>2.7301051E7</v>
      </c>
      <c r="E130" s="22">
        <v>44963.0</v>
      </c>
      <c r="F130" s="25" t="s">
        <v>69</v>
      </c>
      <c r="G130" s="26">
        <v>2.0</v>
      </c>
      <c r="H130" s="25" t="s">
        <v>92</v>
      </c>
      <c r="I130" s="25" t="s">
        <v>71</v>
      </c>
      <c r="J130" s="25" t="s">
        <v>79</v>
      </c>
      <c r="K130" s="25" t="s">
        <v>73</v>
      </c>
      <c r="L130" s="25" t="str">
        <f t="shared" si="1"/>
        <v>FAMILIAR</v>
      </c>
      <c r="M130" s="25">
        <f t="shared" si="2"/>
        <v>2</v>
      </c>
      <c r="N130" s="25">
        <f t="shared" si="3"/>
        <v>2023</v>
      </c>
      <c r="O130" s="27" t="str">
        <f>VLOOKUP(K130,'CA y tablas'!$B$22:$C$28,2,FALSE)</f>
        <v>AMERICANO</v>
      </c>
      <c r="P130" s="28" t="str">
        <f t="shared" si="4"/>
        <v>S1</v>
      </c>
      <c r="Q130" s="29">
        <v>1.0</v>
      </c>
      <c r="R130" s="29" t="str">
        <f t="shared" si="5"/>
        <v>Q1</v>
      </c>
    </row>
    <row r="131" ht="15.75" customHeight="1">
      <c r="A131" s="30">
        <v>44956.0</v>
      </c>
      <c r="B131" s="31">
        <v>1.394197582E9</v>
      </c>
      <c r="C131" s="32" t="s">
        <v>212</v>
      </c>
      <c r="D131" s="31">
        <v>3.5523708E7</v>
      </c>
      <c r="E131" s="30">
        <v>44963.0</v>
      </c>
      <c r="F131" s="33" t="s">
        <v>69</v>
      </c>
      <c r="G131" s="34">
        <v>3.0</v>
      </c>
      <c r="H131" s="33" t="s">
        <v>92</v>
      </c>
      <c r="I131" s="33" t="s">
        <v>71</v>
      </c>
      <c r="J131" s="33" t="s">
        <v>79</v>
      </c>
      <c r="K131" s="33" t="s">
        <v>73</v>
      </c>
      <c r="L131" s="33" t="str">
        <f t="shared" si="1"/>
        <v>FAMILIAR</v>
      </c>
      <c r="M131" s="33">
        <f t="shared" si="2"/>
        <v>2</v>
      </c>
      <c r="N131" s="33">
        <f t="shared" si="3"/>
        <v>2023</v>
      </c>
      <c r="O131" s="35" t="str">
        <f>VLOOKUP(K131,'CA y tablas'!$B$22:$C$28,2,FALSE)</f>
        <v>AMERICANO</v>
      </c>
      <c r="P131" s="28" t="str">
        <f t="shared" si="4"/>
        <v>S1</v>
      </c>
      <c r="Q131" s="29">
        <v>1.0</v>
      </c>
      <c r="R131" s="29" t="str">
        <f t="shared" si="5"/>
        <v>Q1</v>
      </c>
    </row>
    <row r="132" ht="15.75" customHeight="1">
      <c r="A132" s="22">
        <v>44960.0</v>
      </c>
      <c r="B132" s="23">
        <v>1.128596431E9</v>
      </c>
      <c r="C132" s="24" t="s">
        <v>213</v>
      </c>
      <c r="D132" s="23">
        <v>3.821653E7</v>
      </c>
      <c r="E132" s="22">
        <v>44963.0</v>
      </c>
      <c r="F132" s="25" t="s">
        <v>76</v>
      </c>
      <c r="G132" s="26">
        <v>3.0</v>
      </c>
      <c r="H132" s="25" t="s">
        <v>116</v>
      </c>
      <c r="I132" s="25" t="s">
        <v>71</v>
      </c>
      <c r="J132" s="25" t="s">
        <v>79</v>
      </c>
      <c r="K132" s="25" t="s">
        <v>73</v>
      </c>
      <c r="L132" s="25" t="str">
        <f t="shared" si="1"/>
        <v>FAMILIAR</v>
      </c>
      <c r="M132" s="25">
        <f t="shared" si="2"/>
        <v>2</v>
      </c>
      <c r="N132" s="25">
        <f t="shared" si="3"/>
        <v>2023</v>
      </c>
      <c r="O132" s="27" t="str">
        <f>VLOOKUP(K132,'CA y tablas'!$B$22:$C$28,2,FALSE)</f>
        <v>AMERICANO</v>
      </c>
      <c r="P132" s="28" t="str">
        <f t="shared" si="4"/>
        <v>S1</v>
      </c>
      <c r="Q132" s="29">
        <v>1.0</v>
      </c>
      <c r="R132" s="29" t="str">
        <f t="shared" si="5"/>
        <v>Q1</v>
      </c>
    </row>
    <row r="133" ht="15.75" customHeight="1">
      <c r="A133" s="30">
        <v>44960.0</v>
      </c>
      <c r="B133" s="31">
        <v>2.200978485E9</v>
      </c>
      <c r="C133" s="32" t="s">
        <v>214</v>
      </c>
      <c r="D133" s="31">
        <v>3.9972889E7</v>
      </c>
      <c r="E133" s="30">
        <v>44963.0</v>
      </c>
      <c r="F133" s="33" t="s">
        <v>69</v>
      </c>
      <c r="G133" s="34">
        <v>1.0</v>
      </c>
      <c r="H133" s="33" t="s">
        <v>116</v>
      </c>
      <c r="I133" s="33" t="s">
        <v>71</v>
      </c>
      <c r="J133" s="33" t="s">
        <v>79</v>
      </c>
      <c r="K133" s="33" t="s">
        <v>73</v>
      </c>
      <c r="L133" s="33" t="str">
        <f t="shared" si="1"/>
        <v>INDIVIDUAL</v>
      </c>
      <c r="M133" s="33">
        <f t="shared" si="2"/>
        <v>2</v>
      </c>
      <c r="N133" s="33">
        <f t="shared" si="3"/>
        <v>2023</v>
      </c>
      <c r="O133" s="35" t="str">
        <f>VLOOKUP(K133,'CA y tablas'!$B$22:$C$28,2,FALSE)</f>
        <v>AMERICANO</v>
      </c>
      <c r="P133" s="28" t="str">
        <f t="shared" si="4"/>
        <v>S1</v>
      </c>
      <c r="Q133" s="29">
        <v>1.0</v>
      </c>
      <c r="R133" s="29" t="str">
        <f t="shared" si="5"/>
        <v>Q1</v>
      </c>
    </row>
    <row r="134" ht="15.75" customHeight="1">
      <c r="A134" s="22">
        <v>44963.0</v>
      </c>
      <c r="B134" s="23">
        <v>8.910535852E9</v>
      </c>
      <c r="C134" s="24" t="s">
        <v>215</v>
      </c>
      <c r="D134" s="23">
        <v>3.7096672E7</v>
      </c>
      <c r="E134" s="22">
        <v>44964.0</v>
      </c>
      <c r="F134" s="25" t="s">
        <v>69</v>
      </c>
      <c r="G134" s="26">
        <v>2.0</v>
      </c>
      <c r="H134" s="25" t="s">
        <v>116</v>
      </c>
      <c r="I134" s="25" t="s">
        <v>88</v>
      </c>
      <c r="J134" s="25" t="s">
        <v>79</v>
      </c>
      <c r="K134" s="25" t="s">
        <v>73</v>
      </c>
      <c r="L134" s="25" t="str">
        <f t="shared" si="1"/>
        <v>FAMILIAR</v>
      </c>
      <c r="M134" s="25">
        <f t="shared" si="2"/>
        <v>2</v>
      </c>
      <c r="N134" s="25">
        <f t="shared" si="3"/>
        <v>2023</v>
      </c>
      <c r="O134" s="27" t="str">
        <f>VLOOKUP(K134,'CA y tablas'!$B$22:$C$28,2,FALSE)</f>
        <v>AMERICANO</v>
      </c>
      <c r="P134" s="28" t="str">
        <f t="shared" si="4"/>
        <v>S1</v>
      </c>
      <c r="Q134" s="29">
        <v>1.0</v>
      </c>
      <c r="R134" s="29" t="str">
        <f t="shared" si="5"/>
        <v>Q1</v>
      </c>
    </row>
    <row r="135" ht="15.75" customHeight="1">
      <c r="A135" s="30">
        <v>44952.0</v>
      </c>
      <c r="B135" s="31">
        <v>2.616911555E9</v>
      </c>
      <c r="C135" s="32" t="s">
        <v>216</v>
      </c>
      <c r="D135" s="31">
        <v>2.9599294E7</v>
      </c>
      <c r="E135" s="30">
        <v>44965.0</v>
      </c>
      <c r="F135" s="33" t="s">
        <v>69</v>
      </c>
      <c r="G135" s="34">
        <v>2.0</v>
      </c>
      <c r="H135" s="33" t="s">
        <v>116</v>
      </c>
      <c r="I135" s="33" t="s">
        <v>88</v>
      </c>
      <c r="J135" s="33" t="s">
        <v>79</v>
      </c>
      <c r="K135" s="33" t="s">
        <v>217</v>
      </c>
      <c r="L135" s="33" t="str">
        <f t="shared" si="1"/>
        <v>FAMILIAR</v>
      </c>
      <c r="M135" s="33">
        <f t="shared" si="2"/>
        <v>2</v>
      </c>
      <c r="N135" s="33">
        <f t="shared" si="3"/>
        <v>2023</v>
      </c>
      <c r="O135" s="35" t="str">
        <f>VLOOKUP(K135,'CA y tablas'!$B$22:$C$28,2,FALSE)</f>
        <v>ASIATICO</v>
      </c>
      <c r="P135" s="28" t="str">
        <f t="shared" si="4"/>
        <v>S1</v>
      </c>
      <c r="Q135" s="29">
        <v>1.0</v>
      </c>
      <c r="R135" s="29" t="str">
        <f t="shared" si="5"/>
        <v>Q1</v>
      </c>
    </row>
    <row r="136" ht="15.75" customHeight="1">
      <c r="A136" s="22">
        <v>44953.0</v>
      </c>
      <c r="B136" s="23">
        <v>6.33102519E9</v>
      </c>
      <c r="C136" s="24" t="s">
        <v>216</v>
      </c>
      <c r="D136" s="23">
        <v>2.9599294E7</v>
      </c>
      <c r="E136" s="22">
        <v>44965.0</v>
      </c>
      <c r="F136" s="25" t="s">
        <v>69</v>
      </c>
      <c r="G136" s="26">
        <v>3.0</v>
      </c>
      <c r="H136" s="25" t="s">
        <v>116</v>
      </c>
      <c r="I136" s="25" t="s">
        <v>88</v>
      </c>
      <c r="J136" s="25" t="s">
        <v>79</v>
      </c>
      <c r="K136" s="25" t="s">
        <v>217</v>
      </c>
      <c r="L136" s="25" t="str">
        <f t="shared" si="1"/>
        <v>FAMILIAR</v>
      </c>
      <c r="M136" s="25">
        <f t="shared" si="2"/>
        <v>2</v>
      </c>
      <c r="N136" s="25">
        <f t="shared" si="3"/>
        <v>2023</v>
      </c>
      <c r="O136" s="27" t="str">
        <f>VLOOKUP(K136,'CA y tablas'!$B$22:$C$28,2,FALSE)</f>
        <v>ASIATICO</v>
      </c>
      <c r="P136" s="28" t="str">
        <f t="shared" si="4"/>
        <v>S1</v>
      </c>
      <c r="Q136" s="29">
        <v>1.0</v>
      </c>
      <c r="R136" s="29" t="str">
        <f t="shared" si="5"/>
        <v>Q1</v>
      </c>
    </row>
    <row r="137" ht="15.75" customHeight="1">
      <c r="A137" s="30">
        <v>44953.0</v>
      </c>
      <c r="B137" s="31">
        <v>6.324796203E9</v>
      </c>
      <c r="C137" s="32" t="s">
        <v>216</v>
      </c>
      <c r="D137" s="31">
        <v>2.9599294E7</v>
      </c>
      <c r="E137" s="30">
        <v>44965.0</v>
      </c>
      <c r="F137" s="33" t="s">
        <v>69</v>
      </c>
      <c r="G137" s="34">
        <v>3.0</v>
      </c>
      <c r="H137" s="33" t="s">
        <v>116</v>
      </c>
      <c r="I137" s="33" t="s">
        <v>88</v>
      </c>
      <c r="J137" s="33" t="s">
        <v>79</v>
      </c>
      <c r="K137" s="33" t="s">
        <v>217</v>
      </c>
      <c r="L137" s="33" t="str">
        <f t="shared" si="1"/>
        <v>FAMILIAR</v>
      </c>
      <c r="M137" s="33">
        <f t="shared" si="2"/>
        <v>2</v>
      </c>
      <c r="N137" s="33">
        <f t="shared" si="3"/>
        <v>2023</v>
      </c>
      <c r="O137" s="35" t="str">
        <f>VLOOKUP(K137,'CA y tablas'!$B$22:$C$28,2,FALSE)</f>
        <v>ASIATICO</v>
      </c>
      <c r="P137" s="28" t="str">
        <f t="shared" si="4"/>
        <v>S1</v>
      </c>
      <c r="Q137" s="29">
        <v>1.0</v>
      </c>
      <c r="R137" s="29" t="str">
        <f t="shared" si="5"/>
        <v>Q1</v>
      </c>
    </row>
    <row r="138" ht="15.75" customHeight="1">
      <c r="A138" s="22">
        <v>44960.0</v>
      </c>
      <c r="B138" s="23">
        <v>8.459840406E9</v>
      </c>
      <c r="C138" s="24" t="s">
        <v>218</v>
      </c>
      <c r="D138" s="23">
        <v>3.5518145E7</v>
      </c>
      <c r="E138" s="22">
        <v>44967.0</v>
      </c>
      <c r="F138" s="25" t="s">
        <v>69</v>
      </c>
      <c r="G138" s="26">
        <v>3.0</v>
      </c>
      <c r="H138" s="25" t="s">
        <v>116</v>
      </c>
      <c r="I138" s="25" t="s">
        <v>88</v>
      </c>
      <c r="J138" s="25" t="s">
        <v>79</v>
      </c>
      <c r="K138" s="25" t="s">
        <v>73</v>
      </c>
      <c r="L138" s="25" t="str">
        <f t="shared" si="1"/>
        <v>FAMILIAR</v>
      </c>
      <c r="M138" s="25">
        <f t="shared" si="2"/>
        <v>2</v>
      </c>
      <c r="N138" s="25">
        <f t="shared" si="3"/>
        <v>2023</v>
      </c>
      <c r="O138" s="27" t="str">
        <f>VLOOKUP(K138,'CA y tablas'!$B$22:$C$28,2,FALSE)</f>
        <v>AMERICANO</v>
      </c>
      <c r="P138" s="28" t="str">
        <f t="shared" si="4"/>
        <v>S1</v>
      </c>
      <c r="Q138" s="29">
        <v>1.0</v>
      </c>
      <c r="R138" s="29" t="str">
        <f t="shared" si="5"/>
        <v>Q1</v>
      </c>
    </row>
    <row r="139" ht="15.75" customHeight="1">
      <c r="A139" s="30">
        <v>44970.0</v>
      </c>
      <c r="B139" s="31">
        <v>1.80588982E9</v>
      </c>
      <c r="C139" s="32" t="s">
        <v>219</v>
      </c>
      <c r="D139" s="31">
        <v>3.6584299E7</v>
      </c>
      <c r="E139" s="30">
        <v>44970.0</v>
      </c>
      <c r="F139" s="33" t="s">
        <v>69</v>
      </c>
      <c r="G139" s="34">
        <v>3.0</v>
      </c>
      <c r="H139" s="33" t="s">
        <v>116</v>
      </c>
      <c r="I139" s="33" t="s">
        <v>88</v>
      </c>
      <c r="J139" s="33" t="s">
        <v>79</v>
      </c>
      <c r="K139" s="33" t="s">
        <v>73</v>
      </c>
      <c r="L139" s="33" t="str">
        <f t="shared" si="1"/>
        <v>FAMILIAR</v>
      </c>
      <c r="M139" s="33">
        <f t="shared" si="2"/>
        <v>2</v>
      </c>
      <c r="N139" s="33">
        <f t="shared" si="3"/>
        <v>2023</v>
      </c>
      <c r="O139" s="35" t="str">
        <f>VLOOKUP(K139,'CA y tablas'!$B$22:$C$28,2,FALSE)</f>
        <v>AMERICANO</v>
      </c>
      <c r="P139" s="28" t="str">
        <f t="shared" si="4"/>
        <v>S1</v>
      </c>
      <c r="Q139" s="29">
        <v>1.0</v>
      </c>
      <c r="R139" s="29" t="str">
        <f t="shared" si="5"/>
        <v>Q1</v>
      </c>
    </row>
    <row r="140" ht="15.75" customHeight="1">
      <c r="A140" s="22">
        <v>44971.0</v>
      </c>
      <c r="B140" s="23">
        <v>3.095450374E9</v>
      </c>
      <c r="C140" s="24" t="s">
        <v>220</v>
      </c>
      <c r="D140" s="23">
        <v>3.6983889E7</v>
      </c>
      <c r="E140" s="22">
        <v>44971.0</v>
      </c>
      <c r="F140" s="25" t="s">
        <v>69</v>
      </c>
      <c r="G140" s="26">
        <v>2.0</v>
      </c>
      <c r="H140" s="25" t="s">
        <v>116</v>
      </c>
      <c r="I140" s="25" t="s">
        <v>88</v>
      </c>
      <c r="J140" s="25" t="s">
        <v>79</v>
      </c>
      <c r="K140" s="25" t="s">
        <v>73</v>
      </c>
      <c r="L140" s="25" t="str">
        <f t="shared" si="1"/>
        <v>FAMILIAR</v>
      </c>
      <c r="M140" s="25">
        <f t="shared" si="2"/>
        <v>2</v>
      </c>
      <c r="N140" s="25">
        <f t="shared" si="3"/>
        <v>2023</v>
      </c>
      <c r="O140" s="27" t="str">
        <f>VLOOKUP(K140,'CA y tablas'!$B$22:$C$28,2,FALSE)</f>
        <v>AMERICANO</v>
      </c>
      <c r="P140" s="28" t="str">
        <f t="shared" si="4"/>
        <v>S1</v>
      </c>
      <c r="Q140" s="29">
        <v>1.0</v>
      </c>
      <c r="R140" s="29" t="str">
        <f t="shared" si="5"/>
        <v>Q1</v>
      </c>
    </row>
    <row r="141" ht="15.75" customHeight="1">
      <c r="A141" s="30">
        <v>45042.0</v>
      </c>
      <c r="B141" s="31">
        <v>4.958089474E9</v>
      </c>
      <c r="C141" s="32" t="s">
        <v>221</v>
      </c>
      <c r="D141" s="31">
        <v>1.2622702E7</v>
      </c>
      <c r="E141" s="30">
        <v>44974.0</v>
      </c>
      <c r="F141" s="33" t="s">
        <v>76</v>
      </c>
      <c r="G141" s="34">
        <v>1.0</v>
      </c>
      <c r="H141" s="33" t="s">
        <v>116</v>
      </c>
      <c r="I141" s="33" t="s">
        <v>88</v>
      </c>
      <c r="J141" s="33" t="s">
        <v>83</v>
      </c>
      <c r="K141" s="33" t="s">
        <v>73</v>
      </c>
      <c r="L141" s="33" t="str">
        <f t="shared" si="1"/>
        <v>INDIVIDUAL</v>
      </c>
      <c r="M141" s="33">
        <f t="shared" si="2"/>
        <v>2</v>
      </c>
      <c r="N141" s="33">
        <f t="shared" si="3"/>
        <v>2023</v>
      </c>
      <c r="O141" s="35" t="str">
        <f>VLOOKUP(K141,'CA y tablas'!$B$22:$C$28,2,FALSE)</f>
        <v>AMERICANO</v>
      </c>
      <c r="P141" s="28" t="str">
        <f t="shared" si="4"/>
        <v>S1</v>
      </c>
      <c r="Q141" s="29">
        <v>1.0</v>
      </c>
      <c r="R141" s="29" t="str">
        <f t="shared" si="5"/>
        <v>Q1</v>
      </c>
    </row>
    <row r="142" ht="15.75" customHeight="1">
      <c r="A142" s="22">
        <v>44960.0</v>
      </c>
      <c r="B142" s="23">
        <v>1.290405981E9</v>
      </c>
      <c r="C142" s="24" t="s">
        <v>222</v>
      </c>
      <c r="D142" s="23">
        <v>1.260722E7</v>
      </c>
      <c r="E142" s="22">
        <v>44979.0</v>
      </c>
      <c r="F142" s="25" t="s">
        <v>69</v>
      </c>
      <c r="G142" s="26">
        <v>1.0</v>
      </c>
      <c r="H142" s="25" t="s">
        <v>116</v>
      </c>
      <c r="I142" s="25" t="s">
        <v>88</v>
      </c>
      <c r="J142" s="25" t="s">
        <v>83</v>
      </c>
      <c r="K142" s="25" t="s">
        <v>73</v>
      </c>
      <c r="L142" s="25" t="str">
        <f t="shared" si="1"/>
        <v>INDIVIDUAL</v>
      </c>
      <c r="M142" s="25">
        <f t="shared" si="2"/>
        <v>2</v>
      </c>
      <c r="N142" s="25">
        <f t="shared" si="3"/>
        <v>2023</v>
      </c>
      <c r="O142" s="27" t="str">
        <f>VLOOKUP(K142,'CA y tablas'!$B$22:$C$28,2,FALSE)</f>
        <v>AMERICANO</v>
      </c>
      <c r="P142" s="28" t="str">
        <f t="shared" si="4"/>
        <v>S1</v>
      </c>
      <c r="Q142" s="29">
        <v>1.0</v>
      </c>
      <c r="R142" s="29" t="str">
        <f t="shared" si="5"/>
        <v>Q1</v>
      </c>
    </row>
    <row r="143" ht="15.75" customHeight="1">
      <c r="A143" s="30">
        <v>44970.0</v>
      </c>
      <c r="B143" s="31">
        <v>4.936512766E9</v>
      </c>
      <c r="C143" s="32" t="s">
        <v>223</v>
      </c>
      <c r="D143" s="31">
        <v>2.0285442E7</v>
      </c>
      <c r="E143" s="30">
        <v>44979.0</v>
      </c>
      <c r="F143" s="33" t="s">
        <v>69</v>
      </c>
      <c r="G143" s="34">
        <v>2.0</v>
      </c>
      <c r="H143" s="33" t="s">
        <v>116</v>
      </c>
      <c r="I143" s="33" t="s">
        <v>88</v>
      </c>
      <c r="J143" s="33" t="s">
        <v>72</v>
      </c>
      <c r="K143" s="33" t="s">
        <v>90</v>
      </c>
      <c r="L143" s="33" t="str">
        <f t="shared" si="1"/>
        <v>FAMILIAR</v>
      </c>
      <c r="M143" s="33">
        <f t="shared" si="2"/>
        <v>2</v>
      </c>
      <c r="N143" s="33">
        <f t="shared" si="3"/>
        <v>2023</v>
      </c>
      <c r="O143" s="35" t="str">
        <f>VLOOKUP(K143,'CA y tablas'!$B$22:$C$28,2,FALSE)</f>
        <v>EUROPEO</v>
      </c>
      <c r="P143" s="28" t="str">
        <f t="shared" si="4"/>
        <v>S1</v>
      </c>
      <c r="Q143" s="29">
        <v>1.0</v>
      </c>
      <c r="R143" s="29" t="str">
        <f t="shared" si="5"/>
        <v>Q1</v>
      </c>
    </row>
    <row r="144" ht="15.75" customHeight="1">
      <c r="A144" s="22">
        <v>44971.0</v>
      </c>
      <c r="B144" s="23">
        <v>3.095294462E9</v>
      </c>
      <c r="C144" s="24" t="s">
        <v>224</v>
      </c>
      <c r="D144" s="23">
        <v>2.241434E7</v>
      </c>
      <c r="E144" s="22">
        <v>44979.0</v>
      </c>
      <c r="F144" s="25" t="s">
        <v>76</v>
      </c>
      <c r="G144" s="26">
        <v>3.0</v>
      </c>
      <c r="H144" s="25" t="s">
        <v>116</v>
      </c>
      <c r="I144" s="25" t="s">
        <v>77</v>
      </c>
      <c r="J144" s="25" t="s">
        <v>72</v>
      </c>
      <c r="K144" s="25" t="s">
        <v>90</v>
      </c>
      <c r="L144" s="25" t="str">
        <f t="shared" si="1"/>
        <v>FAMILIAR</v>
      </c>
      <c r="M144" s="25">
        <f t="shared" si="2"/>
        <v>2</v>
      </c>
      <c r="N144" s="25">
        <f t="shared" si="3"/>
        <v>2023</v>
      </c>
      <c r="O144" s="27" t="str">
        <f>VLOOKUP(K144,'CA y tablas'!$B$22:$C$28,2,FALSE)</f>
        <v>EUROPEO</v>
      </c>
      <c r="P144" s="28" t="str">
        <f t="shared" si="4"/>
        <v>S1</v>
      </c>
      <c r="Q144" s="29">
        <v>1.0</v>
      </c>
      <c r="R144" s="29" t="str">
        <f t="shared" si="5"/>
        <v>Q1</v>
      </c>
    </row>
    <row r="145" ht="15.75" customHeight="1">
      <c r="A145" s="30">
        <v>44974.0</v>
      </c>
      <c r="B145" s="31">
        <v>1.414790462E9</v>
      </c>
      <c r="C145" s="32" t="s">
        <v>225</v>
      </c>
      <c r="D145" s="31">
        <v>1.6458853E7</v>
      </c>
      <c r="E145" s="30">
        <v>44979.0</v>
      </c>
      <c r="F145" s="33" t="s">
        <v>69</v>
      </c>
      <c r="G145" s="34">
        <v>2.0</v>
      </c>
      <c r="H145" s="33" t="s">
        <v>116</v>
      </c>
      <c r="I145" s="33" t="s">
        <v>77</v>
      </c>
      <c r="J145" s="33" t="s">
        <v>72</v>
      </c>
      <c r="K145" s="33" t="s">
        <v>90</v>
      </c>
      <c r="L145" s="33" t="str">
        <f t="shared" si="1"/>
        <v>FAMILIAR</v>
      </c>
      <c r="M145" s="33">
        <f t="shared" si="2"/>
        <v>2</v>
      </c>
      <c r="N145" s="33">
        <f t="shared" si="3"/>
        <v>2023</v>
      </c>
      <c r="O145" s="35" t="str">
        <f>VLOOKUP(K145,'CA y tablas'!$B$22:$C$28,2,FALSE)</f>
        <v>EUROPEO</v>
      </c>
      <c r="P145" s="28" t="str">
        <f t="shared" si="4"/>
        <v>S1</v>
      </c>
      <c r="Q145" s="29">
        <v>1.0</v>
      </c>
      <c r="R145" s="29" t="str">
        <f t="shared" si="5"/>
        <v>Q1</v>
      </c>
    </row>
    <row r="146" ht="15.75" customHeight="1">
      <c r="A146" s="22">
        <v>44974.0</v>
      </c>
      <c r="B146" s="23">
        <v>6.42653928E9</v>
      </c>
      <c r="C146" s="24" t="s">
        <v>226</v>
      </c>
      <c r="D146" s="23">
        <v>3.2144055E7</v>
      </c>
      <c r="E146" s="22">
        <v>44979.0</v>
      </c>
      <c r="F146" s="25" t="s">
        <v>69</v>
      </c>
      <c r="G146" s="26">
        <v>1.0</v>
      </c>
      <c r="H146" s="25" t="s">
        <v>116</v>
      </c>
      <c r="I146" s="25" t="s">
        <v>77</v>
      </c>
      <c r="J146" s="25" t="s">
        <v>72</v>
      </c>
      <c r="K146" s="25" t="s">
        <v>90</v>
      </c>
      <c r="L146" s="25" t="str">
        <f t="shared" si="1"/>
        <v>INDIVIDUAL</v>
      </c>
      <c r="M146" s="25">
        <f t="shared" si="2"/>
        <v>2</v>
      </c>
      <c r="N146" s="25">
        <f t="shared" si="3"/>
        <v>2023</v>
      </c>
      <c r="O146" s="27" t="str">
        <f>VLOOKUP(K146,'CA y tablas'!$B$22:$C$28,2,FALSE)</f>
        <v>EUROPEO</v>
      </c>
      <c r="P146" s="28" t="str">
        <f t="shared" si="4"/>
        <v>S1</v>
      </c>
      <c r="Q146" s="29">
        <v>1.0</v>
      </c>
      <c r="R146" s="29" t="str">
        <f t="shared" si="5"/>
        <v>Q1</v>
      </c>
    </row>
    <row r="147" ht="15.75" customHeight="1">
      <c r="A147" s="30">
        <v>44970.0</v>
      </c>
      <c r="B147" s="31">
        <v>4.561387364E9</v>
      </c>
      <c r="C147" s="32" t="s">
        <v>227</v>
      </c>
      <c r="D147" s="31">
        <v>2.5958479E7</v>
      </c>
      <c r="E147" s="30">
        <v>44980.0</v>
      </c>
      <c r="F147" s="33" t="s">
        <v>76</v>
      </c>
      <c r="G147" s="34">
        <v>1.0</v>
      </c>
      <c r="H147" s="33" t="s">
        <v>116</v>
      </c>
      <c r="I147" s="33" t="s">
        <v>77</v>
      </c>
      <c r="J147" s="33" t="s">
        <v>72</v>
      </c>
      <c r="K147" s="33" t="s">
        <v>90</v>
      </c>
      <c r="L147" s="33" t="str">
        <f t="shared" si="1"/>
        <v>INDIVIDUAL</v>
      </c>
      <c r="M147" s="33">
        <f t="shared" si="2"/>
        <v>2</v>
      </c>
      <c r="N147" s="33">
        <f t="shared" si="3"/>
        <v>2023</v>
      </c>
      <c r="O147" s="35" t="str">
        <f>VLOOKUP(K147,'CA y tablas'!$B$22:$C$28,2,FALSE)</f>
        <v>EUROPEO</v>
      </c>
      <c r="P147" s="28" t="str">
        <f t="shared" si="4"/>
        <v>S1</v>
      </c>
      <c r="Q147" s="29">
        <v>1.0</v>
      </c>
      <c r="R147" s="29" t="str">
        <f t="shared" si="5"/>
        <v>Q1</v>
      </c>
    </row>
    <row r="148" ht="15.75" customHeight="1">
      <c r="A148" s="22">
        <v>44972.0</v>
      </c>
      <c r="B148" s="23">
        <v>8.087134053E9</v>
      </c>
      <c r="C148" s="24" t="s">
        <v>228</v>
      </c>
      <c r="D148" s="23">
        <v>4.0533986E7</v>
      </c>
      <c r="E148" s="22">
        <v>44980.0</v>
      </c>
      <c r="F148" s="25" t="s">
        <v>69</v>
      </c>
      <c r="G148" s="26">
        <v>1.0</v>
      </c>
      <c r="H148" s="25" t="s">
        <v>116</v>
      </c>
      <c r="I148" s="25" t="s">
        <v>77</v>
      </c>
      <c r="J148" s="25" t="s">
        <v>72</v>
      </c>
      <c r="K148" s="25" t="s">
        <v>90</v>
      </c>
      <c r="L148" s="25" t="str">
        <f t="shared" si="1"/>
        <v>INDIVIDUAL</v>
      </c>
      <c r="M148" s="25">
        <f t="shared" si="2"/>
        <v>2</v>
      </c>
      <c r="N148" s="25">
        <f t="shared" si="3"/>
        <v>2023</v>
      </c>
      <c r="O148" s="27" t="str">
        <f>VLOOKUP(K148,'CA y tablas'!$B$22:$C$28,2,FALSE)</f>
        <v>EUROPEO</v>
      </c>
      <c r="P148" s="28" t="str">
        <f t="shared" si="4"/>
        <v>S1</v>
      </c>
      <c r="Q148" s="29">
        <v>1.0</v>
      </c>
      <c r="R148" s="29" t="str">
        <f t="shared" si="5"/>
        <v>Q1</v>
      </c>
    </row>
    <row r="149" ht="15.75" customHeight="1">
      <c r="A149" s="30">
        <v>44972.0</v>
      </c>
      <c r="B149" s="31">
        <v>8.087146701E9</v>
      </c>
      <c r="C149" s="32" t="s">
        <v>229</v>
      </c>
      <c r="D149" s="31">
        <v>2.2664332E7</v>
      </c>
      <c r="E149" s="30">
        <v>44980.0</v>
      </c>
      <c r="F149" s="33" t="s">
        <v>69</v>
      </c>
      <c r="G149" s="34">
        <v>2.0</v>
      </c>
      <c r="H149" s="33" t="s">
        <v>116</v>
      </c>
      <c r="I149" s="33" t="s">
        <v>88</v>
      </c>
      <c r="J149" s="33" t="s">
        <v>72</v>
      </c>
      <c r="K149" s="33" t="s">
        <v>90</v>
      </c>
      <c r="L149" s="33" t="str">
        <f t="shared" si="1"/>
        <v>FAMILIAR</v>
      </c>
      <c r="M149" s="33">
        <f t="shared" si="2"/>
        <v>2</v>
      </c>
      <c r="N149" s="33">
        <f t="shared" si="3"/>
        <v>2023</v>
      </c>
      <c r="O149" s="35" t="str">
        <f>VLOOKUP(K149,'CA y tablas'!$B$22:$C$28,2,FALSE)</f>
        <v>EUROPEO</v>
      </c>
      <c r="P149" s="28" t="str">
        <f t="shared" si="4"/>
        <v>S1</v>
      </c>
      <c r="Q149" s="29">
        <v>1.0</v>
      </c>
      <c r="R149" s="29" t="str">
        <f t="shared" si="5"/>
        <v>Q1</v>
      </c>
    </row>
    <row r="150" ht="15.75" customHeight="1">
      <c r="A150" s="22">
        <v>44973.0</v>
      </c>
      <c r="B150" s="23">
        <v>5.738105365E9</v>
      </c>
      <c r="C150" s="24" t="s">
        <v>229</v>
      </c>
      <c r="D150" s="23">
        <v>2.2664332E7</v>
      </c>
      <c r="E150" s="22">
        <v>44980.0</v>
      </c>
      <c r="F150" s="25" t="s">
        <v>69</v>
      </c>
      <c r="G150" s="26">
        <v>2.0</v>
      </c>
      <c r="H150" s="25" t="s">
        <v>116</v>
      </c>
      <c r="I150" s="25" t="s">
        <v>88</v>
      </c>
      <c r="J150" s="25" t="s">
        <v>79</v>
      </c>
      <c r="K150" s="25" t="s">
        <v>90</v>
      </c>
      <c r="L150" s="25" t="str">
        <f t="shared" si="1"/>
        <v>FAMILIAR</v>
      </c>
      <c r="M150" s="25">
        <f t="shared" si="2"/>
        <v>2</v>
      </c>
      <c r="N150" s="25">
        <f t="shared" si="3"/>
        <v>2023</v>
      </c>
      <c r="O150" s="27" t="str">
        <f>VLOOKUP(K150,'CA y tablas'!$B$22:$C$28,2,FALSE)</f>
        <v>EUROPEO</v>
      </c>
      <c r="P150" s="28" t="str">
        <f t="shared" si="4"/>
        <v>S1</v>
      </c>
      <c r="Q150" s="29">
        <v>1.0</v>
      </c>
      <c r="R150" s="29" t="str">
        <f t="shared" si="5"/>
        <v>Q1</v>
      </c>
    </row>
    <row r="151" ht="15.75" customHeight="1">
      <c r="A151" s="30">
        <v>44973.0</v>
      </c>
      <c r="B151" s="31">
        <v>7.07913689E9</v>
      </c>
      <c r="C151" s="32" t="s">
        <v>229</v>
      </c>
      <c r="D151" s="31">
        <v>2.2664332E7</v>
      </c>
      <c r="E151" s="30">
        <v>44980.0</v>
      </c>
      <c r="F151" s="33" t="s">
        <v>69</v>
      </c>
      <c r="G151" s="34">
        <v>3.0</v>
      </c>
      <c r="H151" s="33" t="s">
        <v>70</v>
      </c>
      <c r="I151" s="33" t="s">
        <v>88</v>
      </c>
      <c r="J151" s="33" t="s">
        <v>79</v>
      </c>
      <c r="K151" s="33" t="s">
        <v>90</v>
      </c>
      <c r="L151" s="33" t="str">
        <f t="shared" si="1"/>
        <v>FAMILIAR</v>
      </c>
      <c r="M151" s="33">
        <f t="shared" si="2"/>
        <v>2</v>
      </c>
      <c r="N151" s="33">
        <f t="shared" si="3"/>
        <v>2023</v>
      </c>
      <c r="O151" s="35" t="str">
        <f>VLOOKUP(K151,'CA y tablas'!$B$22:$C$28,2,FALSE)</f>
        <v>EUROPEO</v>
      </c>
      <c r="P151" s="28" t="str">
        <f t="shared" si="4"/>
        <v>S1</v>
      </c>
      <c r="Q151" s="29">
        <v>1.0</v>
      </c>
      <c r="R151" s="29" t="str">
        <f t="shared" si="5"/>
        <v>Q1</v>
      </c>
    </row>
    <row r="152" ht="15.75" customHeight="1">
      <c r="A152" s="22">
        <v>44979.0</v>
      </c>
      <c r="B152" s="23">
        <v>3.243359895E9</v>
      </c>
      <c r="C152" s="24" t="s">
        <v>230</v>
      </c>
      <c r="D152" s="23">
        <v>4.322717E7</v>
      </c>
      <c r="E152" s="22">
        <v>44980.0</v>
      </c>
      <c r="F152" s="25" t="s">
        <v>69</v>
      </c>
      <c r="G152" s="26">
        <v>3.0</v>
      </c>
      <c r="H152" s="25" t="s">
        <v>70</v>
      </c>
      <c r="I152" s="25" t="s">
        <v>88</v>
      </c>
      <c r="J152" s="25" t="s">
        <v>79</v>
      </c>
      <c r="K152" s="25" t="s">
        <v>90</v>
      </c>
      <c r="L152" s="25" t="str">
        <f t="shared" si="1"/>
        <v>FAMILIAR</v>
      </c>
      <c r="M152" s="25">
        <f t="shared" si="2"/>
        <v>2</v>
      </c>
      <c r="N152" s="25">
        <f t="shared" si="3"/>
        <v>2023</v>
      </c>
      <c r="O152" s="27" t="str">
        <f>VLOOKUP(K152,'CA y tablas'!$B$22:$C$28,2,FALSE)</f>
        <v>EUROPEO</v>
      </c>
      <c r="P152" s="28" t="str">
        <f t="shared" si="4"/>
        <v>S1</v>
      </c>
      <c r="Q152" s="29">
        <v>1.0</v>
      </c>
      <c r="R152" s="29" t="str">
        <f t="shared" si="5"/>
        <v>Q1</v>
      </c>
    </row>
    <row r="153" ht="15.75" customHeight="1">
      <c r="A153" s="30">
        <v>44980.0</v>
      </c>
      <c r="B153" s="31">
        <v>4.090829805E9</v>
      </c>
      <c r="C153" s="32" t="s">
        <v>231</v>
      </c>
      <c r="D153" s="31">
        <v>1.8506833E7</v>
      </c>
      <c r="E153" s="30">
        <v>44981.0</v>
      </c>
      <c r="F153" s="33" t="s">
        <v>69</v>
      </c>
      <c r="G153" s="34">
        <v>3.0</v>
      </c>
      <c r="H153" s="33" t="s">
        <v>70</v>
      </c>
      <c r="I153" s="33" t="s">
        <v>77</v>
      </c>
      <c r="J153" s="33" t="s">
        <v>79</v>
      </c>
      <c r="K153" s="33" t="s">
        <v>90</v>
      </c>
      <c r="L153" s="33" t="str">
        <f t="shared" si="1"/>
        <v>FAMILIAR</v>
      </c>
      <c r="M153" s="33">
        <f t="shared" si="2"/>
        <v>2</v>
      </c>
      <c r="N153" s="33">
        <f t="shared" si="3"/>
        <v>2023</v>
      </c>
      <c r="O153" s="35" t="str">
        <f>VLOOKUP(K153,'CA y tablas'!$B$22:$C$28,2,FALSE)</f>
        <v>EUROPEO</v>
      </c>
      <c r="P153" s="28" t="str">
        <f t="shared" si="4"/>
        <v>S1</v>
      </c>
      <c r="Q153" s="29">
        <v>1.0</v>
      </c>
      <c r="R153" s="29" t="str">
        <f t="shared" si="5"/>
        <v>Q1</v>
      </c>
    </row>
    <row r="154" ht="15.75" customHeight="1">
      <c r="A154" s="22">
        <v>44970.0</v>
      </c>
      <c r="B154" s="23">
        <v>8.343811965E9</v>
      </c>
      <c r="C154" s="24" t="s">
        <v>232</v>
      </c>
      <c r="D154" s="23">
        <v>3.2460461E7</v>
      </c>
      <c r="E154" s="22">
        <v>44984.0</v>
      </c>
      <c r="F154" s="25" t="s">
        <v>69</v>
      </c>
      <c r="G154" s="26">
        <v>3.0</v>
      </c>
      <c r="H154" s="25" t="s">
        <v>70</v>
      </c>
      <c r="I154" s="25" t="s">
        <v>77</v>
      </c>
      <c r="J154" s="25" t="s">
        <v>93</v>
      </c>
      <c r="K154" s="25" t="s">
        <v>90</v>
      </c>
      <c r="L154" s="25" t="str">
        <f t="shared" si="1"/>
        <v>FAMILIAR</v>
      </c>
      <c r="M154" s="25">
        <f t="shared" si="2"/>
        <v>2</v>
      </c>
      <c r="N154" s="25">
        <f t="shared" si="3"/>
        <v>2023</v>
      </c>
      <c r="O154" s="27" t="str">
        <f>VLOOKUP(K154,'CA y tablas'!$B$22:$C$28,2,FALSE)</f>
        <v>EUROPEO</v>
      </c>
      <c r="P154" s="28" t="str">
        <f t="shared" si="4"/>
        <v>S1</v>
      </c>
      <c r="Q154" s="29">
        <v>1.0</v>
      </c>
      <c r="R154" s="29" t="str">
        <f t="shared" si="5"/>
        <v>Q1</v>
      </c>
    </row>
    <row r="155" ht="15.75" customHeight="1">
      <c r="A155" s="30">
        <v>44980.0</v>
      </c>
      <c r="B155" s="31">
        <v>1.216497391E9</v>
      </c>
      <c r="C155" s="32" t="s">
        <v>233</v>
      </c>
      <c r="D155" s="31">
        <v>3.8249445E7</v>
      </c>
      <c r="E155" s="30">
        <v>44984.0</v>
      </c>
      <c r="F155" s="33" t="s">
        <v>69</v>
      </c>
      <c r="G155" s="34">
        <v>3.0</v>
      </c>
      <c r="H155" s="33" t="s">
        <v>70</v>
      </c>
      <c r="I155" s="33" t="s">
        <v>77</v>
      </c>
      <c r="J155" s="33" t="s">
        <v>93</v>
      </c>
      <c r="K155" s="33" t="s">
        <v>90</v>
      </c>
      <c r="L155" s="33" t="str">
        <f t="shared" si="1"/>
        <v>FAMILIAR</v>
      </c>
      <c r="M155" s="33">
        <f t="shared" si="2"/>
        <v>2</v>
      </c>
      <c r="N155" s="33">
        <f t="shared" si="3"/>
        <v>2023</v>
      </c>
      <c r="O155" s="35" t="str">
        <f>VLOOKUP(K155,'CA y tablas'!$B$22:$C$28,2,FALSE)</f>
        <v>EUROPEO</v>
      </c>
      <c r="P155" s="28" t="str">
        <f t="shared" si="4"/>
        <v>S1</v>
      </c>
      <c r="Q155" s="29">
        <v>1.0</v>
      </c>
      <c r="R155" s="29" t="str">
        <f t="shared" si="5"/>
        <v>Q1</v>
      </c>
    </row>
    <row r="156" ht="15.75" customHeight="1">
      <c r="A156" s="22">
        <v>44984.0</v>
      </c>
      <c r="B156" s="23">
        <v>4.210819852E9</v>
      </c>
      <c r="C156" s="24" t="s">
        <v>234</v>
      </c>
      <c r="D156" s="23">
        <v>4.527434E7</v>
      </c>
      <c r="E156" s="22">
        <v>44984.0</v>
      </c>
      <c r="F156" s="25" t="s">
        <v>69</v>
      </c>
      <c r="G156" s="26">
        <v>1.0</v>
      </c>
      <c r="H156" s="25" t="s">
        <v>70</v>
      </c>
      <c r="I156" s="25" t="s">
        <v>77</v>
      </c>
      <c r="J156" s="25" t="s">
        <v>93</v>
      </c>
      <c r="K156" s="25" t="s">
        <v>90</v>
      </c>
      <c r="L156" s="25" t="str">
        <f t="shared" si="1"/>
        <v>INDIVIDUAL</v>
      </c>
      <c r="M156" s="25">
        <f t="shared" si="2"/>
        <v>2</v>
      </c>
      <c r="N156" s="25">
        <f t="shared" si="3"/>
        <v>2023</v>
      </c>
      <c r="O156" s="27" t="str">
        <f>VLOOKUP(K156,'CA y tablas'!$B$22:$C$28,2,FALSE)</f>
        <v>EUROPEO</v>
      </c>
      <c r="P156" s="28" t="str">
        <f t="shared" si="4"/>
        <v>S1</v>
      </c>
      <c r="Q156" s="29">
        <v>1.0</v>
      </c>
      <c r="R156" s="29" t="str">
        <f t="shared" si="5"/>
        <v>Q1</v>
      </c>
    </row>
    <row r="157" ht="15.75" customHeight="1">
      <c r="A157" s="30">
        <v>44984.0</v>
      </c>
      <c r="B157" s="31">
        <v>4.609606282E9</v>
      </c>
      <c r="C157" s="32" t="s">
        <v>235</v>
      </c>
      <c r="D157" s="31">
        <v>4.2008664E7</v>
      </c>
      <c r="E157" s="30">
        <v>44984.0</v>
      </c>
      <c r="F157" s="33" t="s">
        <v>76</v>
      </c>
      <c r="G157" s="34">
        <v>1.0</v>
      </c>
      <c r="H157" s="33" t="s">
        <v>92</v>
      </c>
      <c r="I157" s="33" t="s">
        <v>77</v>
      </c>
      <c r="J157" s="33" t="s">
        <v>93</v>
      </c>
      <c r="K157" s="33" t="s">
        <v>217</v>
      </c>
      <c r="L157" s="33" t="str">
        <f t="shared" si="1"/>
        <v>INDIVIDUAL</v>
      </c>
      <c r="M157" s="33">
        <f t="shared" si="2"/>
        <v>2</v>
      </c>
      <c r="N157" s="33">
        <f t="shared" si="3"/>
        <v>2023</v>
      </c>
      <c r="O157" s="35" t="str">
        <f>VLOOKUP(K157,'CA y tablas'!$B$22:$C$28,2,FALSE)</f>
        <v>ASIATICO</v>
      </c>
      <c r="P157" s="28" t="str">
        <f t="shared" si="4"/>
        <v>S1</v>
      </c>
      <c r="Q157" s="29">
        <v>1.0</v>
      </c>
      <c r="R157" s="29" t="str">
        <f t="shared" si="5"/>
        <v>Q1</v>
      </c>
    </row>
    <row r="158" ht="15.75" customHeight="1">
      <c r="A158" s="22">
        <v>44985.0</v>
      </c>
      <c r="B158" s="23">
        <v>2.804248381E9</v>
      </c>
      <c r="C158" s="24" t="s">
        <v>236</v>
      </c>
      <c r="D158" s="23">
        <v>2.9433654E7</v>
      </c>
      <c r="E158" s="22">
        <v>44985.0</v>
      </c>
      <c r="F158" s="25" t="s">
        <v>76</v>
      </c>
      <c r="G158" s="26">
        <v>1.0</v>
      </c>
      <c r="H158" s="25" t="s">
        <v>92</v>
      </c>
      <c r="I158" s="25" t="s">
        <v>77</v>
      </c>
      <c r="J158" s="25" t="s">
        <v>93</v>
      </c>
      <c r="K158" s="25" t="s">
        <v>217</v>
      </c>
      <c r="L158" s="25" t="str">
        <f t="shared" si="1"/>
        <v>INDIVIDUAL</v>
      </c>
      <c r="M158" s="25">
        <f t="shared" si="2"/>
        <v>2</v>
      </c>
      <c r="N158" s="25">
        <f t="shared" si="3"/>
        <v>2023</v>
      </c>
      <c r="O158" s="27" t="str">
        <f>VLOOKUP(K158,'CA y tablas'!$B$22:$C$28,2,FALSE)</f>
        <v>ASIATICO</v>
      </c>
      <c r="P158" s="28" t="str">
        <f t="shared" si="4"/>
        <v>S1</v>
      </c>
      <c r="Q158" s="29">
        <v>1.0</v>
      </c>
      <c r="R158" s="29" t="str">
        <f t="shared" si="5"/>
        <v>Q1</v>
      </c>
    </row>
    <row r="159" ht="15.75" customHeight="1">
      <c r="A159" s="30">
        <v>44979.0</v>
      </c>
      <c r="B159" s="31">
        <v>6.063147543E9</v>
      </c>
      <c r="C159" s="32" t="s">
        <v>237</v>
      </c>
      <c r="D159" s="31">
        <v>3.9142232E7</v>
      </c>
      <c r="E159" s="30">
        <v>44986.0</v>
      </c>
      <c r="F159" s="33" t="s">
        <v>76</v>
      </c>
      <c r="G159" s="34">
        <v>2.0</v>
      </c>
      <c r="H159" s="33" t="s">
        <v>92</v>
      </c>
      <c r="I159" s="33" t="s">
        <v>77</v>
      </c>
      <c r="J159" s="33" t="s">
        <v>93</v>
      </c>
      <c r="K159" s="33" t="s">
        <v>73</v>
      </c>
      <c r="L159" s="33" t="str">
        <f t="shared" si="1"/>
        <v>FAMILIAR</v>
      </c>
      <c r="M159" s="33">
        <f t="shared" si="2"/>
        <v>3</v>
      </c>
      <c r="N159" s="33">
        <f t="shared" si="3"/>
        <v>2023</v>
      </c>
      <c r="O159" s="35" t="str">
        <f>VLOOKUP(K159,'CA y tablas'!$B$22:$C$28,2,FALSE)</f>
        <v>AMERICANO</v>
      </c>
      <c r="P159" s="28" t="str">
        <f t="shared" si="4"/>
        <v>S1</v>
      </c>
      <c r="Q159" s="29">
        <v>1.0</v>
      </c>
      <c r="R159" s="29" t="str">
        <f t="shared" si="5"/>
        <v>Q1</v>
      </c>
    </row>
    <row r="160" ht="15.75" customHeight="1">
      <c r="A160" s="22">
        <v>44980.0</v>
      </c>
      <c r="B160" s="23">
        <v>6.838434761E9</v>
      </c>
      <c r="C160" s="24" t="s">
        <v>237</v>
      </c>
      <c r="D160" s="23">
        <v>3.9142232E7</v>
      </c>
      <c r="E160" s="22">
        <v>44986.0</v>
      </c>
      <c r="F160" s="25" t="s">
        <v>76</v>
      </c>
      <c r="G160" s="26">
        <v>2.0</v>
      </c>
      <c r="H160" s="25" t="s">
        <v>92</v>
      </c>
      <c r="I160" s="25" t="s">
        <v>77</v>
      </c>
      <c r="J160" s="25" t="s">
        <v>98</v>
      </c>
      <c r="K160" s="25" t="s">
        <v>73</v>
      </c>
      <c r="L160" s="25" t="str">
        <f t="shared" si="1"/>
        <v>FAMILIAR</v>
      </c>
      <c r="M160" s="25">
        <f t="shared" si="2"/>
        <v>3</v>
      </c>
      <c r="N160" s="25">
        <f t="shared" si="3"/>
        <v>2023</v>
      </c>
      <c r="O160" s="27" t="str">
        <f>VLOOKUP(K160,'CA y tablas'!$B$22:$C$28,2,FALSE)</f>
        <v>AMERICANO</v>
      </c>
      <c r="P160" s="28" t="str">
        <f t="shared" si="4"/>
        <v>S1</v>
      </c>
      <c r="Q160" s="29">
        <v>1.0</v>
      </c>
      <c r="R160" s="29" t="str">
        <f t="shared" si="5"/>
        <v>Q1</v>
      </c>
    </row>
    <row r="161" ht="15.75" customHeight="1">
      <c r="A161" s="30">
        <v>44984.0</v>
      </c>
      <c r="B161" s="31">
        <v>5.567814836E9</v>
      </c>
      <c r="C161" s="32" t="s">
        <v>238</v>
      </c>
      <c r="D161" s="31">
        <v>1.693476E7</v>
      </c>
      <c r="E161" s="30">
        <v>44986.0</v>
      </c>
      <c r="F161" s="33" t="s">
        <v>76</v>
      </c>
      <c r="G161" s="34">
        <v>3.0</v>
      </c>
      <c r="H161" s="33" t="s">
        <v>92</v>
      </c>
      <c r="I161" s="33" t="s">
        <v>77</v>
      </c>
      <c r="J161" s="33" t="s">
        <v>98</v>
      </c>
      <c r="K161" s="33" t="s">
        <v>73</v>
      </c>
      <c r="L161" s="33" t="str">
        <f t="shared" si="1"/>
        <v>FAMILIAR</v>
      </c>
      <c r="M161" s="33">
        <f t="shared" si="2"/>
        <v>3</v>
      </c>
      <c r="N161" s="33">
        <f t="shared" si="3"/>
        <v>2023</v>
      </c>
      <c r="O161" s="35" t="str">
        <f>VLOOKUP(K161,'CA y tablas'!$B$22:$C$28,2,FALSE)</f>
        <v>AMERICANO</v>
      </c>
      <c r="P161" s="28" t="str">
        <f t="shared" si="4"/>
        <v>S1</v>
      </c>
      <c r="Q161" s="29">
        <v>1.0</v>
      </c>
      <c r="R161" s="29" t="str">
        <f t="shared" si="5"/>
        <v>Q1</v>
      </c>
    </row>
    <row r="162" ht="15.75" customHeight="1">
      <c r="A162" s="22">
        <v>44985.0</v>
      </c>
      <c r="B162" s="23">
        <v>3.20751207E9</v>
      </c>
      <c r="C162" s="24" t="s">
        <v>239</v>
      </c>
      <c r="D162" s="23">
        <v>2.1682924E7</v>
      </c>
      <c r="E162" s="22">
        <v>44987.0</v>
      </c>
      <c r="F162" s="25" t="s">
        <v>76</v>
      </c>
      <c r="G162" s="26">
        <v>2.0</v>
      </c>
      <c r="H162" s="25" t="s">
        <v>92</v>
      </c>
      <c r="I162" s="25" t="s">
        <v>77</v>
      </c>
      <c r="J162" s="25" t="s">
        <v>98</v>
      </c>
      <c r="K162" s="25" t="s">
        <v>73</v>
      </c>
      <c r="L162" s="25" t="str">
        <f t="shared" si="1"/>
        <v>FAMILIAR</v>
      </c>
      <c r="M162" s="25">
        <f t="shared" si="2"/>
        <v>3</v>
      </c>
      <c r="N162" s="25">
        <f t="shared" si="3"/>
        <v>2023</v>
      </c>
      <c r="O162" s="27" t="str">
        <f>VLOOKUP(K162,'CA y tablas'!$B$22:$C$28,2,FALSE)</f>
        <v>AMERICANO</v>
      </c>
      <c r="P162" s="28" t="str">
        <f t="shared" si="4"/>
        <v>S1</v>
      </c>
      <c r="Q162" s="29">
        <v>1.0</v>
      </c>
      <c r="R162" s="29" t="str">
        <f t="shared" si="5"/>
        <v>Q1</v>
      </c>
    </row>
    <row r="163" ht="15.75" customHeight="1">
      <c r="A163" s="30">
        <v>44988.0</v>
      </c>
      <c r="B163" s="31">
        <v>4.904506294E9</v>
      </c>
      <c r="C163" s="32" t="s">
        <v>240</v>
      </c>
      <c r="D163" s="31">
        <v>3.5921658E7</v>
      </c>
      <c r="E163" s="30">
        <v>44988.0</v>
      </c>
      <c r="F163" s="33" t="s">
        <v>76</v>
      </c>
      <c r="G163" s="34">
        <v>2.0</v>
      </c>
      <c r="H163" s="33" t="s">
        <v>92</v>
      </c>
      <c r="I163" s="33" t="s">
        <v>77</v>
      </c>
      <c r="J163" s="33" t="s">
        <v>98</v>
      </c>
      <c r="K163" s="33" t="s">
        <v>107</v>
      </c>
      <c r="L163" s="33" t="str">
        <f t="shared" si="1"/>
        <v>FAMILIAR</v>
      </c>
      <c r="M163" s="33">
        <f t="shared" si="2"/>
        <v>3</v>
      </c>
      <c r="N163" s="33">
        <f t="shared" si="3"/>
        <v>2023</v>
      </c>
      <c r="O163" s="35" t="str">
        <f>VLOOKUP(K163,'CA y tablas'!$B$22:$C$28,2,FALSE)</f>
        <v>AMERICANO</v>
      </c>
      <c r="P163" s="28" t="str">
        <f t="shared" si="4"/>
        <v>S1</v>
      </c>
      <c r="Q163" s="29">
        <v>1.0</v>
      </c>
      <c r="R163" s="29" t="str">
        <f t="shared" si="5"/>
        <v>Q1</v>
      </c>
    </row>
    <row r="164" ht="15.75" customHeight="1">
      <c r="A164" s="22">
        <v>44972.0</v>
      </c>
      <c r="B164" s="23">
        <v>4.601480251E9</v>
      </c>
      <c r="C164" s="24" t="s">
        <v>241</v>
      </c>
      <c r="D164" s="23">
        <v>3.1030538E7</v>
      </c>
      <c r="E164" s="22">
        <v>44991.0</v>
      </c>
      <c r="F164" s="25" t="s">
        <v>69</v>
      </c>
      <c r="G164" s="26">
        <v>2.0</v>
      </c>
      <c r="H164" s="25" t="s">
        <v>70</v>
      </c>
      <c r="I164" s="25" t="s">
        <v>77</v>
      </c>
      <c r="J164" s="25" t="s">
        <v>98</v>
      </c>
      <c r="K164" s="25" t="s">
        <v>107</v>
      </c>
      <c r="L164" s="25" t="str">
        <f t="shared" si="1"/>
        <v>FAMILIAR</v>
      </c>
      <c r="M164" s="25">
        <f t="shared" si="2"/>
        <v>3</v>
      </c>
      <c r="N164" s="25">
        <f t="shared" si="3"/>
        <v>2023</v>
      </c>
      <c r="O164" s="27" t="str">
        <f>VLOOKUP(K164,'CA y tablas'!$B$22:$C$28,2,FALSE)</f>
        <v>AMERICANO</v>
      </c>
      <c r="P164" s="28" t="str">
        <f t="shared" si="4"/>
        <v>S1</v>
      </c>
      <c r="Q164" s="29">
        <v>1.0</v>
      </c>
      <c r="R164" s="29" t="str">
        <f t="shared" si="5"/>
        <v>Q1</v>
      </c>
    </row>
    <row r="165" ht="15.75" customHeight="1">
      <c r="A165" s="30">
        <v>44986.0</v>
      </c>
      <c r="B165" s="31">
        <v>6.662259402E9</v>
      </c>
      <c r="C165" s="32" t="s">
        <v>242</v>
      </c>
      <c r="D165" s="31">
        <v>3.3817484E7</v>
      </c>
      <c r="E165" s="30">
        <v>44991.0</v>
      </c>
      <c r="F165" s="33" t="s">
        <v>69</v>
      </c>
      <c r="G165" s="34">
        <v>2.0</v>
      </c>
      <c r="H165" s="33" t="s">
        <v>70</v>
      </c>
      <c r="I165" s="33" t="s">
        <v>77</v>
      </c>
      <c r="J165" s="33" t="s">
        <v>98</v>
      </c>
      <c r="K165" s="33" t="s">
        <v>107</v>
      </c>
      <c r="L165" s="33" t="str">
        <f t="shared" si="1"/>
        <v>FAMILIAR</v>
      </c>
      <c r="M165" s="33">
        <f t="shared" si="2"/>
        <v>3</v>
      </c>
      <c r="N165" s="33">
        <f t="shared" si="3"/>
        <v>2023</v>
      </c>
      <c r="O165" s="35" t="str">
        <f>VLOOKUP(K165,'CA y tablas'!$B$22:$C$28,2,FALSE)</f>
        <v>AMERICANO</v>
      </c>
      <c r="P165" s="28" t="str">
        <f t="shared" si="4"/>
        <v>S1</v>
      </c>
      <c r="Q165" s="29">
        <v>1.0</v>
      </c>
      <c r="R165" s="29" t="str">
        <f t="shared" si="5"/>
        <v>Q1</v>
      </c>
    </row>
    <row r="166" ht="15.75" customHeight="1">
      <c r="A166" s="22">
        <v>44987.0</v>
      </c>
      <c r="B166" s="23">
        <v>6.399409634E9</v>
      </c>
      <c r="C166" s="24" t="s">
        <v>243</v>
      </c>
      <c r="D166" s="23">
        <v>3.9138909E7</v>
      </c>
      <c r="E166" s="22">
        <v>44991.0</v>
      </c>
      <c r="F166" s="25" t="s">
        <v>69</v>
      </c>
      <c r="G166" s="26">
        <v>2.0</v>
      </c>
      <c r="H166" s="25" t="s">
        <v>70</v>
      </c>
      <c r="I166" s="25" t="s">
        <v>77</v>
      </c>
      <c r="J166" s="25" t="s">
        <v>98</v>
      </c>
      <c r="K166" s="25" t="s">
        <v>107</v>
      </c>
      <c r="L166" s="25" t="str">
        <f t="shared" si="1"/>
        <v>FAMILIAR</v>
      </c>
      <c r="M166" s="25">
        <f t="shared" si="2"/>
        <v>3</v>
      </c>
      <c r="N166" s="25">
        <f t="shared" si="3"/>
        <v>2023</v>
      </c>
      <c r="O166" s="27" t="str">
        <f>VLOOKUP(K166,'CA y tablas'!$B$22:$C$28,2,FALSE)</f>
        <v>AMERICANO</v>
      </c>
      <c r="P166" s="28" t="str">
        <f t="shared" si="4"/>
        <v>S1</v>
      </c>
      <c r="Q166" s="29">
        <v>1.0</v>
      </c>
      <c r="R166" s="29" t="str">
        <f t="shared" si="5"/>
        <v>Q1</v>
      </c>
    </row>
    <row r="167" ht="15.75" customHeight="1">
      <c r="A167" s="30">
        <v>44987.0</v>
      </c>
      <c r="B167" s="31">
        <v>6.399408886E9</v>
      </c>
      <c r="C167" s="32" t="s">
        <v>243</v>
      </c>
      <c r="D167" s="31">
        <v>3.9138909E7</v>
      </c>
      <c r="E167" s="30">
        <v>44991.0</v>
      </c>
      <c r="F167" s="33" t="s">
        <v>69</v>
      </c>
      <c r="G167" s="34">
        <v>2.0</v>
      </c>
      <c r="H167" s="33" t="s">
        <v>70</v>
      </c>
      <c r="I167" s="33" t="s">
        <v>77</v>
      </c>
      <c r="J167" s="33" t="s">
        <v>98</v>
      </c>
      <c r="K167" s="33" t="s">
        <v>103</v>
      </c>
      <c r="L167" s="33" t="str">
        <f t="shared" si="1"/>
        <v>FAMILIAR</v>
      </c>
      <c r="M167" s="33">
        <f t="shared" si="2"/>
        <v>3</v>
      </c>
      <c r="N167" s="33">
        <f t="shared" si="3"/>
        <v>2023</v>
      </c>
      <c r="O167" s="35" t="str">
        <f>VLOOKUP(K167,'CA y tablas'!$B$22:$C$28,2,FALSE)</f>
        <v>EUROPEO</v>
      </c>
      <c r="P167" s="28" t="str">
        <f t="shared" si="4"/>
        <v>S1</v>
      </c>
      <c r="Q167" s="29">
        <v>1.0</v>
      </c>
      <c r="R167" s="29" t="str">
        <f t="shared" si="5"/>
        <v>Q1</v>
      </c>
    </row>
    <row r="168" ht="15.75" customHeight="1">
      <c r="A168" s="22">
        <v>44991.0</v>
      </c>
      <c r="B168" s="23">
        <v>1.448927255E9</v>
      </c>
      <c r="C168" s="24" t="s">
        <v>244</v>
      </c>
      <c r="D168" s="23">
        <v>3.5807355E7</v>
      </c>
      <c r="E168" s="22">
        <v>44991.0</v>
      </c>
      <c r="F168" s="25" t="s">
        <v>76</v>
      </c>
      <c r="G168" s="26">
        <v>1.0</v>
      </c>
      <c r="H168" s="25" t="s">
        <v>70</v>
      </c>
      <c r="I168" s="25" t="s">
        <v>77</v>
      </c>
      <c r="J168" s="25" t="s">
        <v>98</v>
      </c>
      <c r="K168" s="25" t="s">
        <v>103</v>
      </c>
      <c r="L168" s="25" t="str">
        <f t="shared" si="1"/>
        <v>INDIVIDUAL</v>
      </c>
      <c r="M168" s="25">
        <f t="shared" si="2"/>
        <v>3</v>
      </c>
      <c r="N168" s="25">
        <f t="shared" si="3"/>
        <v>2023</v>
      </c>
      <c r="O168" s="27" t="str">
        <f>VLOOKUP(K168,'CA y tablas'!$B$22:$C$28,2,FALSE)</f>
        <v>EUROPEO</v>
      </c>
      <c r="P168" s="28" t="str">
        <f t="shared" si="4"/>
        <v>S1</v>
      </c>
      <c r="Q168" s="29">
        <v>1.0</v>
      </c>
      <c r="R168" s="29" t="str">
        <f t="shared" si="5"/>
        <v>Q1</v>
      </c>
    </row>
    <row r="169" ht="15.75" customHeight="1">
      <c r="A169" s="30">
        <v>44986.0</v>
      </c>
      <c r="B169" s="31">
        <v>4.790378434E9</v>
      </c>
      <c r="C169" s="32" t="s">
        <v>245</v>
      </c>
      <c r="D169" s="31"/>
      <c r="E169" s="30">
        <v>44992.0</v>
      </c>
      <c r="F169" s="33" t="s">
        <v>69</v>
      </c>
      <c r="G169" s="34">
        <v>1.0</v>
      </c>
      <c r="H169" s="33" t="s">
        <v>70</v>
      </c>
      <c r="I169" s="33" t="s">
        <v>77</v>
      </c>
      <c r="J169" s="33" t="s">
        <v>79</v>
      </c>
      <c r="K169" s="33" t="s">
        <v>103</v>
      </c>
      <c r="L169" s="33" t="str">
        <f t="shared" si="1"/>
        <v>INDIVIDUAL</v>
      </c>
      <c r="M169" s="33">
        <f t="shared" si="2"/>
        <v>3</v>
      </c>
      <c r="N169" s="33">
        <f t="shared" si="3"/>
        <v>2023</v>
      </c>
      <c r="O169" s="35" t="str">
        <f>VLOOKUP(K169,'CA y tablas'!$B$22:$C$28,2,FALSE)</f>
        <v>EUROPEO</v>
      </c>
      <c r="P169" s="28" t="str">
        <f t="shared" si="4"/>
        <v>S1</v>
      </c>
      <c r="Q169" s="29">
        <v>1.0</v>
      </c>
      <c r="R169" s="29" t="str">
        <f t="shared" si="5"/>
        <v>Q1</v>
      </c>
    </row>
    <row r="170" ht="15.75" customHeight="1">
      <c r="A170" s="22">
        <v>44987.0</v>
      </c>
      <c r="B170" s="23">
        <v>1.4489643E9</v>
      </c>
      <c r="C170" s="24" t="s">
        <v>246</v>
      </c>
      <c r="D170" s="23">
        <v>2.9786187E7</v>
      </c>
      <c r="E170" s="22">
        <v>44992.0</v>
      </c>
      <c r="F170" s="25" t="s">
        <v>69</v>
      </c>
      <c r="G170" s="26">
        <v>2.0</v>
      </c>
      <c r="H170" s="25" t="s">
        <v>70</v>
      </c>
      <c r="I170" s="25" t="s">
        <v>77</v>
      </c>
      <c r="J170" s="25" t="s">
        <v>79</v>
      </c>
      <c r="K170" s="25" t="s">
        <v>103</v>
      </c>
      <c r="L170" s="25" t="str">
        <f t="shared" si="1"/>
        <v>FAMILIAR</v>
      </c>
      <c r="M170" s="25">
        <f t="shared" si="2"/>
        <v>3</v>
      </c>
      <c r="N170" s="25">
        <f t="shared" si="3"/>
        <v>2023</v>
      </c>
      <c r="O170" s="27" t="str">
        <f>VLOOKUP(K170,'CA y tablas'!$B$22:$C$28,2,FALSE)</f>
        <v>EUROPEO</v>
      </c>
      <c r="P170" s="28" t="str">
        <f t="shared" si="4"/>
        <v>S1</v>
      </c>
      <c r="Q170" s="29">
        <v>1.0</v>
      </c>
      <c r="R170" s="29" t="str">
        <f t="shared" si="5"/>
        <v>Q1</v>
      </c>
    </row>
    <row r="171" ht="15.75" customHeight="1">
      <c r="A171" s="30">
        <v>44992.0</v>
      </c>
      <c r="B171" s="31">
        <v>3.007630124E9</v>
      </c>
      <c r="C171" s="32" t="s">
        <v>247</v>
      </c>
      <c r="D171" s="31">
        <v>4.4638315E7</v>
      </c>
      <c r="E171" s="30">
        <v>44993.0</v>
      </c>
      <c r="F171" s="33" t="s">
        <v>76</v>
      </c>
      <c r="G171" s="34">
        <v>2.0</v>
      </c>
      <c r="H171" s="33" t="s">
        <v>70</v>
      </c>
      <c r="I171" s="33" t="s">
        <v>77</v>
      </c>
      <c r="J171" s="33" t="s">
        <v>79</v>
      </c>
      <c r="K171" s="33" t="s">
        <v>73</v>
      </c>
      <c r="L171" s="33" t="str">
        <f t="shared" si="1"/>
        <v>FAMILIAR</v>
      </c>
      <c r="M171" s="33">
        <f t="shared" si="2"/>
        <v>3</v>
      </c>
      <c r="N171" s="33">
        <f t="shared" si="3"/>
        <v>2023</v>
      </c>
      <c r="O171" s="35" t="str">
        <f>VLOOKUP(K171,'CA y tablas'!$B$22:$C$28,2,FALSE)</f>
        <v>AMERICANO</v>
      </c>
      <c r="P171" s="28" t="str">
        <f t="shared" si="4"/>
        <v>S1</v>
      </c>
      <c r="Q171" s="29">
        <v>1.0</v>
      </c>
      <c r="R171" s="29" t="str">
        <f t="shared" si="5"/>
        <v>Q1</v>
      </c>
    </row>
    <row r="172" ht="15.75" customHeight="1">
      <c r="A172" s="22">
        <v>44985.0</v>
      </c>
      <c r="B172" s="23">
        <v>1.955771252E9</v>
      </c>
      <c r="C172" s="24" t="s">
        <v>248</v>
      </c>
      <c r="D172" s="23">
        <v>3.4133306E7</v>
      </c>
      <c r="E172" s="22">
        <v>44994.0</v>
      </c>
      <c r="F172" s="25" t="s">
        <v>69</v>
      </c>
      <c r="G172" s="26">
        <v>5.0</v>
      </c>
      <c r="H172" s="25" t="s">
        <v>70</v>
      </c>
      <c r="I172" s="25" t="s">
        <v>77</v>
      </c>
      <c r="J172" s="25" t="s">
        <v>79</v>
      </c>
      <c r="K172" s="25" t="s">
        <v>73</v>
      </c>
      <c r="L172" s="25" t="str">
        <f t="shared" si="1"/>
        <v>FAMILIAR</v>
      </c>
      <c r="M172" s="25">
        <f t="shared" si="2"/>
        <v>3</v>
      </c>
      <c r="N172" s="25">
        <f t="shared" si="3"/>
        <v>2023</v>
      </c>
      <c r="O172" s="27" t="str">
        <f>VLOOKUP(K172,'CA y tablas'!$B$22:$C$28,2,FALSE)</f>
        <v>AMERICANO</v>
      </c>
      <c r="P172" s="28" t="str">
        <f t="shared" si="4"/>
        <v>S1</v>
      </c>
      <c r="Q172" s="29">
        <v>1.0</v>
      </c>
      <c r="R172" s="29" t="str">
        <f t="shared" si="5"/>
        <v>Q1</v>
      </c>
    </row>
    <row r="173" ht="15.75" customHeight="1">
      <c r="A173" s="30">
        <v>44992.0</v>
      </c>
      <c r="B173" s="31">
        <v>1.05799827E9</v>
      </c>
      <c r="C173" s="32" t="s">
        <v>249</v>
      </c>
      <c r="D173" s="31">
        <v>3.3971334E7</v>
      </c>
      <c r="E173" s="30">
        <v>44994.0</v>
      </c>
      <c r="F173" s="33" t="s">
        <v>69</v>
      </c>
      <c r="G173" s="34">
        <v>5.0</v>
      </c>
      <c r="H173" s="33" t="s">
        <v>70</v>
      </c>
      <c r="I173" s="33" t="s">
        <v>77</v>
      </c>
      <c r="J173" s="33" t="s">
        <v>79</v>
      </c>
      <c r="K173" s="33" t="s">
        <v>73</v>
      </c>
      <c r="L173" s="33" t="str">
        <f t="shared" si="1"/>
        <v>FAMILIAR</v>
      </c>
      <c r="M173" s="33">
        <f t="shared" si="2"/>
        <v>3</v>
      </c>
      <c r="N173" s="33">
        <f t="shared" si="3"/>
        <v>2023</v>
      </c>
      <c r="O173" s="35" t="str">
        <f>VLOOKUP(K173,'CA y tablas'!$B$22:$C$28,2,FALSE)</f>
        <v>AMERICANO</v>
      </c>
      <c r="P173" s="28" t="str">
        <f t="shared" si="4"/>
        <v>S1</v>
      </c>
      <c r="Q173" s="29">
        <v>1.0</v>
      </c>
      <c r="R173" s="29" t="str">
        <f t="shared" si="5"/>
        <v>Q1</v>
      </c>
    </row>
    <row r="174" ht="15.75" customHeight="1">
      <c r="A174" s="22">
        <v>44992.0</v>
      </c>
      <c r="B174" s="23">
        <v>7.096738062E9</v>
      </c>
      <c r="C174" s="24" t="s">
        <v>250</v>
      </c>
      <c r="D174" s="23">
        <v>4.200724E7</v>
      </c>
      <c r="E174" s="22">
        <v>44995.0</v>
      </c>
      <c r="F174" s="25" t="s">
        <v>69</v>
      </c>
      <c r="G174" s="26">
        <v>4.0</v>
      </c>
      <c r="H174" s="25" t="s">
        <v>70</v>
      </c>
      <c r="I174" s="25" t="s">
        <v>77</v>
      </c>
      <c r="J174" s="25" t="s">
        <v>79</v>
      </c>
      <c r="K174" s="25" t="s">
        <v>73</v>
      </c>
      <c r="L174" s="25" t="str">
        <f t="shared" si="1"/>
        <v>FAMILIAR</v>
      </c>
      <c r="M174" s="25">
        <f t="shared" si="2"/>
        <v>3</v>
      </c>
      <c r="N174" s="25">
        <f t="shared" si="3"/>
        <v>2023</v>
      </c>
      <c r="O174" s="27" t="str">
        <f>VLOOKUP(K174,'CA y tablas'!$B$22:$C$28,2,FALSE)</f>
        <v>AMERICANO</v>
      </c>
      <c r="P174" s="28" t="str">
        <f t="shared" si="4"/>
        <v>S1</v>
      </c>
      <c r="Q174" s="29">
        <v>1.0</v>
      </c>
      <c r="R174" s="29" t="str">
        <f t="shared" si="5"/>
        <v>Q1</v>
      </c>
    </row>
    <row r="175" ht="15.75" customHeight="1">
      <c r="A175" s="30">
        <v>44981.0</v>
      </c>
      <c r="B175" s="31">
        <v>3.189660412E9</v>
      </c>
      <c r="C175" s="32" t="s">
        <v>251</v>
      </c>
      <c r="D175" s="31">
        <v>3.4766277E7</v>
      </c>
      <c r="E175" s="30">
        <v>44998.0</v>
      </c>
      <c r="F175" s="33" t="s">
        <v>69</v>
      </c>
      <c r="G175" s="34">
        <v>2.0</v>
      </c>
      <c r="H175" s="33" t="s">
        <v>70</v>
      </c>
      <c r="I175" s="33" t="s">
        <v>77</v>
      </c>
      <c r="J175" s="33" t="s">
        <v>79</v>
      </c>
      <c r="K175" s="33" t="s">
        <v>73</v>
      </c>
      <c r="L175" s="33" t="str">
        <f t="shared" si="1"/>
        <v>FAMILIAR</v>
      </c>
      <c r="M175" s="33">
        <f t="shared" si="2"/>
        <v>3</v>
      </c>
      <c r="N175" s="33">
        <f t="shared" si="3"/>
        <v>2023</v>
      </c>
      <c r="O175" s="35" t="str">
        <f>VLOOKUP(K175,'CA y tablas'!$B$22:$C$28,2,FALSE)</f>
        <v>AMERICANO</v>
      </c>
      <c r="P175" s="28" t="str">
        <f t="shared" si="4"/>
        <v>S1</v>
      </c>
      <c r="Q175" s="29">
        <v>1.0</v>
      </c>
      <c r="R175" s="29" t="str">
        <f t="shared" si="5"/>
        <v>Q1</v>
      </c>
    </row>
    <row r="176" ht="15.75" customHeight="1">
      <c r="A176" s="22">
        <v>44985.0</v>
      </c>
      <c r="B176" s="23">
        <v>9.865284424E9</v>
      </c>
      <c r="C176" s="24" t="s">
        <v>251</v>
      </c>
      <c r="D176" s="23">
        <v>3.4766277E7</v>
      </c>
      <c r="E176" s="22">
        <v>44998.0</v>
      </c>
      <c r="F176" s="25" t="s">
        <v>69</v>
      </c>
      <c r="G176" s="26">
        <v>2.0</v>
      </c>
      <c r="H176" s="25" t="s">
        <v>70</v>
      </c>
      <c r="I176" s="25" t="s">
        <v>77</v>
      </c>
      <c r="J176" s="25" t="s">
        <v>83</v>
      </c>
      <c r="K176" s="25" t="s">
        <v>73</v>
      </c>
      <c r="L176" s="25" t="str">
        <f t="shared" si="1"/>
        <v>FAMILIAR</v>
      </c>
      <c r="M176" s="25">
        <f t="shared" si="2"/>
        <v>3</v>
      </c>
      <c r="N176" s="25">
        <f t="shared" si="3"/>
        <v>2023</v>
      </c>
      <c r="O176" s="27" t="str">
        <f>VLOOKUP(K176,'CA y tablas'!$B$22:$C$28,2,FALSE)</f>
        <v>AMERICANO</v>
      </c>
      <c r="P176" s="28" t="str">
        <f t="shared" si="4"/>
        <v>S1</v>
      </c>
      <c r="Q176" s="29">
        <v>1.0</v>
      </c>
      <c r="R176" s="29" t="str">
        <f t="shared" si="5"/>
        <v>Q1</v>
      </c>
    </row>
    <row r="177" ht="15.75" customHeight="1">
      <c r="A177" s="30">
        <v>44995.0</v>
      </c>
      <c r="B177" s="31">
        <v>1.275525366E9</v>
      </c>
      <c r="C177" s="32" t="s">
        <v>252</v>
      </c>
      <c r="D177" s="31">
        <v>3.4127411E7</v>
      </c>
      <c r="E177" s="30">
        <v>44999.0</v>
      </c>
      <c r="F177" s="33" t="s">
        <v>76</v>
      </c>
      <c r="G177" s="34">
        <v>2.0</v>
      </c>
      <c r="H177" s="33" t="s">
        <v>70</v>
      </c>
      <c r="I177" s="33" t="s">
        <v>71</v>
      </c>
      <c r="J177" s="33" t="s">
        <v>83</v>
      </c>
      <c r="K177" s="33" t="s">
        <v>73</v>
      </c>
      <c r="L177" s="33" t="str">
        <f t="shared" si="1"/>
        <v>FAMILIAR</v>
      </c>
      <c r="M177" s="33">
        <f t="shared" si="2"/>
        <v>3</v>
      </c>
      <c r="N177" s="33">
        <f t="shared" si="3"/>
        <v>2023</v>
      </c>
      <c r="O177" s="35" t="str">
        <f>VLOOKUP(K177,'CA y tablas'!$B$22:$C$28,2,FALSE)</f>
        <v>AMERICANO</v>
      </c>
      <c r="P177" s="28" t="str">
        <f t="shared" si="4"/>
        <v>S1</v>
      </c>
      <c r="Q177" s="29">
        <v>1.0</v>
      </c>
      <c r="R177" s="29" t="str">
        <f t="shared" si="5"/>
        <v>Q1</v>
      </c>
    </row>
    <row r="178" ht="15.75" customHeight="1">
      <c r="A178" s="22">
        <v>44999.0</v>
      </c>
      <c r="B178" s="23">
        <v>8.350955642E9</v>
      </c>
      <c r="C178" s="24" t="s">
        <v>253</v>
      </c>
      <c r="D178" s="23">
        <v>3.5523721E7</v>
      </c>
      <c r="E178" s="22">
        <v>44999.0</v>
      </c>
      <c r="F178" s="25" t="s">
        <v>76</v>
      </c>
      <c r="G178" s="26">
        <v>6.0</v>
      </c>
      <c r="H178" s="25" t="s">
        <v>70</v>
      </c>
      <c r="I178" s="25" t="s">
        <v>71</v>
      </c>
      <c r="J178" s="25" t="s">
        <v>83</v>
      </c>
      <c r="K178" s="25" t="s">
        <v>73</v>
      </c>
      <c r="L178" s="25" t="str">
        <f t="shared" si="1"/>
        <v>FAMILIAR</v>
      </c>
      <c r="M178" s="25">
        <f t="shared" si="2"/>
        <v>3</v>
      </c>
      <c r="N178" s="25">
        <f t="shared" si="3"/>
        <v>2023</v>
      </c>
      <c r="O178" s="27" t="str">
        <f>VLOOKUP(K178,'CA y tablas'!$B$22:$C$28,2,FALSE)</f>
        <v>AMERICANO</v>
      </c>
      <c r="P178" s="28" t="str">
        <f t="shared" si="4"/>
        <v>S1</v>
      </c>
      <c r="Q178" s="29">
        <v>1.0</v>
      </c>
      <c r="R178" s="29" t="str">
        <f t="shared" si="5"/>
        <v>Q1</v>
      </c>
    </row>
    <row r="179" ht="15.75" customHeight="1">
      <c r="A179" s="30">
        <v>45000.0</v>
      </c>
      <c r="B179" s="31">
        <v>7.312874085E9</v>
      </c>
      <c r="C179" s="32" t="s">
        <v>254</v>
      </c>
      <c r="D179" s="31">
        <v>2.2557279E7</v>
      </c>
      <c r="E179" s="30">
        <v>45001.0</v>
      </c>
      <c r="F179" s="33" t="s">
        <v>69</v>
      </c>
      <c r="G179" s="34">
        <v>7.0</v>
      </c>
      <c r="H179" s="33" t="s">
        <v>70</v>
      </c>
      <c r="I179" s="33" t="s">
        <v>71</v>
      </c>
      <c r="J179" s="33" t="s">
        <v>83</v>
      </c>
      <c r="K179" s="33" t="s">
        <v>73</v>
      </c>
      <c r="L179" s="33" t="str">
        <f t="shared" si="1"/>
        <v>FAMILIAR</v>
      </c>
      <c r="M179" s="33">
        <f t="shared" si="2"/>
        <v>3</v>
      </c>
      <c r="N179" s="33">
        <f t="shared" si="3"/>
        <v>2023</v>
      </c>
      <c r="O179" s="35" t="str">
        <f>VLOOKUP(K179,'CA y tablas'!$B$22:$C$28,2,FALSE)</f>
        <v>AMERICANO</v>
      </c>
      <c r="P179" s="28" t="str">
        <f t="shared" si="4"/>
        <v>S1</v>
      </c>
      <c r="Q179" s="29">
        <v>1.0</v>
      </c>
      <c r="R179" s="29" t="str">
        <f t="shared" si="5"/>
        <v>Q1</v>
      </c>
    </row>
    <row r="180" ht="15.75" customHeight="1">
      <c r="A180" s="22">
        <v>45001.0</v>
      </c>
      <c r="B180" s="23">
        <v>2.899230622E9</v>
      </c>
      <c r="C180" s="24" t="s">
        <v>255</v>
      </c>
      <c r="D180" s="23">
        <v>2.0285736E7</v>
      </c>
      <c r="E180" s="22">
        <v>45001.0</v>
      </c>
      <c r="F180" s="25" t="s">
        <v>69</v>
      </c>
      <c r="G180" s="26">
        <v>2.0</v>
      </c>
      <c r="H180" s="25" t="s">
        <v>70</v>
      </c>
      <c r="I180" s="25" t="s">
        <v>71</v>
      </c>
      <c r="J180" s="25" t="s">
        <v>83</v>
      </c>
      <c r="K180" s="25" t="s">
        <v>73</v>
      </c>
      <c r="L180" s="25" t="str">
        <f t="shared" si="1"/>
        <v>FAMILIAR</v>
      </c>
      <c r="M180" s="25">
        <f t="shared" si="2"/>
        <v>3</v>
      </c>
      <c r="N180" s="25">
        <f t="shared" si="3"/>
        <v>2023</v>
      </c>
      <c r="O180" s="27" t="str">
        <f>VLOOKUP(K180,'CA y tablas'!$B$22:$C$28,2,FALSE)</f>
        <v>AMERICANO</v>
      </c>
      <c r="P180" s="28" t="str">
        <f t="shared" si="4"/>
        <v>S1</v>
      </c>
      <c r="Q180" s="29">
        <v>1.0</v>
      </c>
      <c r="R180" s="29" t="str">
        <f t="shared" si="5"/>
        <v>Q1</v>
      </c>
    </row>
    <row r="181" ht="15.75" customHeight="1">
      <c r="A181" s="30">
        <v>45001.0</v>
      </c>
      <c r="B181" s="31">
        <v>7.011741004E9</v>
      </c>
      <c r="C181" s="32" t="s">
        <v>256</v>
      </c>
      <c r="D181" s="31">
        <v>2.0178459E7</v>
      </c>
      <c r="E181" s="30">
        <v>45001.0</v>
      </c>
      <c r="F181" s="33" t="s">
        <v>69</v>
      </c>
      <c r="G181" s="34">
        <v>3.0</v>
      </c>
      <c r="H181" s="33" t="s">
        <v>92</v>
      </c>
      <c r="I181" s="33" t="s">
        <v>71</v>
      </c>
      <c r="J181" s="33" t="s">
        <v>83</v>
      </c>
      <c r="K181" s="33" t="s">
        <v>73</v>
      </c>
      <c r="L181" s="33" t="str">
        <f t="shared" si="1"/>
        <v>FAMILIAR</v>
      </c>
      <c r="M181" s="33">
        <f t="shared" si="2"/>
        <v>3</v>
      </c>
      <c r="N181" s="33">
        <f t="shared" si="3"/>
        <v>2023</v>
      </c>
      <c r="O181" s="35" t="str">
        <f>VLOOKUP(K181,'CA y tablas'!$B$22:$C$28,2,FALSE)</f>
        <v>AMERICANO</v>
      </c>
      <c r="P181" s="28" t="str">
        <f t="shared" si="4"/>
        <v>S1</v>
      </c>
      <c r="Q181" s="29">
        <v>1.0</v>
      </c>
      <c r="R181" s="29" t="str">
        <f t="shared" si="5"/>
        <v>Q1</v>
      </c>
    </row>
    <row r="182" ht="15.75" customHeight="1">
      <c r="A182" s="22">
        <v>45001.0</v>
      </c>
      <c r="B182" s="23">
        <v>4.378161535E9</v>
      </c>
      <c r="C182" s="24" t="s">
        <v>257</v>
      </c>
      <c r="D182" s="23">
        <v>4.3706779E7</v>
      </c>
      <c r="E182" s="22">
        <v>45006.0</v>
      </c>
      <c r="F182" s="25" t="s">
        <v>69</v>
      </c>
      <c r="G182" s="26">
        <v>2.0</v>
      </c>
      <c r="H182" s="25" t="s">
        <v>92</v>
      </c>
      <c r="I182" s="25" t="s">
        <v>71</v>
      </c>
      <c r="J182" s="25" t="s">
        <v>83</v>
      </c>
      <c r="K182" s="25" t="s">
        <v>99</v>
      </c>
      <c r="L182" s="25" t="str">
        <f t="shared" si="1"/>
        <v>FAMILIAR</v>
      </c>
      <c r="M182" s="25">
        <f t="shared" si="2"/>
        <v>3</v>
      </c>
      <c r="N182" s="25">
        <f t="shared" si="3"/>
        <v>2023</v>
      </c>
      <c r="O182" s="27" t="str">
        <f>VLOOKUP(K182,'CA y tablas'!$B$22:$C$28,2,FALSE)</f>
        <v>EUROPEO</v>
      </c>
      <c r="P182" s="28" t="str">
        <f t="shared" si="4"/>
        <v>S1</v>
      </c>
      <c r="Q182" s="29">
        <v>1.0</v>
      </c>
      <c r="R182" s="29" t="str">
        <f t="shared" si="5"/>
        <v>Q1</v>
      </c>
    </row>
    <row r="183" ht="15.75" customHeight="1">
      <c r="A183" s="30">
        <v>45002.0</v>
      </c>
      <c r="B183" s="31">
        <v>4.230458993E9</v>
      </c>
      <c r="C183" s="32" t="s">
        <v>258</v>
      </c>
      <c r="D183" s="31"/>
      <c r="E183" s="30">
        <v>45006.0</v>
      </c>
      <c r="F183" s="33" t="s">
        <v>76</v>
      </c>
      <c r="G183" s="34">
        <v>2.0</v>
      </c>
      <c r="H183" s="33" t="s">
        <v>92</v>
      </c>
      <c r="I183" s="33" t="s">
        <v>71</v>
      </c>
      <c r="J183" s="33" t="s">
        <v>83</v>
      </c>
      <c r="K183" s="33" t="s">
        <v>99</v>
      </c>
      <c r="L183" s="33" t="str">
        <f t="shared" si="1"/>
        <v>FAMILIAR</v>
      </c>
      <c r="M183" s="33">
        <f t="shared" si="2"/>
        <v>3</v>
      </c>
      <c r="N183" s="33">
        <f t="shared" si="3"/>
        <v>2023</v>
      </c>
      <c r="O183" s="35" t="str">
        <f>VLOOKUP(K183,'CA y tablas'!$B$22:$C$28,2,FALSE)</f>
        <v>EUROPEO</v>
      </c>
      <c r="P183" s="28" t="str">
        <f t="shared" si="4"/>
        <v>S1</v>
      </c>
      <c r="Q183" s="29">
        <v>1.0</v>
      </c>
      <c r="R183" s="29" t="str">
        <f t="shared" si="5"/>
        <v>Q1</v>
      </c>
    </row>
    <row r="184" ht="15.75" customHeight="1">
      <c r="A184" s="22">
        <v>45002.0</v>
      </c>
      <c r="B184" s="23">
        <v>1.183174473E9</v>
      </c>
      <c r="C184" s="24" t="s">
        <v>257</v>
      </c>
      <c r="D184" s="23">
        <v>4.3706779E7</v>
      </c>
      <c r="E184" s="22">
        <v>45006.0</v>
      </c>
      <c r="F184" s="25" t="s">
        <v>69</v>
      </c>
      <c r="G184" s="26">
        <v>2.0</v>
      </c>
      <c r="H184" s="25" t="s">
        <v>92</v>
      </c>
      <c r="I184" s="25" t="s">
        <v>71</v>
      </c>
      <c r="J184" s="25" t="s">
        <v>83</v>
      </c>
      <c r="K184" s="25" t="s">
        <v>99</v>
      </c>
      <c r="L184" s="25" t="str">
        <f t="shared" si="1"/>
        <v>FAMILIAR</v>
      </c>
      <c r="M184" s="25">
        <f t="shared" si="2"/>
        <v>3</v>
      </c>
      <c r="N184" s="25">
        <f t="shared" si="3"/>
        <v>2023</v>
      </c>
      <c r="O184" s="27" t="str">
        <f>VLOOKUP(K184,'CA y tablas'!$B$22:$C$28,2,FALSE)</f>
        <v>EUROPEO</v>
      </c>
      <c r="P184" s="28" t="str">
        <f t="shared" si="4"/>
        <v>S1</v>
      </c>
      <c r="Q184" s="29">
        <v>1.0</v>
      </c>
      <c r="R184" s="29" t="str">
        <f t="shared" si="5"/>
        <v>Q1</v>
      </c>
    </row>
    <row r="185" ht="15.75" customHeight="1">
      <c r="A185" s="30">
        <v>45005.0</v>
      </c>
      <c r="B185" s="31">
        <v>7.238987081E9</v>
      </c>
      <c r="C185" s="32" t="s">
        <v>259</v>
      </c>
      <c r="D185" s="31">
        <v>1.2924846E7</v>
      </c>
      <c r="E185" s="30">
        <v>45006.0</v>
      </c>
      <c r="F185" s="33" t="s">
        <v>69</v>
      </c>
      <c r="G185" s="34">
        <v>1.0</v>
      </c>
      <c r="H185" s="33" t="s">
        <v>92</v>
      </c>
      <c r="I185" s="33" t="s">
        <v>71</v>
      </c>
      <c r="J185" s="33" t="s">
        <v>83</v>
      </c>
      <c r="K185" s="33" t="s">
        <v>99</v>
      </c>
      <c r="L185" s="33" t="str">
        <f t="shared" si="1"/>
        <v>INDIVIDUAL</v>
      </c>
      <c r="M185" s="33">
        <f t="shared" si="2"/>
        <v>3</v>
      </c>
      <c r="N185" s="33">
        <f t="shared" si="3"/>
        <v>2023</v>
      </c>
      <c r="O185" s="35" t="str">
        <f>VLOOKUP(K185,'CA y tablas'!$B$22:$C$28,2,FALSE)</f>
        <v>EUROPEO</v>
      </c>
      <c r="P185" s="28" t="str">
        <f t="shared" si="4"/>
        <v>S1</v>
      </c>
      <c r="Q185" s="29">
        <v>1.0</v>
      </c>
      <c r="R185" s="29" t="str">
        <f t="shared" si="5"/>
        <v>Q1</v>
      </c>
    </row>
    <row r="186" ht="15.75" customHeight="1">
      <c r="A186" s="22">
        <v>45005.0</v>
      </c>
      <c r="B186" s="23">
        <v>6.62950134E9</v>
      </c>
      <c r="C186" s="24" t="s">
        <v>206</v>
      </c>
      <c r="D186" s="23">
        <v>1.6529017E7</v>
      </c>
      <c r="E186" s="22">
        <v>45007.0</v>
      </c>
      <c r="F186" s="25" t="s">
        <v>69</v>
      </c>
      <c r="G186" s="26">
        <v>1.0</v>
      </c>
      <c r="H186" s="25" t="s">
        <v>92</v>
      </c>
      <c r="I186" s="25" t="s">
        <v>71</v>
      </c>
      <c r="J186" s="25" t="s">
        <v>83</v>
      </c>
      <c r="K186" s="25" t="s">
        <v>99</v>
      </c>
      <c r="L186" s="25" t="str">
        <f t="shared" si="1"/>
        <v>INDIVIDUAL</v>
      </c>
      <c r="M186" s="25">
        <f t="shared" si="2"/>
        <v>3</v>
      </c>
      <c r="N186" s="25">
        <f t="shared" si="3"/>
        <v>2023</v>
      </c>
      <c r="O186" s="27" t="str">
        <f>VLOOKUP(K186,'CA y tablas'!$B$22:$C$28,2,FALSE)</f>
        <v>EUROPEO</v>
      </c>
      <c r="P186" s="28" t="str">
        <f t="shared" si="4"/>
        <v>S1</v>
      </c>
      <c r="Q186" s="29">
        <v>1.0</v>
      </c>
      <c r="R186" s="29" t="str">
        <f t="shared" si="5"/>
        <v>Q1</v>
      </c>
    </row>
    <row r="187" ht="15.75" customHeight="1">
      <c r="A187" s="30">
        <v>45006.0</v>
      </c>
      <c r="B187" s="31">
        <v>2.245235403E9</v>
      </c>
      <c r="C187" s="32" t="s">
        <v>260</v>
      </c>
      <c r="D187" s="31">
        <v>1.0015608E7</v>
      </c>
      <c r="E187" s="30">
        <v>45007.0</v>
      </c>
      <c r="F187" s="33" t="s">
        <v>69</v>
      </c>
      <c r="G187" s="34">
        <v>2.0</v>
      </c>
      <c r="H187" s="33" t="s">
        <v>92</v>
      </c>
      <c r="I187" s="33" t="s">
        <v>71</v>
      </c>
      <c r="J187" s="33" t="s">
        <v>83</v>
      </c>
      <c r="K187" s="33" t="s">
        <v>99</v>
      </c>
      <c r="L187" s="33" t="str">
        <f t="shared" si="1"/>
        <v>FAMILIAR</v>
      </c>
      <c r="M187" s="33">
        <f t="shared" si="2"/>
        <v>3</v>
      </c>
      <c r="N187" s="33">
        <f t="shared" si="3"/>
        <v>2023</v>
      </c>
      <c r="O187" s="35" t="str">
        <f>VLOOKUP(K187,'CA y tablas'!$B$22:$C$28,2,FALSE)</f>
        <v>EUROPEO</v>
      </c>
      <c r="P187" s="28" t="str">
        <f t="shared" si="4"/>
        <v>S1</v>
      </c>
      <c r="Q187" s="29">
        <v>1.0</v>
      </c>
      <c r="R187" s="29" t="str">
        <f t="shared" si="5"/>
        <v>Q1</v>
      </c>
    </row>
    <row r="188" ht="15.75" customHeight="1">
      <c r="A188" s="22">
        <v>45006.0</v>
      </c>
      <c r="B188" s="23">
        <v>6.372506722E9</v>
      </c>
      <c r="C188" s="24" t="s">
        <v>261</v>
      </c>
      <c r="D188" s="23">
        <v>2.9744557E7</v>
      </c>
      <c r="E188" s="22">
        <v>45007.0</v>
      </c>
      <c r="F188" s="25" t="s">
        <v>76</v>
      </c>
      <c r="G188" s="26">
        <v>3.0</v>
      </c>
      <c r="H188" s="25" t="s">
        <v>92</v>
      </c>
      <c r="I188" s="25" t="s">
        <v>71</v>
      </c>
      <c r="J188" s="25" t="s">
        <v>79</v>
      </c>
      <c r="K188" s="25" t="s">
        <v>73</v>
      </c>
      <c r="L188" s="25" t="str">
        <f t="shared" si="1"/>
        <v>FAMILIAR</v>
      </c>
      <c r="M188" s="25">
        <f t="shared" si="2"/>
        <v>3</v>
      </c>
      <c r="N188" s="25">
        <f t="shared" si="3"/>
        <v>2023</v>
      </c>
      <c r="O188" s="27" t="str">
        <f>VLOOKUP(K188,'CA y tablas'!$B$22:$C$28,2,FALSE)</f>
        <v>AMERICANO</v>
      </c>
      <c r="P188" s="28" t="str">
        <f t="shared" si="4"/>
        <v>S1</v>
      </c>
      <c r="Q188" s="29">
        <v>1.0</v>
      </c>
      <c r="R188" s="29" t="str">
        <f t="shared" si="5"/>
        <v>Q1</v>
      </c>
    </row>
    <row r="189" ht="15.75" customHeight="1">
      <c r="A189" s="30">
        <v>45007.0</v>
      </c>
      <c r="B189" s="31">
        <v>7.955374663E9</v>
      </c>
      <c r="C189" s="32" t="s">
        <v>262</v>
      </c>
      <c r="D189" s="31">
        <v>4.0237382E7</v>
      </c>
      <c r="E189" s="30">
        <v>45008.0</v>
      </c>
      <c r="F189" s="33" t="s">
        <v>76</v>
      </c>
      <c r="G189" s="34">
        <v>3.0</v>
      </c>
      <c r="H189" s="33" t="s">
        <v>92</v>
      </c>
      <c r="I189" s="33" t="s">
        <v>71</v>
      </c>
      <c r="J189" s="33" t="s">
        <v>79</v>
      </c>
      <c r="K189" s="33" t="s">
        <v>73</v>
      </c>
      <c r="L189" s="33" t="str">
        <f t="shared" si="1"/>
        <v>FAMILIAR</v>
      </c>
      <c r="M189" s="33">
        <f t="shared" si="2"/>
        <v>3</v>
      </c>
      <c r="N189" s="33">
        <f t="shared" si="3"/>
        <v>2023</v>
      </c>
      <c r="O189" s="35" t="str">
        <f>VLOOKUP(K189,'CA y tablas'!$B$22:$C$28,2,FALSE)</f>
        <v>AMERICANO</v>
      </c>
      <c r="P189" s="28" t="str">
        <f t="shared" si="4"/>
        <v>S1</v>
      </c>
      <c r="Q189" s="29">
        <v>1.0</v>
      </c>
      <c r="R189" s="29" t="str">
        <f t="shared" si="5"/>
        <v>Q1</v>
      </c>
    </row>
    <row r="190" ht="15.75" customHeight="1">
      <c r="A190" s="22">
        <v>44979.0</v>
      </c>
      <c r="B190" s="23">
        <v>9.493827895E9</v>
      </c>
      <c r="C190" s="24" t="s">
        <v>263</v>
      </c>
      <c r="D190" s="23">
        <v>3.4208541E7</v>
      </c>
      <c r="E190" s="22">
        <v>45012.0</v>
      </c>
      <c r="F190" s="25" t="s">
        <v>76</v>
      </c>
      <c r="G190" s="26">
        <v>2.0</v>
      </c>
      <c r="H190" s="25" t="s">
        <v>116</v>
      </c>
      <c r="I190" s="25" t="s">
        <v>71</v>
      </c>
      <c r="J190" s="25" t="s">
        <v>79</v>
      </c>
      <c r="K190" s="25" t="s">
        <v>73</v>
      </c>
      <c r="L190" s="25" t="str">
        <f t="shared" si="1"/>
        <v>FAMILIAR</v>
      </c>
      <c r="M190" s="25">
        <f t="shared" si="2"/>
        <v>3</v>
      </c>
      <c r="N190" s="25">
        <f t="shared" si="3"/>
        <v>2023</v>
      </c>
      <c r="O190" s="27" t="str">
        <f>VLOOKUP(K190,'CA y tablas'!$B$22:$C$28,2,FALSE)</f>
        <v>AMERICANO</v>
      </c>
      <c r="P190" s="28" t="str">
        <f t="shared" si="4"/>
        <v>S1</v>
      </c>
      <c r="Q190" s="29">
        <v>1.0</v>
      </c>
      <c r="R190" s="29" t="str">
        <f t="shared" si="5"/>
        <v>Q1</v>
      </c>
    </row>
    <row r="191" ht="15.75" customHeight="1">
      <c r="A191" s="30">
        <v>45001.0</v>
      </c>
      <c r="B191" s="31">
        <v>4.342560655E9</v>
      </c>
      <c r="C191" s="32" t="s">
        <v>264</v>
      </c>
      <c r="D191" s="31">
        <v>2.9532714E7</v>
      </c>
      <c r="E191" s="30">
        <v>45012.0</v>
      </c>
      <c r="F191" s="33" t="s">
        <v>76</v>
      </c>
      <c r="G191" s="34">
        <v>3.0</v>
      </c>
      <c r="H191" s="33" t="s">
        <v>116</v>
      </c>
      <c r="I191" s="33" t="s">
        <v>71</v>
      </c>
      <c r="J191" s="33" t="s">
        <v>79</v>
      </c>
      <c r="K191" s="33" t="s">
        <v>73</v>
      </c>
      <c r="L191" s="33" t="str">
        <f t="shared" si="1"/>
        <v>FAMILIAR</v>
      </c>
      <c r="M191" s="33">
        <f t="shared" si="2"/>
        <v>3</v>
      </c>
      <c r="N191" s="33">
        <f t="shared" si="3"/>
        <v>2023</v>
      </c>
      <c r="O191" s="35" t="str">
        <f>VLOOKUP(K191,'CA y tablas'!$B$22:$C$28,2,FALSE)</f>
        <v>AMERICANO</v>
      </c>
      <c r="P191" s="28" t="str">
        <f t="shared" si="4"/>
        <v>S1</v>
      </c>
      <c r="Q191" s="29">
        <v>1.0</v>
      </c>
      <c r="R191" s="29" t="str">
        <f t="shared" si="5"/>
        <v>Q1</v>
      </c>
    </row>
    <row r="192" ht="15.75" customHeight="1">
      <c r="A192" s="22">
        <v>45007.0</v>
      </c>
      <c r="B192" s="23">
        <v>3.458094231E9</v>
      </c>
      <c r="C192" s="24" t="s">
        <v>265</v>
      </c>
      <c r="D192" s="23">
        <v>1.7268871E7</v>
      </c>
      <c r="E192" s="22">
        <v>45012.0</v>
      </c>
      <c r="F192" s="25" t="s">
        <v>76</v>
      </c>
      <c r="G192" s="26">
        <v>3.0</v>
      </c>
      <c r="H192" s="25" t="s">
        <v>116</v>
      </c>
      <c r="I192" s="25" t="s">
        <v>71</v>
      </c>
      <c r="J192" s="25" t="s">
        <v>79</v>
      </c>
      <c r="K192" s="25" t="s">
        <v>73</v>
      </c>
      <c r="L192" s="25" t="str">
        <f t="shared" si="1"/>
        <v>FAMILIAR</v>
      </c>
      <c r="M192" s="25">
        <f t="shared" si="2"/>
        <v>3</v>
      </c>
      <c r="N192" s="25">
        <f t="shared" si="3"/>
        <v>2023</v>
      </c>
      <c r="O192" s="27" t="str">
        <f>VLOOKUP(K192,'CA y tablas'!$B$22:$C$28,2,FALSE)</f>
        <v>AMERICANO</v>
      </c>
      <c r="P192" s="28" t="str">
        <f t="shared" si="4"/>
        <v>S1</v>
      </c>
      <c r="Q192" s="29">
        <v>1.0</v>
      </c>
      <c r="R192" s="29" t="str">
        <f t="shared" si="5"/>
        <v>Q1</v>
      </c>
    </row>
    <row r="193" ht="15.75" customHeight="1">
      <c r="A193" s="30">
        <v>45008.0</v>
      </c>
      <c r="B193" s="31">
        <v>3.247938396E9</v>
      </c>
      <c r="C193" s="32" t="s">
        <v>266</v>
      </c>
      <c r="D193" s="31">
        <v>2.5209452E7</v>
      </c>
      <c r="E193" s="30">
        <v>45012.0</v>
      </c>
      <c r="F193" s="33" t="s">
        <v>76</v>
      </c>
      <c r="G193" s="34">
        <v>2.0</v>
      </c>
      <c r="H193" s="33" t="s">
        <v>116</v>
      </c>
      <c r="I193" s="33" t="s">
        <v>71</v>
      </c>
      <c r="J193" s="33" t="s">
        <v>72</v>
      </c>
      <c r="K193" s="33" t="s">
        <v>73</v>
      </c>
      <c r="L193" s="33" t="str">
        <f t="shared" si="1"/>
        <v>FAMILIAR</v>
      </c>
      <c r="M193" s="33">
        <f t="shared" si="2"/>
        <v>3</v>
      </c>
      <c r="N193" s="33">
        <f t="shared" si="3"/>
        <v>2023</v>
      </c>
      <c r="O193" s="35" t="str">
        <f>VLOOKUP(K193,'CA y tablas'!$B$22:$C$28,2,FALSE)</f>
        <v>AMERICANO</v>
      </c>
      <c r="P193" s="28" t="str">
        <f t="shared" si="4"/>
        <v>S1</v>
      </c>
      <c r="Q193" s="29">
        <v>1.0</v>
      </c>
      <c r="R193" s="29" t="str">
        <f t="shared" si="5"/>
        <v>Q1</v>
      </c>
    </row>
    <row r="194" ht="15.75" customHeight="1">
      <c r="A194" s="22">
        <v>44992.0</v>
      </c>
      <c r="B194" s="23">
        <v>2.021734094E9</v>
      </c>
      <c r="C194" s="24" t="s">
        <v>267</v>
      </c>
      <c r="D194" s="23">
        <v>1.8159097E7</v>
      </c>
      <c r="E194" s="22">
        <v>45013.0</v>
      </c>
      <c r="F194" s="25" t="s">
        <v>76</v>
      </c>
      <c r="G194" s="26">
        <v>1.0</v>
      </c>
      <c r="H194" s="25" t="s">
        <v>116</v>
      </c>
      <c r="I194" s="25" t="s">
        <v>71</v>
      </c>
      <c r="J194" s="25" t="s">
        <v>72</v>
      </c>
      <c r="K194" s="25" t="s">
        <v>73</v>
      </c>
      <c r="L194" s="25" t="str">
        <f t="shared" si="1"/>
        <v>INDIVIDUAL</v>
      </c>
      <c r="M194" s="25">
        <f t="shared" si="2"/>
        <v>3</v>
      </c>
      <c r="N194" s="25">
        <f t="shared" si="3"/>
        <v>2023</v>
      </c>
      <c r="O194" s="27" t="str">
        <f>VLOOKUP(K194,'CA y tablas'!$B$22:$C$28,2,FALSE)</f>
        <v>AMERICANO</v>
      </c>
      <c r="P194" s="28" t="str">
        <f t="shared" si="4"/>
        <v>S1</v>
      </c>
      <c r="Q194" s="29">
        <v>1.0</v>
      </c>
      <c r="R194" s="29" t="str">
        <f t="shared" si="5"/>
        <v>Q1</v>
      </c>
    </row>
    <row r="195" ht="15.75" customHeight="1">
      <c r="A195" s="30">
        <v>44992.0</v>
      </c>
      <c r="B195" s="31">
        <v>1.65627651E9</v>
      </c>
      <c r="C195" s="32" t="s">
        <v>267</v>
      </c>
      <c r="D195" s="31">
        <v>1.8159097E7</v>
      </c>
      <c r="E195" s="30">
        <v>45013.0</v>
      </c>
      <c r="F195" s="33" t="s">
        <v>76</v>
      </c>
      <c r="G195" s="34">
        <v>1.0</v>
      </c>
      <c r="H195" s="33" t="s">
        <v>116</v>
      </c>
      <c r="I195" s="33" t="s">
        <v>77</v>
      </c>
      <c r="J195" s="33" t="s">
        <v>72</v>
      </c>
      <c r="K195" s="33" t="s">
        <v>73</v>
      </c>
      <c r="L195" s="33" t="str">
        <f t="shared" si="1"/>
        <v>INDIVIDUAL</v>
      </c>
      <c r="M195" s="33">
        <f t="shared" si="2"/>
        <v>3</v>
      </c>
      <c r="N195" s="33">
        <f t="shared" si="3"/>
        <v>2023</v>
      </c>
      <c r="O195" s="35" t="str">
        <f>VLOOKUP(K195,'CA y tablas'!$B$22:$C$28,2,FALSE)</f>
        <v>AMERICANO</v>
      </c>
      <c r="P195" s="28" t="str">
        <f t="shared" si="4"/>
        <v>S1</v>
      </c>
      <c r="Q195" s="29">
        <v>1.0</v>
      </c>
      <c r="R195" s="29" t="str">
        <f t="shared" si="5"/>
        <v>Q1</v>
      </c>
    </row>
    <row r="196" ht="15.75" customHeight="1">
      <c r="A196" s="22">
        <v>45001.0</v>
      </c>
      <c r="B196" s="23">
        <v>1.109635155E9</v>
      </c>
      <c r="C196" s="24" t="s">
        <v>268</v>
      </c>
      <c r="D196" s="23">
        <v>2.7732194E7</v>
      </c>
      <c r="E196" s="22">
        <v>45013.0</v>
      </c>
      <c r="F196" s="25" t="s">
        <v>69</v>
      </c>
      <c r="G196" s="26">
        <v>1.0</v>
      </c>
      <c r="H196" s="25" t="s">
        <v>116</v>
      </c>
      <c r="I196" s="25" t="s">
        <v>77</v>
      </c>
      <c r="J196" s="25" t="s">
        <v>72</v>
      </c>
      <c r="K196" s="25" t="s">
        <v>73</v>
      </c>
      <c r="L196" s="25" t="str">
        <f t="shared" si="1"/>
        <v>INDIVIDUAL</v>
      </c>
      <c r="M196" s="25">
        <f t="shared" si="2"/>
        <v>3</v>
      </c>
      <c r="N196" s="25">
        <f t="shared" si="3"/>
        <v>2023</v>
      </c>
      <c r="O196" s="27" t="str">
        <f>VLOOKUP(K196,'CA y tablas'!$B$22:$C$28,2,FALSE)</f>
        <v>AMERICANO</v>
      </c>
      <c r="P196" s="28" t="str">
        <f t="shared" si="4"/>
        <v>S1</v>
      </c>
      <c r="Q196" s="29">
        <v>1.0</v>
      </c>
      <c r="R196" s="29" t="str">
        <f t="shared" si="5"/>
        <v>Q1</v>
      </c>
    </row>
    <row r="197" ht="15.75" customHeight="1">
      <c r="A197" s="30">
        <v>45002.0</v>
      </c>
      <c r="B197" s="31">
        <v>4.230423363E9</v>
      </c>
      <c r="C197" s="32" t="s">
        <v>268</v>
      </c>
      <c r="D197" s="31">
        <v>2.7732194E7</v>
      </c>
      <c r="E197" s="30">
        <v>45013.0</v>
      </c>
      <c r="F197" s="33" t="s">
        <v>69</v>
      </c>
      <c r="G197" s="34">
        <v>2.0</v>
      </c>
      <c r="H197" s="33" t="s">
        <v>116</v>
      </c>
      <c r="I197" s="33" t="s">
        <v>77</v>
      </c>
      <c r="J197" s="33" t="s">
        <v>72</v>
      </c>
      <c r="K197" s="33" t="s">
        <v>73</v>
      </c>
      <c r="L197" s="33" t="str">
        <f t="shared" si="1"/>
        <v>FAMILIAR</v>
      </c>
      <c r="M197" s="33">
        <f t="shared" si="2"/>
        <v>3</v>
      </c>
      <c r="N197" s="33">
        <f t="shared" si="3"/>
        <v>2023</v>
      </c>
      <c r="O197" s="35" t="str">
        <f>VLOOKUP(K197,'CA y tablas'!$B$22:$C$28,2,FALSE)</f>
        <v>AMERICANO</v>
      </c>
      <c r="P197" s="28" t="str">
        <f t="shared" si="4"/>
        <v>S1</v>
      </c>
      <c r="Q197" s="29">
        <v>1.0</v>
      </c>
      <c r="R197" s="29" t="str">
        <f t="shared" si="5"/>
        <v>Q1</v>
      </c>
    </row>
    <row r="198" ht="15.75" customHeight="1">
      <c r="A198" s="22">
        <v>45012.0</v>
      </c>
      <c r="B198" s="23">
        <v>3.182933445E9</v>
      </c>
      <c r="C198" s="24" t="s">
        <v>207</v>
      </c>
      <c r="D198" s="23">
        <v>2.2822961E7</v>
      </c>
      <c r="E198" s="22">
        <v>45013.0</v>
      </c>
      <c r="F198" s="25" t="s">
        <v>69</v>
      </c>
      <c r="G198" s="26">
        <v>1.0</v>
      </c>
      <c r="H198" s="25" t="s">
        <v>116</v>
      </c>
      <c r="I198" s="25" t="s">
        <v>77</v>
      </c>
      <c r="J198" s="25" t="s">
        <v>72</v>
      </c>
      <c r="K198" s="25" t="s">
        <v>73</v>
      </c>
      <c r="L198" s="25" t="str">
        <f t="shared" si="1"/>
        <v>INDIVIDUAL</v>
      </c>
      <c r="M198" s="25">
        <f t="shared" si="2"/>
        <v>3</v>
      </c>
      <c r="N198" s="25">
        <f t="shared" si="3"/>
        <v>2023</v>
      </c>
      <c r="O198" s="27" t="str">
        <f>VLOOKUP(K198,'CA y tablas'!$B$22:$C$28,2,FALSE)</f>
        <v>AMERICANO</v>
      </c>
      <c r="P198" s="28" t="str">
        <f t="shared" si="4"/>
        <v>S1</v>
      </c>
      <c r="Q198" s="29">
        <v>1.0</v>
      </c>
      <c r="R198" s="29" t="str">
        <f t="shared" si="5"/>
        <v>Q1</v>
      </c>
    </row>
    <row r="199" ht="15.75" customHeight="1">
      <c r="A199" s="30">
        <v>45013.0</v>
      </c>
      <c r="B199" s="31">
        <v>9.520001735E9</v>
      </c>
      <c r="C199" s="32" t="s">
        <v>207</v>
      </c>
      <c r="D199" s="31">
        <v>2.2822961E7</v>
      </c>
      <c r="E199" s="30">
        <v>45013.0</v>
      </c>
      <c r="F199" s="33" t="s">
        <v>69</v>
      </c>
      <c r="G199" s="34">
        <v>1.0</v>
      </c>
      <c r="H199" s="33" t="s">
        <v>116</v>
      </c>
      <c r="I199" s="33" t="s">
        <v>77</v>
      </c>
      <c r="J199" s="33" t="s">
        <v>72</v>
      </c>
      <c r="K199" s="33" t="s">
        <v>73</v>
      </c>
      <c r="L199" s="33" t="str">
        <f t="shared" si="1"/>
        <v>INDIVIDUAL</v>
      </c>
      <c r="M199" s="33">
        <f t="shared" si="2"/>
        <v>3</v>
      </c>
      <c r="N199" s="33">
        <f t="shared" si="3"/>
        <v>2023</v>
      </c>
      <c r="O199" s="35" t="str">
        <f>VLOOKUP(K199,'CA y tablas'!$B$22:$C$28,2,FALSE)</f>
        <v>AMERICANO</v>
      </c>
      <c r="P199" s="28" t="str">
        <f t="shared" si="4"/>
        <v>S1</v>
      </c>
      <c r="Q199" s="29">
        <v>1.0</v>
      </c>
      <c r="R199" s="29" t="str">
        <f t="shared" si="5"/>
        <v>Q1</v>
      </c>
    </row>
    <row r="200" ht="15.75" customHeight="1">
      <c r="A200" s="22">
        <v>45008.0</v>
      </c>
      <c r="B200" s="23">
        <v>6.870382584E9</v>
      </c>
      <c r="C200" s="24" t="s">
        <v>269</v>
      </c>
      <c r="D200" s="23">
        <v>3.6224033E7</v>
      </c>
      <c r="E200" s="22">
        <v>45014.0</v>
      </c>
      <c r="F200" s="25" t="s">
        <v>76</v>
      </c>
      <c r="G200" s="26">
        <v>1.0</v>
      </c>
      <c r="H200" s="25" t="s">
        <v>112</v>
      </c>
      <c r="I200" s="25" t="s">
        <v>77</v>
      </c>
      <c r="J200" s="25" t="s">
        <v>72</v>
      </c>
      <c r="K200" s="25" t="s">
        <v>73</v>
      </c>
      <c r="L200" s="25" t="str">
        <f t="shared" si="1"/>
        <v>INDIVIDUAL</v>
      </c>
      <c r="M200" s="25">
        <f t="shared" si="2"/>
        <v>3</v>
      </c>
      <c r="N200" s="25">
        <f t="shared" si="3"/>
        <v>2023</v>
      </c>
      <c r="O200" s="27" t="str">
        <f>VLOOKUP(K200,'CA y tablas'!$B$22:$C$28,2,FALSE)</f>
        <v>AMERICANO</v>
      </c>
      <c r="P200" s="28" t="str">
        <f t="shared" si="4"/>
        <v>S1</v>
      </c>
      <c r="Q200" s="29">
        <v>1.0</v>
      </c>
      <c r="R200" s="29" t="str">
        <f t="shared" si="5"/>
        <v>Q1</v>
      </c>
    </row>
    <row r="201" ht="15.75" customHeight="1">
      <c r="A201" s="30">
        <v>45008.0</v>
      </c>
      <c r="B201" s="31">
        <v>2.995863566E9</v>
      </c>
      <c r="C201" s="32" t="s">
        <v>270</v>
      </c>
      <c r="D201" s="31">
        <v>2.3021105E7</v>
      </c>
      <c r="E201" s="30">
        <v>45014.0</v>
      </c>
      <c r="F201" s="33" t="s">
        <v>69</v>
      </c>
      <c r="G201" s="34">
        <v>1.0</v>
      </c>
      <c r="H201" s="33" t="s">
        <v>112</v>
      </c>
      <c r="I201" s="33" t="s">
        <v>88</v>
      </c>
      <c r="J201" s="33" t="s">
        <v>72</v>
      </c>
      <c r="K201" s="33" t="s">
        <v>73</v>
      </c>
      <c r="L201" s="33" t="str">
        <f t="shared" si="1"/>
        <v>INDIVIDUAL</v>
      </c>
      <c r="M201" s="33">
        <f t="shared" si="2"/>
        <v>3</v>
      </c>
      <c r="N201" s="33">
        <f t="shared" si="3"/>
        <v>2023</v>
      </c>
      <c r="O201" s="35" t="str">
        <f>VLOOKUP(K201,'CA y tablas'!$B$22:$C$28,2,FALSE)</f>
        <v>AMERICANO</v>
      </c>
      <c r="P201" s="28" t="str">
        <f t="shared" si="4"/>
        <v>S1</v>
      </c>
      <c r="Q201" s="29">
        <v>1.0</v>
      </c>
      <c r="R201" s="29" t="str">
        <f t="shared" si="5"/>
        <v>Q1</v>
      </c>
    </row>
    <row r="202" ht="15.75" customHeight="1">
      <c r="A202" s="22">
        <v>45013.0</v>
      </c>
      <c r="B202" s="23">
        <v>9.873020916E9</v>
      </c>
      <c r="C202" s="24" t="s">
        <v>271</v>
      </c>
      <c r="D202" s="23">
        <v>3.4953244E7</v>
      </c>
      <c r="E202" s="22">
        <v>45014.0</v>
      </c>
      <c r="F202" s="25" t="s">
        <v>69</v>
      </c>
      <c r="G202" s="26">
        <v>1.0</v>
      </c>
      <c r="H202" s="25" t="s">
        <v>112</v>
      </c>
      <c r="I202" s="25" t="s">
        <v>88</v>
      </c>
      <c r="J202" s="25" t="s">
        <v>79</v>
      </c>
      <c r="K202" s="25" t="s">
        <v>73</v>
      </c>
      <c r="L202" s="25" t="str">
        <f t="shared" si="1"/>
        <v>INDIVIDUAL</v>
      </c>
      <c r="M202" s="25">
        <f t="shared" si="2"/>
        <v>3</v>
      </c>
      <c r="N202" s="25">
        <f t="shared" si="3"/>
        <v>2023</v>
      </c>
      <c r="O202" s="27" t="str">
        <f>VLOOKUP(K202,'CA y tablas'!$B$22:$C$28,2,FALSE)</f>
        <v>AMERICANO</v>
      </c>
      <c r="P202" s="28" t="str">
        <f t="shared" si="4"/>
        <v>S1</v>
      </c>
      <c r="Q202" s="29">
        <v>1.0</v>
      </c>
      <c r="R202" s="29" t="str">
        <f t="shared" si="5"/>
        <v>Q1</v>
      </c>
    </row>
    <row r="203" ht="15.75" customHeight="1">
      <c r="A203" s="30">
        <v>45007.0</v>
      </c>
      <c r="B203" s="31">
        <v>1.968369631E9</v>
      </c>
      <c r="C203" s="32" t="s">
        <v>272</v>
      </c>
      <c r="D203" s="31">
        <v>4.3191762E7</v>
      </c>
      <c r="E203" s="30">
        <v>45015.0</v>
      </c>
      <c r="F203" s="33" t="s">
        <v>76</v>
      </c>
      <c r="G203" s="34">
        <v>2.0</v>
      </c>
      <c r="H203" s="33" t="s">
        <v>112</v>
      </c>
      <c r="I203" s="33" t="s">
        <v>88</v>
      </c>
      <c r="J203" s="33" t="s">
        <v>79</v>
      </c>
      <c r="K203" s="33" t="s">
        <v>73</v>
      </c>
      <c r="L203" s="33" t="str">
        <f t="shared" si="1"/>
        <v>FAMILIAR</v>
      </c>
      <c r="M203" s="33">
        <f t="shared" si="2"/>
        <v>3</v>
      </c>
      <c r="N203" s="33">
        <f t="shared" si="3"/>
        <v>2023</v>
      </c>
      <c r="O203" s="35" t="str">
        <f>VLOOKUP(K203,'CA y tablas'!$B$22:$C$28,2,FALSE)</f>
        <v>AMERICANO</v>
      </c>
      <c r="P203" s="28" t="str">
        <f t="shared" si="4"/>
        <v>S1</v>
      </c>
      <c r="Q203" s="29">
        <v>1.0</v>
      </c>
      <c r="R203" s="29" t="str">
        <f t="shared" si="5"/>
        <v>Q1</v>
      </c>
    </row>
    <row r="204" ht="15.75" customHeight="1">
      <c r="A204" s="22">
        <v>45012.0</v>
      </c>
      <c r="B204" s="23">
        <v>9.511692385E9</v>
      </c>
      <c r="C204" s="24" t="s">
        <v>273</v>
      </c>
      <c r="D204" s="23">
        <v>1.6238695E7</v>
      </c>
      <c r="E204" s="22">
        <v>45016.0</v>
      </c>
      <c r="F204" s="25" t="s">
        <v>69</v>
      </c>
      <c r="G204" s="26">
        <v>2.0</v>
      </c>
      <c r="H204" s="25" t="s">
        <v>112</v>
      </c>
      <c r="I204" s="25" t="s">
        <v>88</v>
      </c>
      <c r="J204" s="25" t="s">
        <v>79</v>
      </c>
      <c r="K204" s="25" t="s">
        <v>73</v>
      </c>
      <c r="L204" s="25" t="str">
        <f t="shared" si="1"/>
        <v>FAMILIAR</v>
      </c>
      <c r="M204" s="25">
        <f t="shared" si="2"/>
        <v>3</v>
      </c>
      <c r="N204" s="25">
        <f t="shared" si="3"/>
        <v>2023</v>
      </c>
      <c r="O204" s="27" t="str">
        <f>VLOOKUP(K204,'CA y tablas'!$B$22:$C$28,2,FALSE)</f>
        <v>AMERICANO</v>
      </c>
      <c r="P204" s="28" t="str">
        <f t="shared" si="4"/>
        <v>S1</v>
      </c>
      <c r="Q204" s="29">
        <v>1.0</v>
      </c>
      <c r="R204" s="29" t="str">
        <f t="shared" si="5"/>
        <v>Q1</v>
      </c>
    </row>
    <row r="205" ht="15.75" customHeight="1">
      <c r="A205" s="30">
        <v>45015.0</v>
      </c>
      <c r="B205" s="31">
        <v>4.489346411E9</v>
      </c>
      <c r="C205" s="32" t="s">
        <v>274</v>
      </c>
      <c r="D205" s="31">
        <v>3.6838383E7</v>
      </c>
      <c r="E205" s="30">
        <v>45016.0</v>
      </c>
      <c r="F205" s="33" t="s">
        <v>69</v>
      </c>
      <c r="G205" s="34">
        <v>1.0</v>
      </c>
      <c r="H205" s="33" t="s">
        <v>81</v>
      </c>
      <c r="I205" s="33" t="s">
        <v>88</v>
      </c>
      <c r="J205" s="33" t="s">
        <v>79</v>
      </c>
      <c r="K205" s="33" t="s">
        <v>73</v>
      </c>
      <c r="L205" s="33" t="str">
        <f t="shared" si="1"/>
        <v>INDIVIDUAL</v>
      </c>
      <c r="M205" s="33">
        <f t="shared" si="2"/>
        <v>3</v>
      </c>
      <c r="N205" s="33">
        <f t="shared" si="3"/>
        <v>2023</v>
      </c>
      <c r="O205" s="35" t="str">
        <f>VLOOKUP(K205,'CA y tablas'!$B$22:$C$28,2,FALSE)</f>
        <v>AMERICANO</v>
      </c>
      <c r="P205" s="28" t="str">
        <f t="shared" si="4"/>
        <v>S1</v>
      </c>
      <c r="Q205" s="29">
        <v>1.0</v>
      </c>
      <c r="R205" s="29" t="str">
        <f t="shared" si="5"/>
        <v>Q1</v>
      </c>
    </row>
    <row r="206" ht="15.75" customHeight="1">
      <c r="A206" s="22">
        <v>45013.0</v>
      </c>
      <c r="B206" s="23">
        <v>9.87303513E9</v>
      </c>
      <c r="C206" s="24" t="s">
        <v>275</v>
      </c>
      <c r="D206" s="23">
        <v>3.7658669E7</v>
      </c>
      <c r="E206" s="22">
        <v>45019.0</v>
      </c>
      <c r="F206" s="25" t="s">
        <v>69</v>
      </c>
      <c r="G206" s="26">
        <v>1.0</v>
      </c>
      <c r="H206" s="25" t="s">
        <v>81</v>
      </c>
      <c r="I206" s="25" t="s">
        <v>71</v>
      </c>
      <c r="J206" s="25" t="s">
        <v>79</v>
      </c>
      <c r="K206" s="25" t="s">
        <v>73</v>
      </c>
      <c r="L206" s="25" t="str">
        <f t="shared" si="1"/>
        <v>INDIVIDUAL</v>
      </c>
      <c r="M206" s="25">
        <f t="shared" si="2"/>
        <v>4</v>
      </c>
      <c r="N206" s="25">
        <f t="shared" si="3"/>
        <v>2023</v>
      </c>
      <c r="O206" s="27" t="str">
        <f>VLOOKUP(K206,'CA y tablas'!$B$22:$C$28,2,FALSE)</f>
        <v>AMERICANO</v>
      </c>
      <c r="P206" s="28" t="str">
        <f t="shared" si="4"/>
        <v>S1</v>
      </c>
      <c r="Q206" s="29">
        <v>1.0</v>
      </c>
      <c r="R206" s="29" t="str">
        <f t="shared" si="5"/>
        <v>Q1</v>
      </c>
    </row>
    <row r="207" ht="15.75" customHeight="1">
      <c r="A207" s="30">
        <v>45015.0</v>
      </c>
      <c r="B207" s="31">
        <v>9.784616472E9</v>
      </c>
      <c r="C207" s="32" t="s">
        <v>276</v>
      </c>
      <c r="D207" s="31">
        <v>2.3055321E7</v>
      </c>
      <c r="E207" s="30">
        <v>45019.0</v>
      </c>
      <c r="F207" s="33" t="s">
        <v>69</v>
      </c>
      <c r="G207" s="34">
        <v>1.0</v>
      </c>
      <c r="H207" s="33" t="s">
        <v>81</v>
      </c>
      <c r="I207" s="33" t="s">
        <v>71</v>
      </c>
      <c r="J207" s="33" t="s">
        <v>83</v>
      </c>
      <c r="K207" s="33" t="s">
        <v>73</v>
      </c>
      <c r="L207" s="33" t="str">
        <f t="shared" si="1"/>
        <v>INDIVIDUAL</v>
      </c>
      <c r="M207" s="33">
        <f t="shared" si="2"/>
        <v>4</v>
      </c>
      <c r="N207" s="33">
        <f t="shared" si="3"/>
        <v>2023</v>
      </c>
      <c r="O207" s="35" t="str">
        <f>VLOOKUP(K207,'CA y tablas'!$B$22:$C$28,2,FALSE)</f>
        <v>AMERICANO</v>
      </c>
      <c r="P207" s="28" t="str">
        <f t="shared" si="4"/>
        <v>S1</v>
      </c>
      <c r="Q207" s="29">
        <v>1.0</v>
      </c>
      <c r="R207" s="29" t="str">
        <f t="shared" si="5"/>
        <v>Q1</v>
      </c>
    </row>
    <row r="208" ht="15.75" customHeight="1">
      <c r="A208" s="22">
        <v>45016.0</v>
      </c>
      <c r="B208" s="23">
        <v>5.999907023E9</v>
      </c>
      <c r="C208" s="24" t="s">
        <v>277</v>
      </c>
      <c r="D208" s="23">
        <v>4.0215652E7</v>
      </c>
      <c r="E208" s="22">
        <v>45019.0</v>
      </c>
      <c r="F208" s="25" t="s">
        <v>76</v>
      </c>
      <c r="G208" s="26">
        <v>1.0</v>
      </c>
      <c r="H208" s="25" t="s">
        <v>81</v>
      </c>
      <c r="I208" s="25" t="s">
        <v>71</v>
      </c>
      <c r="J208" s="25" t="s">
        <v>83</v>
      </c>
      <c r="K208" s="25" t="s">
        <v>90</v>
      </c>
      <c r="L208" s="25" t="str">
        <f t="shared" si="1"/>
        <v>INDIVIDUAL</v>
      </c>
      <c r="M208" s="25">
        <f t="shared" si="2"/>
        <v>4</v>
      </c>
      <c r="N208" s="25">
        <f t="shared" si="3"/>
        <v>2023</v>
      </c>
      <c r="O208" s="27" t="str">
        <f>VLOOKUP(K208,'CA y tablas'!$B$22:$C$28,2,FALSE)</f>
        <v>EUROPEO</v>
      </c>
      <c r="P208" s="28" t="str">
        <f t="shared" si="4"/>
        <v>S1</v>
      </c>
      <c r="Q208" s="29">
        <v>1.0</v>
      </c>
      <c r="R208" s="29" t="str">
        <f t="shared" si="5"/>
        <v>Q1</v>
      </c>
    </row>
    <row r="209" ht="15.75" customHeight="1">
      <c r="A209" s="30">
        <v>45007.0</v>
      </c>
      <c r="B209" s="31">
        <v>1.900432726E9</v>
      </c>
      <c r="C209" s="32" t="s">
        <v>278</v>
      </c>
      <c r="D209" s="31">
        <v>2.8966573E7</v>
      </c>
      <c r="E209" s="30">
        <v>45020.0</v>
      </c>
      <c r="F209" s="33" t="s">
        <v>69</v>
      </c>
      <c r="G209" s="34">
        <v>1.0</v>
      </c>
      <c r="H209" s="33" t="s">
        <v>81</v>
      </c>
      <c r="I209" s="33" t="s">
        <v>71</v>
      </c>
      <c r="J209" s="33" t="s">
        <v>83</v>
      </c>
      <c r="K209" s="33" t="s">
        <v>90</v>
      </c>
      <c r="L209" s="33" t="str">
        <f t="shared" si="1"/>
        <v>INDIVIDUAL</v>
      </c>
      <c r="M209" s="33">
        <f t="shared" si="2"/>
        <v>4</v>
      </c>
      <c r="N209" s="33">
        <f t="shared" si="3"/>
        <v>2023</v>
      </c>
      <c r="O209" s="35" t="str">
        <f>VLOOKUP(K209,'CA y tablas'!$B$22:$C$28,2,FALSE)</f>
        <v>EUROPEO</v>
      </c>
      <c r="P209" s="28" t="str">
        <f t="shared" si="4"/>
        <v>S1</v>
      </c>
      <c r="Q209" s="29">
        <v>1.0</v>
      </c>
      <c r="R209" s="29" t="str">
        <f t="shared" si="5"/>
        <v>Q1</v>
      </c>
    </row>
    <row r="210" ht="15.75" customHeight="1">
      <c r="A210" s="22">
        <v>45008.0</v>
      </c>
      <c r="B210" s="23">
        <v>5.522736354E9</v>
      </c>
      <c r="C210" s="24" t="s">
        <v>279</v>
      </c>
      <c r="D210" s="23">
        <v>2.4409966E7</v>
      </c>
      <c r="E210" s="22">
        <v>45020.0</v>
      </c>
      <c r="F210" s="25" t="s">
        <v>69</v>
      </c>
      <c r="G210" s="26">
        <v>3.0</v>
      </c>
      <c r="H210" s="25" t="s">
        <v>81</v>
      </c>
      <c r="I210" s="25" t="s">
        <v>71</v>
      </c>
      <c r="J210" s="25" t="s">
        <v>83</v>
      </c>
      <c r="K210" s="25" t="s">
        <v>90</v>
      </c>
      <c r="L210" s="25" t="str">
        <f t="shared" si="1"/>
        <v>FAMILIAR</v>
      </c>
      <c r="M210" s="25">
        <f t="shared" si="2"/>
        <v>4</v>
      </c>
      <c r="N210" s="25">
        <f t="shared" si="3"/>
        <v>2023</v>
      </c>
      <c r="O210" s="27" t="str">
        <f>VLOOKUP(K210,'CA y tablas'!$B$22:$C$28,2,FALSE)</f>
        <v>EUROPEO</v>
      </c>
      <c r="P210" s="28" t="str">
        <f t="shared" si="4"/>
        <v>S1</v>
      </c>
      <c r="Q210" s="29">
        <v>1.0</v>
      </c>
      <c r="R210" s="29" t="str">
        <f t="shared" si="5"/>
        <v>Q1</v>
      </c>
    </row>
    <row r="211" ht="15.75" customHeight="1">
      <c r="A211" s="30">
        <v>45012.0</v>
      </c>
      <c r="B211" s="31">
        <v>7.612076415E9</v>
      </c>
      <c r="C211" s="32" t="s">
        <v>280</v>
      </c>
      <c r="D211" s="31">
        <v>1.697729E7</v>
      </c>
      <c r="E211" s="30">
        <v>45020.0</v>
      </c>
      <c r="F211" s="33" t="s">
        <v>69</v>
      </c>
      <c r="G211" s="34">
        <v>4.0</v>
      </c>
      <c r="H211" s="33" t="s">
        <v>81</v>
      </c>
      <c r="I211" s="33" t="s">
        <v>71</v>
      </c>
      <c r="J211" s="33" t="s">
        <v>83</v>
      </c>
      <c r="K211" s="33" t="s">
        <v>90</v>
      </c>
      <c r="L211" s="33" t="str">
        <f t="shared" si="1"/>
        <v>FAMILIAR</v>
      </c>
      <c r="M211" s="33">
        <f t="shared" si="2"/>
        <v>4</v>
      </c>
      <c r="N211" s="33">
        <f t="shared" si="3"/>
        <v>2023</v>
      </c>
      <c r="O211" s="35" t="str">
        <f>VLOOKUP(K211,'CA y tablas'!$B$22:$C$28,2,FALSE)</f>
        <v>EUROPEO</v>
      </c>
      <c r="P211" s="28" t="str">
        <f t="shared" si="4"/>
        <v>S1</v>
      </c>
      <c r="Q211" s="29">
        <v>1.0</v>
      </c>
      <c r="R211" s="29" t="str">
        <f t="shared" si="5"/>
        <v>Q1</v>
      </c>
    </row>
    <row r="212" ht="15.75" customHeight="1">
      <c r="A212" s="22">
        <v>45012.0</v>
      </c>
      <c r="B212" s="23">
        <v>3.182899473E9</v>
      </c>
      <c r="C212" s="24" t="s">
        <v>281</v>
      </c>
      <c r="D212" s="23">
        <v>2.758116E7</v>
      </c>
      <c r="E212" s="22">
        <v>45020.0</v>
      </c>
      <c r="F212" s="25" t="s">
        <v>69</v>
      </c>
      <c r="G212" s="26">
        <v>2.0</v>
      </c>
      <c r="H212" s="25" t="s">
        <v>81</v>
      </c>
      <c r="I212" s="25" t="s">
        <v>88</v>
      </c>
      <c r="J212" s="25" t="s">
        <v>93</v>
      </c>
      <c r="K212" s="25" t="s">
        <v>90</v>
      </c>
      <c r="L212" s="25" t="str">
        <f t="shared" si="1"/>
        <v>FAMILIAR</v>
      </c>
      <c r="M212" s="25">
        <f t="shared" si="2"/>
        <v>4</v>
      </c>
      <c r="N212" s="25">
        <f t="shared" si="3"/>
        <v>2023</v>
      </c>
      <c r="O212" s="27" t="str">
        <f>VLOOKUP(K212,'CA y tablas'!$B$22:$C$28,2,FALSE)</f>
        <v>EUROPEO</v>
      </c>
      <c r="P212" s="28" t="str">
        <f t="shared" si="4"/>
        <v>S1</v>
      </c>
      <c r="Q212" s="29">
        <v>1.0</v>
      </c>
      <c r="R212" s="29" t="str">
        <f t="shared" si="5"/>
        <v>Q1</v>
      </c>
    </row>
    <row r="213" ht="15.75" customHeight="1">
      <c r="A213" s="30">
        <v>45013.0</v>
      </c>
      <c r="B213" s="31">
        <v>3.40919467E9</v>
      </c>
      <c r="C213" s="32" t="s">
        <v>282</v>
      </c>
      <c r="D213" s="31">
        <v>3.2132798E7</v>
      </c>
      <c r="E213" s="30">
        <v>45020.0</v>
      </c>
      <c r="F213" s="33" t="s">
        <v>76</v>
      </c>
      <c r="G213" s="34">
        <v>2.0</v>
      </c>
      <c r="H213" s="33" t="s">
        <v>81</v>
      </c>
      <c r="I213" s="33" t="s">
        <v>88</v>
      </c>
      <c r="J213" s="33" t="s">
        <v>93</v>
      </c>
      <c r="K213" s="33" t="s">
        <v>90</v>
      </c>
      <c r="L213" s="33" t="str">
        <f t="shared" si="1"/>
        <v>FAMILIAR</v>
      </c>
      <c r="M213" s="33">
        <f t="shared" si="2"/>
        <v>4</v>
      </c>
      <c r="N213" s="33">
        <f t="shared" si="3"/>
        <v>2023</v>
      </c>
      <c r="O213" s="35" t="str">
        <f>VLOOKUP(K213,'CA y tablas'!$B$22:$C$28,2,FALSE)</f>
        <v>EUROPEO</v>
      </c>
      <c r="P213" s="28" t="str">
        <f t="shared" si="4"/>
        <v>S1</v>
      </c>
      <c r="Q213" s="29">
        <v>1.0</v>
      </c>
      <c r="R213" s="29" t="str">
        <f t="shared" si="5"/>
        <v>Q1</v>
      </c>
    </row>
    <row r="214" ht="15.75" customHeight="1">
      <c r="A214" s="22">
        <v>45015.0</v>
      </c>
      <c r="B214" s="23">
        <v>9.984011251E9</v>
      </c>
      <c r="C214" s="24" t="s">
        <v>283</v>
      </c>
      <c r="D214" s="23">
        <v>2.0219668E7</v>
      </c>
      <c r="E214" s="22">
        <v>45020.0</v>
      </c>
      <c r="F214" s="25" t="s">
        <v>76</v>
      </c>
      <c r="G214" s="26">
        <v>1.0</v>
      </c>
      <c r="H214" s="25" t="s">
        <v>116</v>
      </c>
      <c r="I214" s="25" t="s">
        <v>88</v>
      </c>
      <c r="J214" s="25" t="s">
        <v>93</v>
      </c>
      <c r="K214" s="25" t="s">
        <v>90</v>
      </c>
      <c r="L214" s="25" t="str">
        <f t="shared" si="1"/>
        <v>INDIVIDUAL</v>
      </c>
      <c r="M214" s="25">
        <f t="shared" si="2"/>
        <v>4</v>
      </c>
      <c r="N214" s="25">
        <f t="shared" si="3"/>
        <v>2023</v>
      </c>
      <c r="O214" s="27" t="str">
        <f>VLOOKUP(K214,'CA y tablas'!$B$22:$C$28,2,FALSE)</f>
        <v>EUROPEO</v>
      </c>
      <c r="P214" s="28" t="str">
        <f t="shared" si="4"/>
        <v>S1</v>
      </c>
      <c r="Q214" s="29">
        <v>1.0</v>
      </c>
      <c r="R214" s="29" t="str">
        <f t="shared" si="5"/>
        <v>Q1</v>
      </c>
    </row>
    <row r="215" ht="15.75" customHeight="1">
      <c r="A215" s="30">
        <v>45015.0</v>
      </c>
      <c r="B215" s="31">
        <v>9.650997215E9</v>
      </c>
      <c r="C215" s="32" t="s">
        <v>283</v>
      </c>
      <c r="D215" s="31">
        <v>2.0219668E7</v>
      </c>
      <c r="E215" s="30">
        <v>45020.0</v>
      </c>
      <c r="F215" s="33" t="s">
        <v>69</v>
      </c>
      <c r="G215" s="34">
        <v>2.0</v>
      </c>
      <c r="H215" s="33" t="s">
        <v>116</v>
      </c>
      <c r="I215" s="33" t="s">
        <v>88</v>
      </c>
      <c r="J215" s="33" t="s">
        <v>93</v>
      </c>
      <c r="K215" s="33" t="s">
        <v>90</v>
      </c>
      <c r="L215" s="33" t="str">
        <f t="shared" si="1"/>
        <v>FAMILIAR</v>
      </c>
      <c r="M215" s="33">
        <f t="shared" si="2"/>
        <v>4</v>
      </c>
      <c r="N215" s="33">
        <f t="shared" si="3"/>
        <v>2023</v>
      </c>
      <c r="O215" s="35" t="str">
        <f>VLOOKUP(K215,'CA y tablas'!$B$22:$C$28,2,FALSE)</f>
        <v>EUROPEO</v>
      </c>
      <c r="P215" s="28" t="str">
        <f t="shared" si="4"/>
        <v>S1</v>
      </c>
      <c r="Q215" s="29">
        <v>1.0</v>
      </c>
      <c r="R215" s="29" t="str">
        <f t="shared" si="5"/>
        <v>Q1</v>
      </c>
    </row>
    <row r="216" ht="15.75" customHeight="1">
      <c r="A216" s="22">
        <v>45015.0</v>
      </c>
      <c r="B216" s="23">
        <v>4.807640681E9</v>
      </c>
      <c r="C216" s="24" t="s">
        <v>283</v>
      </c>
      <c r="D216" s="23">
        <v>2.0219668E7</v>
      </c>
      <c r="E216" s="22">
        <v>45020.0</v>
      </c>
      <c r="F216" s="25" t="s">
        <v>69</v>
      </c>
      <c r="G216" s="26">
        <v>3.0</v>
      </c>
      <c r="H216" s="25" t="s">
        <v>116</v>
      </c>
      <c r="I216" s="25" t="s">
        <v>77</v>
      </c>
      <c r="J216" s="25" t="s">
        <v>93</v>
      </c>
      <c r="K216" s="25" t="s">
        <v>90</v>
      </c>
      <c r="L216" s="25" t="str">
        <f t="shared" si="1"/>
        <v>FAMILIAR</v>
      </c>
      <c r="M216" s="25">
        <f t="shared" si="2"/>
        <v>4</v>
      </c>
      <c r="N216" s="25">
        <f t="shared" si="3"/>
        <v>2023</v>
      </c>
      <c r="O216" s="27" t="str">
        <f>VLOOKUP(K216,'CA y tablas'!$B$22:$C$28,2,FALSE)</f>
        <v>EUROPEO</v>
      </c>
      <c r="P216" s="28" t="str">
        <f t="shared" si="4"/>
        <v>S1</v>
      </c>
      <c r="Q216" s="29">
        <v>1.0</v>
      </c>
      <c r="R216" s="29" t="str">
        <f t="shared" si="5"/>
        <v>Q1</v>
      </c>
    </row>
    <row r="217" ht="15.75" customHeight="1">
      <c r="A217" s="30">
        <v>45016.0</v>
      </c>
      <c r="B217" s="31">
        <v>5.203112316E9</v>
      </c>
      <c r="C217" s="32" t="s">
        <v>284</v>
      </c>
      <c r="D217" s="31">
        <v>2.4059084E7</v>
      </c>
      <c r="E217" s="30">
        <v>45020.0</v>
      </c>
      <c r="F217" s="33" t="s">
        <v>69</v>
      </c>
      <c r="G217" s="34">
        <v>1.0</v>
      </c>
      <c r="H217" s="33" t="s">
        <v>116</v>
      </c>
      <c r="I217" s="33" t="s">
        <v>77</v>
      </c>
      <c r="J217" s="33" t="s">
        <v>93</v>
      </c>
      <c r="K217" s="33" t="s">
        <v>90</v>
      </c>
      <c r="L217" s="33" t="str">
        <f t="shared" si="1"/>
        <v>INDIVIDUAL</v>
      </c>
      <c r="M217" s="33">
        <f t="shared" si="2"/>
        <v>4</v>
      </c>
      <c r="N217" s="33">
        <f t="shared" si="3"/>
        <v>2023</v>
      </c>
      <c r="O217" s="35" t="str">
        <f>VLOOKUP(K217,'CA y tablas'!$B$22:$C$28,2,FALSE)</f>
        <v>EUROPEO</v>
      </c>
      <c r="P217" s="28" t="str">
        <f t="shared" si="4"/>
        <v>S1</v>
      </c>
      <c r="Q217" s="29">
        <v>1.0</v>
      </c>
      <c r="R217" s="29" t="str">
        <f t="shared" si="5"/>
        <v>Q1</v>
      </c>
    </row>
    <row r="218" ht="15.75" customHeight="1">
      <c r="A218" s="22">
        <v>45016.0</v>
      </c>
      <c r="B218" s="23">
        <v>8.010806646E9</v>
      </c>
      <c r="C218" s="24" t="s">
        <v>285</v>
      </c>
      <c r="D218" s="23">
        <v>8085847.0</v>
      </c>
      <c r="E218" s="22">
        <v>45020.0</v>
      </c>
      <c r="F218" s="25" t="s">
        <v>69</v>
      </c>
      <c r="G218" s="26">
        <v>2.0</v>
      </c>
      <c r="H218" s="25" t="s">
        <v>116</v>
      </c>
      <c r="I218" s="25" t="s">
        <v>77</v>
      </c>
      <c r="J218" s="25" t="s">
        <v>93</v>
      </c>
      <c r="K218" s="25" t="s">
        <v>90</v>
      </c>
      <c r="L218" s="25" t="str">
        <f t="shared" si="1"/>
        <v>FAMILIAR</v>
      </c>
      <c r="M218" s="25">
        <f t="shared" si="2"/>
        <v>4</v>
      </c>
      <c r="N218" s="25">
        <f t="shared" si="3"/>
        <v>2023</v>
      </c>
      <c r="O218" s="27" t="str">
        <f>VLOOKUP(K218,'CA y tablas'!$B$22:$C$28,2,FALSE)</f>
        <v>EUROPEO</v>
      </c>
      <c r="P218" s="28" t="str">
        <f t="shared" si="4"/>
        <v>S1</v>
      </c>
      <c r="Q218" s="29">
        <v>1.0</v>
      </c>
      <c r="R218" s="29" t="str">
        <f t="shared" si="5"/>
        <v>Q1</v>
      </c>
    </row>
    <row r="219" ht="15.75" customHeight="1">
      <c r="A219" s="30">
        <v>45019.0</v>
      </c>
      <c r="B219" s="31">
        <v>8.436441031E9</v>
      </c>
      <c r="C219" s="32" t="s">
        <v>283</v>
      </c>
      <c r="D219" s="31">
        <v>2.0219668E7</v>
      </c>
      <c r="E219" s="30">
        <v>45020.0</v>
      </c>
      <c r="F219" s="33" t="s">
        <v>69</v>
      </c>
      <c r="G219" s="34">
        <v>2.0</v>
      </c>
      <c r="H219" s="33" t="s">
        <v>116</v>
      </c>
      <c r="I219" s="33" t="s">
        <v>77</v>
      </c>
      <c r="J219" s="33" t="s">
        <v>93</v>
      </c>
      <c r="K219" s="33" t="s">
        <v>99</v>
      </c>
      <c r="L219" s="33" t="str">
        <f t="shared" si="1"/>
        <v>FAMILIAR</v>
      </c>
      <c r="M219" s="33">
        <f t="shared" si="2"/>
        <v>4</v>
      </c>
      <c r="N219" s="33">
        <f t="shared" si="3"/>
        <v>2023</v>
      </c>
      <c r="O219" s="35" t="str">
        <f>VLOOKUP(K219,'CA y tablas'!$B$22:$C$28,2,FALSE)</f>
        <v>EUROPEO</v>
      </c>
      <c r="P219" s="28" t="str">
        <f t="shared" si="4"/>
        <v>S1</v>
      </c>
      <c r="Q219" s="29">
        <v>1.0</v>
      </c>
      <c r="R219" s="29" t="str">
        <f t="shared" si="5"/>
        <v>Q1</v>
      </c>
    </row>
    <row r="220" ht="15.75" customHeight="1">
      <c r="A220" s="22">
        <v>45016.0</v>
      </c>
      <c r="B220" s="23">
        <v>5.475598251E9</v>
      </c>
      <c r="C220" s="24" t="s">
        <v>286</v>
      </c>
      <c r="D220" s="23">
        <v>1.7182593E7</v>
      </c>
      <c r="E220" s="22">
        <v>45021.0</v>
      </c>
      <c r="F220" s="25" t="s">
        <v>69</v>
      </c>
      <c r="G220" s="26">
        <v>1.0</v>
      </c>
      <c r="H220" s="25" t="s">
        <v>116</v>
      </c>
      <c r="I220" s="25" t="s">
        <v>77</v>
      </c>
      <c r="J220" s="25" t="s">
        <v>93</v>
      </c>
      <c r="K220" s="25" t="s">
        <v>99</v>
      </c>
      <c r="L220" s="25" t="str">
        <f t="shared" si="1"/>
        <v>INDIVIDUAL</v>
      </c>
      <c r="M220" s="25">
        <f t="shared" si="2"/>
        <v>4</v>
      </c>
      <c r="N220" s="25">
        <f t="shared" si="3"/>
        <v>2023</v>
      </c>
      <c r="O220" s="27" t="str">
        <f>VLOOKUP(K220,'CA y tablas'!$B$22:$C$28,2,FALSE)</f>
        <v>EUROPEO</v>
      </c>
      <c r="P220" s="28" t="str">
        <f t="shared" si="4"/>
        <v>S1</v>
      </c>
      <c r="Q220" s="29">
        <v>1.0</v>
      </c>
      <c r="R220" s="29" t="str">
        <f t="shared" si="5"/>
        <v>Q1</v>
      </c>
    </row>
    <row r="221" ht="15.75" customHeight="1">
      <c r="A221" s="30">
        <v>45020.0</v>
      </c>
      <c r="B221" s="31">
        <v>7.510727464E9</v>
      </c>
      <c r="C221" s="32" t="s">
        <v>287</v>
      </c>
      <c r="D221" s="31">
        <v>4.0355581E7</v>
      </c>
      <c r="E221" s="30">
        <v>45021.0</v>
      </c>
      <c r="F221" s="33" t="s">
        <v>69</v>
      </c>
      <c r="G221" s="34">
        <v>1.0</v>
      </c>
      <c r="H221" s="33" t="s">
        <v>116</v>
      </c>
      <c r="I221" s="33" t="s">
        <v>71</v>
      </c>
      <c r="J221" s="33" t="s">
        <v>93</v>
      </c>
      <c r="K221" s="33" t="s">
        <v>99</v>
      </c>
      <c r="L221" s="33" t="str">
        <f t="shared" si="1"/>
        <v>INDIVIDUAL</v>
      </c>
      <c r="M221" s="33">
        <f t="shared" si="2"/>
        <v>4</v>
      </c>
      <c r="N221" s="33">
        <f t="shared" si="3"/>
        <v>2023</v>
      </c>
      <c r="O221" s="35" t="str">
        <f>VLOOKUP(K221,'CA y tablas'!$B$22:$C$28,2,FALSE)</f>
        <v>EUROPEO</v>
      </c>
      <c r="P221" s="28" t="str">
        <f t="shared" si="4"/>
        <v>S1</v>
      </c>
      <c r="Q221" s="29">
        <v>1.0</v>
      </c>
      <c r="R221" s="29" t="str">
        <f t="shared" si="5"/>
        <v>Q1</v>
      </c>
    </row>
    <row r="222" ht="15.75" customHeight="1">
      <c r="A222" s="22">
        <v>45021.0</v>
      </c>
      <c r="B222" s="23">
        <v>8.964012072E9</v>
      </c>
      <c r="C222" s="24" t="s">
        <v>288</v>
      </c>
      <c r="D222" s="23">
        <v>2.2397032E7</v>
      </c>
      <c r="E222" s="22">
        <v>45021.0</v>
      </c>
      <c r="F222" s="25" t="s">
        <v>69</v>
      </c>
      <c r="G222" s="26">
        <v>2.0</v>
      </c>
      <c r="H222" s="25" t="s">
        <v>116</v>
      </c>
      <c r="I222" s="25" t="s">
        <v>71</v>
      </c>
      <c r="J222" s="25" t="s">
        <v>83</v>
      </c>
      <c r="K222" s="25" t="s">
        <v>99</v>
      </c>
      <c r="L222" s="25" t="str">
        <f t="shared" si="1"/>
        <v>FAMILIAR</v>
      </c>
      <c r="M222" s="25">
        <f t="shared" si="2"/>
        <v>4</v>
      </c>
      <c r="N222" s="25">
        <f t="shared" si="3"/>
        <v>2023</v>
      </c>
      <c r="O222" s="27" t="str">
        <f>VLOOKUP(K222,'CA y tablas'!$B$22:$C$28,2,FALSE)</f>
        <v>EUROPEO</v>
      </c>
      <c r="P222" s="28" t="str">
        <f t="shared" si="4"/>
        <v>S1</v>
      </c>
      <c r="Q222" s="29">
        <v>1.0</v>
      </c>
      <c r="R222" s="29" t="str">
        <f t="shared" si="5"/>
        <v>Q1</v>
      </c>
    </row>
    <row r="223" ht="15.75" customHeight="1">
      <c r="A223" s="30">
        <v>45015.0</v>
      </c>
      <c r="B223" s="31">
        <v>9.784620893E9</v>
      </c>
      <c r="C223" s="32" t="s">
        <v>289</v>
      </c>
      <c r="D223" s="31">
        <v>3.5548868E7</v>
      </c>
      <c r="E223" s="30">
        <v>45022.0</v>
      </c>
      <c r="F223" s="33" t="s">
        <v>76</v>
      </c>
      <c r="G223" s="34">
        <v>3.0</v>
      </c>
      <c r="H223" s="33" t="s">
        <v>116</v>
      </c>
      <c r="I223" s="33" t="s">
        <v>71</v>
      </c>
      <c r="J223" s="33" t="s">
        <v>83</v>
      </c>
      <c r="K223" s="33" t="s">
        <v>107</v>
      </c>
      <c r="L223" s="33" t="str">
        <f t="shared" si="1"/>
        <v>FAMILIAR</v>
      </c>
      <c r="M223" s="33">
        <f t="shared" si="2"/>
        <v>4</v>
      </c>
      <c r="N223" s="33">
        <f t="shared" si="3"/>
        <v>2023</v>
      </c>
      <c r="O223" s="35" t="str">
        <f>VLOOKUP(K223,'CA y tablas'!$B$22:$C$28,2,FALSE)</f>
        <v>AMERICANO</v>
      </c>
      <c r="P223" s="28" t="str">
        <f t="shared" si="4"/>
        <v>S1</v>
      </c>
      <c r="Q223" s="29">
        <v>1.0</v>
      </c>
      <c r="R223" s="29" t="str">
        <f t="shared" si="5"/>
        <v>Q1</v>
      </c>
    </row>
    <row r="224" ht="15.75" customHeight="1">
      <c r="A224" s="22">
        <v>45016.0</v>
      </c>
      <c r="B224" s="23">
        <v>9.64085948E9</v>
      </c>
      <c r="C224" s="24" t="s">
        <v>290</v>
      </c>
      <c r="D224" s="23">
        <v>1.0708061E7</v>
      </c>
      <c r="E224" s="22">
        <v>45022.0</v>
      </c>
      <c r="F224" s="25" t="s">
        <v>69</v>
      </c>
      <c r="G224" s="26">
        <v>1.0</v>
      </c>
      <c r="H224" s="25" t="s">
        <v>116</v>
      </c>
      <c r="I224" s="25" t="s">
        <v>71</v>
      </c>
      <c r="J224" s="25" t="s">
        <v>83</v>
      </c>
      <c r="K224" s="25" t="s">
        <v>107</v>
      </c>
      <c r="L224" s="25" t="str">
        <f t="shared" si="1"/>
        <v>INDIVIDUAL</v>
      </c>
      <c r="M224" s="25">
        <f t="shared" si="2"/>
        <v>4</v>
      </c>
      <c r="N224" s="25">
        <f t="shared" si="3"/>
        <v>2023</v>
      </c>
      <c r="O224" s="27" t="str">
        <f>VLOOKUP(K224,'CA y tablas'!$B$22:$C$28,2,FALSE)</f>
        <v>AMERICANO</v>
      </c>
      <c r="P224" s="28" t="str">
        <f t="shared" si="4"/>
        <v>S1</v>
      </c>
      <c r="Q224" s="29">
        <v>1.0</v>
      </c>
      <c r="R224" s="29" t="str">
        <f t="shared" si="5"/>
        <v>Q1</v>
      </c>
    </row>
    <row r="225" ht="15.75" customHeight="1">
      <c r="A225" s="30">
        <v>45016.0</v>
      </c>
      <c r="B225" s="31">
        <v>8.010803835E9</v>
      </c>
      <c r="C225" s="32" t="s">
        <v>290</v>
      </c>
      <c r="D225" s="31">
        <v>1.0708061E7</v>
      </c>
      <c r="E225" s="30">
        <v>45022.0</v>
      </c>
      <c r="F225" s="33" t="s">
        <v>69</v>
      </c>
      <c r="G225" s="34">
        <v>2.0</v>
      </c>
      <c r="H225" s="33" t="s">
        <v>116</v>
      </c>
      <c r="I225" s="33" t="s">
        <v>71</v>
      </c>
      <c r="J225" s="33" t="s">
        <v>83</v>
      </c>
      <c r="K225" s="33" t="s">
        <v>107</v>
      </c>
      <c r="L225" s="33" t="str">
        <f t="shared" si="1"/>
        <v>FAMILIAR</v>
      </c>
      <c r="M225" s="33">
        <f t="shared" si="2"/>
        <v>4</v>
      </c>
      <c r="N225" s="33">
        <f t="shared" si="3"/>
        <v>2023</v>
      </c>
      <c r="O225" s="35" t="str">
        <f>VLOOKUP(K225,'CA y tablas'!$B$22:$C$28,2,FALSE)</f>
        <v>AMERICANO</v>
      </c>
      <c r="P225" s="28" t="str">
        <f t="shared" si="4"/>
        <v>S1</v>
      </c>
      <c r="Q225" s="29">
        <v>1.0</v>
      </c>
      <c r="R225" s="29" t="str">
        <f t="shared" si="5"/>
        <v>Q1</v>
      </c>
    </row>
    <row r="226" ht="15.75" customHeight="1">
      <c r="A226" s="22">
        <v>45016.0</v>
      </c>
      <c r="B226" s="23">
        <v>1.418955753E9</v>
      </c>
      <c r="C226" s="24" t="s">
        <v>290</v>
      </c>
      <c r="D226" s="23">
        <v>1.0708061E7</v>
      </c>
      <c r="E226" s="22">
        <v>45022.0</v>
      </c>
      <c r="F226" s="25" t="s">
        <v>76</v>
      </c>
      <c r="G226" s="26">
        <v>1.0</v>
      </c>
      <c r="H226" s="25" t="s">
        <v>116</v>
      </c>
      <c r="I226" s="25" t="s">
        <v>71</v>
      </c>
      <c r="J226" s="25" t="s">
        <v>83</v>
      </c>
      <c r="K226" s="25" t="s">
        <v>107</v>
      </c>
      <c r="L226" s="25" t="str">
        <f t="shared" si="1"/>
        <v>INDIVIDUAL</v>
      </c>
      <c r="M226" s="25">
        <f t="shared" si="2"/>
        <v>4</v>
      </c>
      <c r="N226" s="25">
        <f t="shared" si="3"/>
        <v>2023</v>
      </c>
      <c r="O226" s="27" t="str">
        <f>VLOOKUP(K226,'CA y tablas'!$B$22:$C$28,2,FALSE)</f>
        <v>AMERICANO</v>
      </c>
      <c r="P226" s="28" t="str">
        <f t="shared" si="4"/>
        <v>S1</v>
      </c>
      <c r="Q226" s="29">
        <v>1.0</v>
      </c>
      <c r="R226" s="29" t="str">
        <f t="shared" si="5"/>
        <v>Q1</v>
      </c>
    </row>
    <row r="227" ht="15.75" customHeight="1">
      <c r="A227" s="30">
        <v>45020.0</v>
      </c>
      <c r="B227" s="31">
        <v>1.79823714E9</v>
      </c>
      <c r="C227" s="32" t="s">
        <v>291</v>
      </c>
      <c r="D227" s="31">
        <v>1.2149548E7</v>
      </c>
      <c r="E227" s="30">
        <v>45026.0</v>
      </c>
      <c r="F227" s="33" t="s">
        <v>76</v>
      </c>
      <c r="G227" s="34">
        <v>1.0</v>
      </c>
      <c r="H227" s="33" t="s">
        <v>116</v>
      </c>
      <c r="I227" s="33" t="s">
        <v>71</v>
      </c>
      <c r="J227" s="33" t="s">
        <v>83</v>
      </c>
      <c r="K227" s="33" t="s">
        <v>107</v>
      </c>
      <c r="L227" s="33" t="str">
        <f t="shared" si="1"/>
        <v>INDIVIDUAL</v>
      </c>
      <c r="M227" s="33">
        <f t="shared" si="2"/>
        <v>4</v>
      </c>
      <c r="N227" s="33">
        <f t="shared" si="3"/>
        <v>2023</v>
      </c>
      <c r="O227" s="35" t="str">
        <f>VLOOKUP(K227,'CA y tablas'!$B$22:$C$28,2,FALSE)</f>
        <v>AMERICANO</v>
      </c>
      <c r="P227" s="28" t="str">
        <f t="shared" si="4"/>
        <v>S1</v>
      </c>
      <c r="Q227" s="29">
        <v>1.0</v>
      </c>
      <c r="R227" s="29" t="str">
        <f t="shared" si="5"/>
        <v>Q1</v>
      </c>
    </row>
    <row r="228" ht="15.75" customHeight="1">
      <c r="A228" s="22">
        <v>45021.0</v>
      </c>
      <c r="B228" s="23">
        <v>4.93211656E9</v>
      </c>
      <c r="C228" s="24" t="s">
        <v>292</v>
      </c>
      <c r="D228" s="23">
        <v>1.8185053E7</v>
      </c>
      <c r="E228" s="22">
        <v>45026.0</v>
      </c>
      <c r="F228" s="25" t="s">
        <v>69</v>
      </c>
      <c r="G228" s="26">
        <v>1.0</v>
      </c>
      <c r="H228" s="25" t="s">
        <v>116</v>
      </c>
      <c r="I228" s="25" t="s">
        <v>71</v>
      </c>
      <c r="J228" s="25" t="s">
        <v>83</v>
      </c>
      <c r="K228" s="25" t="s">
        <v>73</v>
      </c>
      <c r="L228" s="25" t="str">
        <f t="shared" si="1"/>
        <v>INDIVIDUAL</v>
      </c>
      <c r="M228" s="25">
        <f t="shared" si="2"/>
        <v>4</v>
      </c>
      <c r="N228" s="25">
        <f t="shared" si="3"/>
        <v>2023</v>
      </c>
      <c r="O228" s="27" t="str">
        <f>VLOOKUP(K228,'CA y tablas'!$B$22:$C$28,2,FALSE)</f>
        <v>AMERICANO</v>
      </c>
      <c r="P228" s="28" t="str">
        <f t="shared" si="4"/>
        <v>S1</v>
      </c>
      <c r="Q228" s="29">
        <v>1.0</v>
      </c>
      <c r="R228" s="29" t="str">
        <f t="shared" si="5"/>
        <v>Q1</v>
      </c>
    </row>
    <row r="229" ht="15.75" customHeight="1">
      <c r="A229" s="30">
        <v>45026.0</v>
      </c>
      <c r="B229" s="31">
        <v>9.497807336E9</v>
      </c>
      <c r="C229" s="32" t="s">
        <v>293</v>
      </c>
      <c r="D229" s="31">
        <v>2.2397032E7</v>
      </c>
      <c r="E229" s="30">
        <v>45027.0</v>
      </c>
      <c r="F229" s="33" t="s">
        <v>69</v>
      </c>
      <c r="G229" s="34">
        <v>2.0</v>
      </c>
      <c r="H229" s="33" t="s">
        <v>116</v>
      </c>
      <c r="I229" s="33" t="s">
        <v>71</v>
      </c>
      <c r="J229" s="33" t="s">
        <v>83</v>
      </c>
      <c r="K229" s="33" t="s">
        <v>73</v>
      </c>
      <c r="L229" s="33" t="str">
        <f t="shared" si="1"/>
        <v>FAMILIAR</v>
      </c>
      <c r="M229" s="33">
        <f t="shared" si="2"/>
        <v>4</v>
      </c>
      <c r="N229" s="33">
        <f t="shared" si="3"/>
        <v>2023</v>
      </c>
      <c r="O229" s="35" t="str">
        <f>VLOOKUP(K229,'CA y tablas'!$B$22:$C$28,2,FALSE)</f>
        <v>AMERICANO</v>
      </c>
      <c r="P229" s="28" t="str">
        <f t="shared" si="4"/>
        <v>S1</v>
      </c>
      <c r="Q229" s="29">
        <v>1.0</v>
      </c>
      <c r="R229" s="29" t="str">
        <f t="shared" si="5"/>
        <v>Q1</v>
      </c>
    </row>
    <row r="230" ht="15.75" customHeight="1">
      <c r="A230" s="22">
        <v>45026.0</v>
      </c>
      <c r="B230" s="23">
        <v>4.61077855E9</v>
      </c>
      <c r="C230" s="24" t="s">
        <v>294</v>
      </c>
      <c r="D230" s="23">
        <v>1.3278277E7</v>
      </c>
      <c r="E230" s="22">
        <v>45027.0</v>
      </c>
      <c r="F230" s="25" t="s">
        <v>76</v>
      </c>
      <c r="G230" s="26">
        <v>2.0</v>
      </c>
      <c r="H230" s="25" t="s">
        <v>116</v>
      </c>
      <c r="I230" s="25" t="s">
        <v>71</v>
      </c>
      <c r="J230" s="25" t="s">
        <v>83</v>
      </c>
      <c r="K230" s="25" t="s">
        <v>73</v>
      </c>
      <c r="L230" s="25" t="str">
        <f t="shared" si="1"/>
        <v>FAMILIAR</v>
      </c>
      <c r="M230" s="25">
        <f t="shared" si="2"/>
        <v>4</v>
      </c>
      <c r="N230" s="25">
        <f t="shared" si="3"/>
        <v>2023</v>
      </c>
      <c r="O230" s="27" t="str">
        <f>VLOOKUP(K230,'CA y tablas'!$B$22:$C$28,2,FALSE)</f>
        <v>AMERICANO</v>
      </c>
      <c r="P230" s="28" t="str">
        <f t="shared" si="4"/>
        <v>S1</v>
      </c>
      <c r="Q230" s="29">
        <v>1.0</v>
      </c>
      <c r="R230" s="29" t="str">
        <f t="shared" si="5"/>
        <v>Q1</v>
      </c>
    </row>
    <row r="231" ht="15.75" customHeight="1">
      <c r="A231" s="30">
        <v>44988.0</v>
      </c>
      <c r="B231" s="31">
        <v>6.853797602E9</v>
      </c>
      <c r="C231" s="32" t="s">
        <v>295</v>
      </c>
      <c r="D231" s="31">
        <v>1.7861097E7</v>
      </c>
      <c r="E231" s="30">
        <v>45028.0</v>
      </c>
      <c r="F231" s="33" t="s">
        <v>69</v>
      </c>
      <c r="G231" s="34">
        <v>3.0</v>
      </c>
      <c r="H231" s="33" t="s">
        <v>116</v>
      </c>
      <c r="I231" s="33" t="s">
        <v>71</v>
      </c>
      <c r="J231" s="33" t="s">
        <v>83</v>
      </c>
      <c r="K231" s="33" t="s">
        <v>73</v>
      </c>
      <c r="L231" s="33" t="str">
        <f t="shared" si="1"/>
        <v>FAMILIAR</v>
      </c>
      <c r="M231" s="33">
        <f t="shared" si="2"/>
        <v>4</v>
      </c>
      <c r="N231" s="33">
        <f t="shared" si="3"/>
        <v>2023</v>
      </c>
      <c r="O231" s="35" t="str">
        <f>VLOOKUP(K231,'CA y tablas'!$B$22:$C$28,2,FALSE)</f>
        <v>AMERICANO</v>
      </c>
      <c r="P231" s="28" t="str">
        <f t="shared" si="4"/>
        <v>S1</v>
      </c>
      <c r="Q231" s="29">
        <v>1.0</v>
      </c>
      <c r="R231" s="29" t="str">
        <f t="shared" si="5"/>
        <v>Q1</v>
      </c>
    </row>
    <row r="232" ht="15.75" customHeight="1">
      <c r="A232" s="22">
        <v>44992.0</v>
      </c>
      <c r="B232" s="23">
        <v>8.255234805E9</v>
      </c>
      <c r="C232" s="24" t="s">
        <v>296</v>
      </c>
      <c r="D232" s="23">
        <v>2.7594189E7</v>
      </c>
      <c r="E232" s="22">
        <v>45028.0</v>
      </c>
      <c r="F232" s="25" t="s">
        <v>76</v>
      </c>
      <c r="G232" s="26">
        <v>3.0</v>
      </c>
      <c r="H232" s="25" t="s">
        <v>116</v>
      </c>
      <c r="I232" s="25" t="s">
        <v>71</v>
      </c>
      <c r="J232" s="25" t="s">
        <v>98</v>
      </c>
      <c r="K232" s="25" t="s">
        <v>73</v>
      </c>
      <c r="L232" s="25" t="str">
        <f t="shared" si="1"/>
        <v>FAMILIAR</v>
      </c>
      <c r="M232" s="25">
        <f t="shared" si="2"/>
        <v>4</v>
      </c>
      <c r="N232" s="25">
        <f t="shared" si="3"/>
        <v>2023</v>
      </c>
      <c r="O232" s="27" t="str">
        <f>VLOOKUP(K232,'CA y tablas'!$B$22:$C$28,2,FALSE)</f>
        <v>AMERICANO</v>
      </c>
      <c r="P232" s="28" t="str">
        <f t="shared" si="4"/>
        <v>S1</v>
      </c>
      <c r="Q232" s="29">
        <v>1.0</v>
      </c>
      <c r="R232" s="29" t="str">
        <f t="shared" si="5"/>
        <v>Q1</v>
      </c>
    </row>
    <row r="233" ht="15.75" customHeight="1">
      <c r="A233" s="30">
        <v>45020.0</v>
      </c>
      <c r="B233" s="31">
        <v>7.504707416E9</v>
      </c>
      <c r="C233" s="32" t="s">
        <v>297</v>
      </c>
      <c r="D233" s="31">
        <v>2.9666845E7</v>
      </c>
      <c r="E233" s="30">
        <v>45028.0</v>
      </c>
      <c r="F233" s="33" t="s">
        <v>69</v>
      </c>
      <c r="G233" s="34">
        <v>2.0</v>
      </c>
      <c r="H233" s="33" t="s">
        <v>116</v>
      </c>
      <c r="I233" s="33" t="s">
        <v>71</v>
      </c>
      <c r="J233" s="33" t="s">
        <v>98</v>
      </c>
      <c r="K233" s="33" t="s">
        <v>73</v>
      </c>
      <c r="L233" s="33" t="str">
        <f t="shared" si="1"/>
        <v>FAMILIAR</v>
      </c>
      <c r="M233" s="33">
        <f t="shared" si="2"/>
        <v>4</v>
      </c>
      <c r="N233" s="33">
        <f t="shared" si="3"/>
        <v>2023</v>
      </c>
      <c r="O233" s="35" t="str">
        <f>VLOOKUP(K233,'CA y tablas'!$B$22:$C$28,2,FALSE)</f>
        <v>AMERICANO</v>
      </c>
      <c r="P233" s="28" t="str">
        <f t="shared" si="4"/>
        <v>S1</v>
      </c>
      <c r="Q233" s="29">
        <v>1.0</v>
      </c>
      <c r="R233" s="29" t="str">
        <f t="shared" si="5"/>
        <v>Q1</v>
      </c>
    </row>
    <row r="234" ht="15.75" customHeight="1">
      <c r="A234" s="22">
        <v>45021.0</v>
      </c>
      <c r="B234" s="23">
        <v>4.932088081E9</v>
      </c>
      <c r="C234" s="24" t="s">
        <v>298</v>
      </c>
      <c r="D234" s="23">
        <v>7086550.0</v>
      </c>
      <c r="E234" s="22">
        <v>45028.0</v>
      </c>
      <c r="F234" s="25" t="s">
        <v>69</v>
      </c>
      <c r="G234" s="26">
        <v>1.0</v>
      </c>
      <c r="H234" s="25" t="s">
        <v>116</v>
      </c>
      <c r="I234" s="25" t="s">
        <v>71</v>
      </c>
      <c r="J234" s="25" t="s">
        <v>98</v>
      </c>
      <c r="K234" s="25" t="s">
        <v>73</v>
      </c>
      <c r="L234" s="25" t="str">
        <f t="shared" si="1"/>
        <v>INDIVIDUAL</v>
      </c>
      <c r="M234" s="25">
        <f t="shared" si="2"/>
        <v>4</v>
      </c>
      <c r="N234" s="25">
        <f t="shared" si="3"/>
        <v>2023</v>
      </c>
      <c r="O234" s="27" t="str">
        <f>VLOOKUP(K234,'CA y tablas'!$B$22:$C$28,2,FALSE)</f>
        <v>AMERICANO</v>
      </c>
      <c r="P234" s="28" t="str">
        <f t="shared" si="4"/>
        <v>S1</v>
      </c>
      <c r="Q234" s="29">
        <v>1.0</v>
      </c>
      <c r="R234" s="29" t="str">
        <f t="shared" si="5"/>
        <v>Q1</v>
      </c>
    </row>
    <row r="235" ht="15.75" customHeight="1">
      <c r="A235" s="30">
        <v>45021.0</v>
      </c>
      <c r="B235" s="31">
        <v>2.061657732E9</v>
      </c>
      <c r="C235" s="32" t="s">
        <v>299</v>
      </c>
      <c r="D235" s="31">
        <v>2.2877491E7</v>
      </c>
      <c r="E235" s="30">
        <v>45028.0</v>
      </c>
      <c r="F235" s="33" t="s">
        <v>76</v>
      </c>
      <c r="G235" s="34">
        <v>1.0</v>
      </c>
      <c r="H235" s="33" t="s">
        <v>70</v>
      </c>
      <c r="I235" s="33" t="s">
        <v>71</v>
      </c>
      <c r="J235" s="33" t="s">
        <v>98</v>
      </c>
      <c r="K235" s="33" t="s">
        <v>73</v>
      </c>
      <c r="L235" s="33" t="str">
        <f t="shared" si="1"/>
        <v>INDIVIDUAL</v>
      </c>
      <c r="M235" s="33">
        <f t="shared" si="2"/>
        <v>4</v>
      </c>
      <c r="N235" s="33">
        <f t="shared" si="3"/>
        <v>2023</v>
      </c>
      <c r="O235" s="35" t="str">
        <f>VLOOKUP(K235,'CA y tablas'!$B$22:$C$28,2,FALSE)</f>
        <v>AMERICANO</v>
      </c>
      <c r="P235" s="28" t="str">
        <f t="shared" si="4"/>
        <v>S1</v>
      </c>
      <c r="Q235" s="29">
        <v>1.0</v>
      </c>
      <c r="R235" s="29" t="str">
        <f t="shared" si="5"/>
        <v>Q1</v>
      </c>
    </row>
    <row r="236" ht="15.75" customHeight="1">
      <c r="A236" s="22">
        <v>45021.0</v>
      </c>
      <c r="B236" s="23">
        <v>8.663145724E9</v>
      </c>
      <c r="C236" s="24" t="s">
        <v>300</v>
      </c>
      <c r="D236" s="23">
        <v>4.5667846E7</v>
      </c>
      <c r="E236" s="22">
        <v>45028.0</v>
      </c>
      <c r="F236" s="25" t="s">
        <v>69</v>
      </c>
      <c r="G236" s="26">
        <v>1.0</v>
      </c>
      <c r="H236" s="25" t="s">
        <v>70</v>
      </c>
      <c r="I236" s="25" t="s">
        <v>71</v>
      </c>
      <c r="J236" s="25" t="s">
        <v>98</v>
      </c>
      <c r="K236" s="25" t="s">
        <v>73</v>
      </c>
      <c r="L236" s="25" t="str">
        <f t="shared" si="1"/>
        <v>INDIVIDUAL</v>
      </c>
      <c r="M236" s="25">
        <f t="shared" si="2"/>
        <v>4</v>
      </c>
      <c r="N236" s="25">
        <f t="shared" si="3"/>
        <v>2023</v>
      </c>
      <c r="O236" s="27" t="str">
        <f>VLOOKUP(K236,'CA y tablas'!$B$22:$C$28,2,FALSE)</f>
        <v>AMERICANO</v>
      </c>
      <c r="P236" s="28" t="str">
        <f t="shared" si="4"/>
        <v>S1</v>
      </c>
      <c r="Q236" s="29">
        <v>1.0</v>
      </c>
      <c r="R236" s="29" t="str">
        <f t="shared" si="5"/>
        <v>Q1</v>
      </c>
    </row>
    <row r="237" ht="15.75" customHeight="1">
      <c r="A237" s="30">
        <v>45026.0</v>
      </c>
      <c r="B237" s="31">
        <v>4.727163744E9</v>
      </c>
      <c r="C237" s="32" t="s">
        <v>297</v>
      </c>
      <c r="D237" s="31">
        <v>2.9666845E7</v>
      </c>
      <c r="E237" s="30">
        <v>45028.0</v>
      </c>
      <c r="F237" s="33" t="s">
        <v>69</v>
      </c>
      <c r="G237" s="34">
        <v>2.0</v>
      </c>
      <c r="H237" s="33" t="s">
        <v>70</v>
      </c>
      <c r="I237" s="33" t="s">
        <v>71</v>
      </c>
      <c r="J237" s="33" t="s">
        <v>98</v>
      </c>
      <c r="K237" s="33" t="s">
        <v>73</v>
      </c>
      <c r="L237" s="33" t="str">
        <f t="shared" si="1"/>
        <v>FAMILIAR</v>
      </c>
      <c r="M237" s="33">
        <f t="shared" si="2"/>
        <v>4</v>
      </c>
      <c r="N237" s="33">
        <f t="shared" si="3"/>
        <v>2023</v>
      </c>
      <c r="O237" s="35" t="str">
        <f>VLOOKUP(K237,'CA y tablas'!$B$22:$C$28,2,FALSE)</f>
        <v>AMERICANO</v>
      </c>
      <c r="P237" s="28" t="str">
        <f t="shared" si="4"/>
        <v>S1</v>
      </c>
      <c r="Q237" s="29">
        <v>1.0</v>
      </c>
      <c r="R237" s="29" t="str">
        <f t="shared" si="5"/>
        <v>Q1</v>
      </c>
    </row>
    <row r="238" ht="15.75" customHeight="1">
      <c r="A238" s="22">
        <v>45026.0</v>
      </c>
      <c r="B238" s="23">
        <v>8.482407371E9</v>
      </c>
      <c r="C238" s="24" t="s">
        <v>297</v>
      </c>
      <c r="D238" s="23">
        <v>2.9666845E7</v>
      </c>
      <c r="E238" s="22">
        <v>45028.0</v>
      </c>
      <c r="F238" s="25" t="s">
        <v>76</v>
      </c>
      <c r="G238" s="26">
        <v>2.0</v>
      </c>
      <c r="H238" s="25" t="s">
        <v>70</v>
      </c>
      <c r="I238" s="25" t="s">
        <v>71</v>
      </c>
      <c r="J238" s="25" t="s">
        <v>83</v>
      </c>
      <c r="K238" s="25" t="s">
        <v>73</v>
      </c>
      <c r="L238" s="25" t="str">
        <f t="shared" si="1"/>
        <v>FAMILIAR</v>
      </c>
      <c r="M238" s="25">
        <f t="shared" si="2"/>
        <v>4</v>
      </c>
      <c r="N238" s="25">
        <f t="shared" si="3"/>
        <v>2023</v>
      </c>
      <c r="O238" s="27" t="str">
        <f>VLOOKUP(K238,'CA y tablas'!$B$22:$C$28,2,FALSE)</f>
        <v>AMERICANO</v>
      </c>
      <c r="P238" s="28" t="str">
        <f t="shared" si="4"/>
        <v>S1</v>
      </c>
      <c r="Q238" s="29">
        <v>1.0</v>
      </c>
      <c r="R238" s="29" t="str">
        <f t="shared" si="5"/>
        <v>Q1</v>
      </c>
    </row>
    <row r="239" ht="15.75" customHeight="1">
      <c r="A239" s="30">
        <v>45027.0</v>
      </c>
      <c r="B239" s="31">
        <v>6.09845733E9</v>
      </c>
      <c r="C239" s="32" t="s">
        <v>301</v>
      </c>
      <c r="D239" s="31">
        <v>1.3848282E7</v>
      </c>
      <c r="E239" s="30">
        <v>45028.0</v>
      </c>
      <c r="F239" s="33" t="s">
        <v>69</v>
      </c>
      <c r="G239" s="34">
        <v>3.0</v>
      </c>
      <c r="H239" s="33" t="s">
        <v>70</v>
      </c>
      <c r="I239" s="33" t="s">
        <v>71</v>
      </c>
      <c r="J239" s="33" t="s">
        <v>83</v>
      </c>
      <c r="K239" s="33" t="s">
        <v>99</v>
      </c>
      <c r="L239" s="33" t="str">
        <f t="shared" si="1"/>
        <v>FAMILIAR</v>
      </c>
      <c r="M239" s="33">
        <f t="shared" si="2"/>
        <v>4</v>
      </c>
      <c r="N239" s="33">
        <f t="shared" si="3"/>
        <v>2023</v>
      </c>
      <c r="O239" s="35" t="str">
        <f>VLOOKUP(K239,'CA y tablas'!$B$22:$C$28,2,FALSE)</f>
        <v>EUROPEO</v>
      </c>
      <c r="P239" s="28" t="str">
        <f t="shared" si="4"/>
        <v>S1</v>
      </c>
      <c r="Q239" s="29">
        <v>1.0</v>
      </c>
      <c r="R239" s="29" t="str">
        <f t="shared" si="5"/>
        <v>Q1</v>
      </c>
    </row>
    <row r="240" ht="15.75" customHeight="1">
      <c r="A240" s="22">
        <v>45027.0</v>
      </c>
      <c r="B240" s="23">
        <v>6.098478245E9</v>
      </c>
      <c r="C240" s="24" t="s">
        <v>302</v>
      </c>
      <c r="D240" s="23">
        <v>2.6782176E7</v>
      </c>
      <c r="E240" s="22">
        <v>45028.0</v>
      </c>
      <c r="F240" s="25" t="s">
        <v>69</v>
      </c>
      <c r="G240" s="26">
        <v>1.0</v>
      </c>
      <c r="H240" s="25" t="s">
        <v>70</v>
      </c>
      <c r="I240" s="25" t="s">
        <v>77</v>
      </c>
      <c r="J240" s="25" t="s">
        <v>83</v>
      </c>
      <c r="K240" s="25" t="s">
        <v>99</v>
      </c>
      <c r="L240" s="25" t="str">
        <f t="shared" si="1"/>
        <v>INDIVIDUAL</v>
      </c>
      <c r="M240" s="25">
        <f t="shared" si="2"/>
        <v>4</v>
      </c>
      <c r="N240" s="25">
        <f t="shared" si="3"/>
        <v>2023</v>
      </c>
      <c r="O240" s="27" t="str">
        <f>VLOOKUP(K240,'CA y tablas'!$B$22:$C$28,2,FALSE)</f>
        <v>EUROPEO</v>
      </c>
      <c r="P240" s="28" t="str">
        <f t="shared" si="4"/>
        <v>S1</v>
      </c>
      <c r="Q240" s="29">
        <v>1.0</v>
      </c>
      <c r="R240" s="29" t="str">
        <f t="shared" si="5"/>
        <v>Q1</v>
      </c>
    </row>
    <row r="241" ht="15.75" customHeight="1">
      <c r="A241" s="30">
        <v>45027.0</v>
      </c>
      <c r="B241" s="31">
        <v>8.242209205E9</v>
      </c>
      <c r="C241" s="32" t="s">
        <v>302</v>
      </c>
      <c r="D241" s="31">
        <v>2.6782176E7</v>
      </c>
      <c r="E241" s="30">
        <v>45028.0</v>
      </c>
      <c r="F241" s="33" t="s">
        <v>69</v>
      </c>
      <c r="G241" s="34">
        <v>3.0</v>
      </c>
      <c r="H241" s="33" t="s">
        <v>70</v>
      </c>
      <c r="I241" s="33" t="s">
        <v>77</v>
      </c>
      <c r="J241" s="33" t="s">
        <v>83</v>
      </c>
      <c r="K241" s="33" t="s">
        <v>99</v>
      </c>
      <c r="L241" s="33" t="str">
        <f t="shared" si="1"/>
        <v>FAMILIAR</v>
      </c>
      <c r="M241" s="33">
        <f t="shared" si="2"/>
        <v>4</v>
      </c>
      <c r="N241" s="33">
        <f t="shared" si="3"/>
        <v>2023</v>
      </c>
      <c r="O241" s="35" t="str">
        <f>VLOOKUP(K241,'CA y tablas'!$B$22:$C$28,2,FALSE)</f>
        <v>EUROPEO</v>
      </c>
      <c r="P241" s="28" t="str">
        <f t="shared" si="4"/>
        <v>S1</v>
      </c>
      <c r="Q241" s="29">
        <v>1.0</v>
      </c>
      <c r="R241" s="29" t="str">
        <f t="shared" si="5"/>
        <v>Q1</v>
      </c>
    </row>
    <row r="242" ht="15.75" customHeight="1">
      <c r="A242" s="22">
        <v>45027.0</v>
      </c>
      <c r="B242" s="23">
        <v>8.198588554E9</v>
      </c>
      <c r="C242" s="24" t="s">
        <v>303</v>
      </c>
      <c r="D242" s="23">
        <v>2.0433157E7</v>
      </c>
      <c r="E242" s="22">
        <v>45028.0</v>
      </c>
      <c r="F242" s="25" t="s">
        <v>69</v>
      </c>
      <c r="G242" s="26">
        <v>2.0</v>
      </c>
      <c r="H242" s="25" t="s">
        <v>70</v>
      </c>
      <c r="I242" s="25" t="s">
        <v>77</v>
      </c>
      <c r="J242" s="25" t="s">
        <v>83</v>
      </c>
      <c r="K242" s="25" t="s">
        <v>99</v>
      </c>
      <c r="L242" s="25" t="str">
        <f t="shared" si="1"/>
        <v>FAMILIAR</v>
      </c>
      <c r="M242" s="25">
        <f t="shared" si="2"/>
        <v>4</v>
      </c>
      <c r="N242" s="25">
        <f t="shared" si="3"/>
        <v>2023</v>
      </c>
      <c r="O242" s="27" t="str">
        <f>VLOOKUP(K242,'CA y tablas'!$B$22:$C$28,2,FALSE)</f>
        <v>EUROPEO</v>
      </c>
      <c r="P242" s="28" t="str">
        <f t="shared" si="4"/>
        <v>S1</v>
      </c>
      <c r="Q242" s="29">
        <v>1.0</v>
      </c>
      <c r="R242" s="29" t="str">
        <f t="shared" si="5"/>
        <v>Q1</v>
      </c>
    </row>
    <row r="243" ht="15.75" customHeight="1">
      <c r="A243" s="30">
        <v>45027.0</v>
      </c>
      <c r="B243" s="31">
        <v>1.170049613E9</v>
      </c>
      <c r="C243" s="32" t="s">
        <v>304</v>
      </c>
      <c r="D243" s="31">
        <v>1.2148895E7</v>
      </c>
      <c r="E243" s="30">
        <v>45028.0</v>
      </c>
      <c r="F243" s="33" t="s">
        <v>76</v>
      </c>
      <c r="G243" s="34">
        <v>1.0</v>
      </c>
      <c r="H243" s="33" t="s">
        <v>70</v>
      </c>
      <c r="I243" s="33" t="s">
        <v>77</v>
      </c>
      <c r="J243" s="33" t="s">
        <v>83</v>
      </c>
      <c r="K243" s="33" t="s">
        <v>99</v>
      </c>
      <c r="L243" s="33" t="str">
        <f t="shared" si="1"/>
        <v>INDIVIDUAL</v>
      </c>
      <c r="M243" s="33">
        <f t="shared" si="2"/>
        <v>4</v>
      </c>
      <c r="N243" s="33">
        <f t="shared" si="3"/>
        <v>2023</v>
      </c>
      <c r="O243" s="35" t="str">
        <f>VLOOKUP(K243,'CA y tablas'!$B$22:$C$28,2,FALSE)</f>
        <v>EUROPEO</v>
      </c>
      <c r="P243" s="28" t="str">
        <f t="shared" si="4"/>
        <v>S1</v>
      </c>
      <c r="Q243" s="29">
        <v>1.0</v>
      </c>
      <c r="R243" s="29" t="str">
        <f t="shared" si="5"/>
        <v>Q1</v>
      </c>
    </row>
    <row r="244" ht="15.75" customHeight="1">
      <c r="A244" s="22">
        <v>45028.0</v>
      </c>
      <c r="B244" s="23">
        <v>9.50757332E9</v>
      </c>
      <c r="C244" s="24" t="s">
        <v>305</v>
      </c>
      <c r="D244" s="23">
        <v>4.0697876E7</v>
      </c>
      <c r="E244" s="22">
        <v>45029.0</v>
      </c>
      <c r="F244" s="25" t="s">
        <v>76</v>
      </c>
      <c r="G244" s="26">
        <v>1.0</v>
      </c>
      <c r="H244" s="25" t="s">
        <v>70</v>
      </c>
      <c r="I244" s="25" t="s">
        <v>77</v>
      </c>
      <c r="J244" s="25" t="s">
        <v>98</v>
      </c>
      <c r="K244" s="25" t="s">
        <v>99</v>
      </c>
      <c r="L244" s="25" t="str">
        <f t="shared" si="1"/>
        <v>INDIVIDUAL</v>
      </c>
      <c r="M244" s="25">
        <f t="shared" si="2"/>
        <v>4</v>
      </c>
      <c r="N244" s="25">
        <f t="shared" si="3"/>
        <v>2023</v>
      </c>
      <c r="O244" s="27" t="str">
        <f>VLOOKUP(K244,'CA y tablas'!$B$22:$C$28,2,FALSE)</f>
        <v>EUROPEO</v>
      </c>
      <c r="P244" s="28" t="str">
        <f t="shared" si="4"/>
        <v>S1</v>
      </c>
      <c r="Q244" s="29">
        <v>1.0</v>
      </c>
      <c r="R244" s="29" t="str">
        <f t="shared" si="5"/>
        <v>Q1</v>
      </c>
    </row>
    <row r="245" ht="15.75" customHeight="1">
      <c r="A245" s="30">
        <v>45028.0</v>
      </c>
      <c r="B245" s="31">
        <v>4.077071666E9</v>
      </c>
      <c r="C245" s="32" t="s">
        <v>306</v>
      </c>
      <c r="D245" s="31">
        <v>3.2144059E7</v>
      </c>
      <c r="E245" s="30">
        <v>45029.0</v>
      </c>
      <c r="F245" s="33" t="s">
        <v>76</v>
      </c>
      <c r="G245" s="34">
        <v>1.0</v>
      </c>
      <c r="H245" s="33" t="s">
        <v>70</v>
      </c>
      <c r="I245" s="33" t="s">
        <v>88</v>
      </c>
      <c r="J245" s="33" t="s">
        <v>98</v>
      </c>
      <c r="K245" s="33" t="s">
        <v>73</v>
      </c>
      <c r="L245" s="33" t="str">
        <f t="shared" si="1"/>
        <v>INDIVIDUAL</v>
      </c>
      <c r="M245" s="33">
        <f t="shared" si="2"/>
        <v>4</v>
      </c>
      <c r="N245" s="33">
        <f t="shared" si="3"/>
        <v>2023</v>
      </c>
      <c r="O245" s="35" t="str">
        <f>VLOOKUP(K245,'CA y tablas'!$B$22:$C$28,2,FALSE)</f>
        <v>AMERICANO</v>
      </c>
      <c r="P245" s="28" t="str">
        <f t="shared" si="4"/>
        <v>S1</v>
      </c>
      <c r="Q245" s="29">
        <v>1.0</v>
      </c>
      <c r="R245" s="29" t="str">
        <f t="shared" si="5"/>
        <v>Q1</v>
      </c>
    </row>
    <row r="246" ht="15.75" customHeight="1">
      <c r="A246" s="22">
        <v>45029.0</v>
      </c>
      <c r="B246" s="23">
        <v>4.575224474E9</v>
      </c>
      <c r="C246" s="24" t="s">
        <v>307</v>
      </c>
      <c r="D246" s="23">
        <v>4.3771031E7</v>
      </c>
      <c r="E246" s="22">
        <v>45029.0</v>
      </c>
      <c r="F246" s="25" t="s">
        <v>76</v>
      </c>
      <c r="G246" s="26">
        <v>2.0</v>
      </c>
      <c r="H246" s="25" t="s">
        <v>70</v>
      </c>
      <c r="I246" s="25" t="s">
        <v>88</v>
      </c>
      <c r="J246" s="25" t="s">
        <v>98</v>
      </c>
      <c r="K246" s="25" t="s">
        <v>73</v>
      </c>
      <c r="L246" s="25" t="str">
        <f t="shared" si="1"/>
        <v>FAMILIAR</v>
      </c>
      <c r="M246" s="25">
        <f t="shared" si="2"/>
        <v>4</v>
      </c>
      <c r="N246" s="25">
        <f t="shared" si="3"/>
        <v>2023</v>
      </c>
      <c r="O246" s="27" t="str">
        <f>VLOOKUP(K246,'CA y tablas'!$B$22:$C$28,2,FALSE)</f>
        <v>AMERICANO</v>
      </c>
      <c r="P246" s="28" t="str">
        <f t="shared" si="4"/>
        <v>S1</v>
      </c>
      <c r="Q246" s="29">
        <v>1.0</v>
      </c>
      <c r="R246" s="29" t="str">
        <f t="shared" si="5"/>
        <v>Q1</v>
      </c>
    </row>
    <row r="247" ht="15.75" customHeight="1">
      <c r="A247" s="30">
        <v>45026.0</v>
      </c>
      <c r="B247" s="31">
        <v>3.72484581E9</v>
      </c>
      <c r="C247" s="32" t="s">
        <v>308</v>
      </c>
      <c r="D247" s="31">
        <v>1.78597E7</v>
      </c>
      <c r="E247" s="30">
        <v>45030.0</v>
      </c>
      <c r="F247" s="33" t="s">
        <v>76</v>
      </c>
      <c r="G247" s="34">
        <v>1.0</v>
      </c>
      <c r="H247" s="33" t="s">
        <v>70</v>
      </c>
      <c r="I247" s="33" t="s">
        <v>88</v>
      </c>
      <c r="J247" s="33" t="s">
        <v>98</v>
      </c>
      <c r="K247" s="33" t="s">
        <v>73</v>
      </c>
      <c r="L247" s="33" t="str">
        <f t="shared" si="1"/>
        <v>INDIVIDUAL</v>
      </c>
      <c r="M247" s="33">
        <f t="shared" si="2"/>
        <v>4</v>
      </c>
      <c r="N247" s="33">
        <f t="shared" si="3"/>
        <v>2023</v>
      </c>
      <c r="O247" s="35" t="str">
        <f>VLOOKUP(K247,'CA y tablas'!$B$22:$C$28,2,FALSE)</f>
        <v>AMERICANO</v>
      </c>
      <c r="P247" s="28" t="str">
        <f t="shared" si="4"/>
        <v>S1</v>
      </c>
      <c r="Q247" s="29">
        <v>1.0</v>
      </c>
      <c r="R247" s="29" t="str">
        <f t="shared" si="5"/>
        <v>Q1</v>
      </c>
    </row>
    <row r="248" ht="15.75" customHeight="1">
      <c r="A248" s="22">
        <v>45027.0</v>
      </c>
      <c r="B248" s="23">
        <v>4.56948709E9</v>
      </c>
      <c r="C248" s="24" t="s">
        <v>309</v>
      </c>
      <c r="D248" s="23">
        <v>1.3895548E7</v>
      </c>
      <c r="E248" s="22">
        <v>45030.0</v>
      </c>
      <c r="F248" s="25" t="s">
        <v>76</v>
      </c>
      <c r="G248" s="26">
        <v>3.0</v>
      </c>
      <c r="H248" s="25" t="s">
        <v>70</v>
      </c>
      <c r="I248" s="25" t="s">
        <v>88</v>
      </c>
      <c r="J248" s="25" t="s">
        <v>98</v>
      </c>
      <c r="K248" s="25" t="s">
        <v>73</v>
      </c>
      <c r="L248" s="25" t="str">
        <f t="shared" si="1"/>
        <v>FAMILIAR</v>
      </c>
      <c r="M248" s="25">
        <f t="shared" si="2"/>
        <v>4</v>
      </c>
      <c r="N248" s="25">
        <f t="shared" si="3"/>
        <v>2023</v>
      </c>
      <c r="O248" s="27" t="str">
        <f>VLOOKUP(K248,'CA y tablas'!$B$22:$C$28,2,FALSE)</f>
        <v>AMERICANO</v>
      </c>
      <c r="P248" s="28" t="str">
        <f t="shared" si="4"/>
        <v>S1</v>
      </c>
      <c r="Q248" s="29">
        <v>1.0</v>
      </c>
      <c r="R248" s="29" t="str">
        <f t="shared" si="5"/>
        <v>Q1</v>
      </c>
    </row>
    <row r="249" ht="15.75" customHeight="1">
      <c r="A249" s="30">
        <v>45027.0</v>
      </c>
      <c r="B249" s="31">
        <v>8.198591682E9</v>
      </c>
      <c r="C249" s="32" t="s">
        <v>309</v>
      </c>
      <c r="D249" s="31">
        <v>1.3895548E7</v>
      </c>
      <c r="E249" s="30">
        <v>45030.0</v>
      </c>
      <c r="F249" s="33" t="s">
        <v>76</v>
      </c>
      <c r="G249" s="34">
        <v>1.0</v>
      </c>
      <c r="H249" s="33" t="s">
        <v>70</v>
      </c>
      <c r="I249" s="33" t="s">
        <v>88</v>
      </c>
      <c r="J249" s="33" t="s">
        <v>98</v>
      </c>
      <c r="K249" s="33" t="s">
        <v>73</v>
      </c>
      <c r="L249" s="33" t="str">
        <f t="shared" si="1"/>
        <v>INDIVIDUAL</v>
      </c>
      <c r="M249" s="33">
        <f t="shared" si="2"/>
        <v>4</v>
      </c>
      <c r="N249" s="33">
        <f t="shared" si="3"/>
        <v>2023</v>
      </c>
      <c r="O249" s="35" t="str">
        <f>VLOOKUP(K249,'CA y tablas'!$B$22:$C$28,2,FALSE)</f>
        <v>AMERICANO</v>
      </c>
      <c r="P249" s="28" t="str">
        <f t="shared" si="4"/>
        <v>S1</v>
      </c>
      <c r="Q249" s="29">
        <v>1.0</v>
      </c>
      <c r="R249" s="29" t="str">
        <f t="shared" si="5"/>
        <v>Q1</v>
      </c>
    </row>
    <row r="250" ht="15.75" customHeight="1">
      <c r="A250" s="22">
        <v>45028.0</v>
      </c>
      <c r="B250" s="23">
        <v>4.07704899E9</v>
      </c>
      <c r="C250" s="24" t="s">
        <v>310</v>
      </c>
      <c r="D250" s="23">
        <v>3.1893573E7</v>
      </c>
      <c r="E250" s="22">
        <v>45030.0</v>
      </c>
      <c r="F250" s="25" t="s">
        <v>69</v>
      </c>
      <c r="G250" s="26">
        <v>2.0</v>
      </c>
      <c r="H250" s="25" t="s">
        <v>70</v>
      </c>
      <c r="I250" s="25" t="s">
        <v>77</v>
      </c>
      <c r="J250" s="25" t="s">
        <v>98</v>
      </c>
      <c r="K250" s="25" t="s">
        <v>73</v>
      </c>
      <c r="L250" s="25" t="str">
        <f t="shared" si="1"/>
        <v>FAMILIAR</v>
      </c>
      <c r="M250" s="25">
        <f t="shared" si="2"/>
        <v>4</v>
      </c>
      <c r="N250" s="25">
        <f t="shared" si="3"/>
        <v>2023</v>
      </c>
      <c r="O250" s="27" t="str">
        <f>VLOOKUP(K250,'CA y tablas'!$B$22:$C$28,2,FALSE)</f>
        <v>AMERICANO</v>
      </c>
      <c r="P250" s="28" t="str">
        <f t="shared" si="4"/>
        <v>S1</v>
      </c>
      <c r="Q250" s="29">
        <v>1.0</v>
      </c>
      <c r="R250" s="29" t="str">
        <f t="shared" si="5"/>
        <v>Q1</v>
      </c>
    </row>
    <row r="251" ht="15.75" customHeight="1">
      <c r="A251" s="30">
        <v>45028.0</v>
      </c>
      <c r="B251" s="31">
        <v>2.39799504E9</v>
      </c>
      <c r="C251" s="32" t="s">
        <v>308</v>
      </c>
      <c r="D251" s="31">
        <v>1.78597E7</v>
      </c>
      <c r="E251" s="30">
        <v>45030.0</v>
      </c>
      <c r="F251" s="33" t="s">
        <v>69</v>
      </c>
      <c r="G251" s="34">
        <v>2.0</v>
      </c>
      <c r="H251" s="33" t="s">
        <v>70</v>
      </c>
      <c r="I251" s="33" t="s">
        <v>77</v>
      </c>
      <c r="J251" s="33" t="s">
        <v>72</v>
      </c>
      <c r="K251" s="33" t="s">
        <v>73</v>
      </c>
      <c r="L251" s="33" t="str">
        <f t="shared" si="1"/>
        <v>FAMILIAR</v>
      </c>
      <c r="M251" s="33">
        <f t="shared" si="2"/>
        <v>4</v>
      </c>
      <c r="N251" s="33">
        <f t="shared" si="3"/>
        <v>2023</v>
      </c>
      <c r="O251" s="35" t="str">
        <f>VLOOKUP(K251,'CA y tablas'!$B$22:$C$28,2,FALSE)</f>
        <v>AMERICANO</v>
      </c>
      <c r="P251" s="28" t="str">
        <f t="shared" si="4"/>
        <v>S1</v>
      </c>
      <c r="Q251" s="29">
        <v>1.0</v>
      </c>
      <c r="R251" s="29" t="str">
        <f t="shared" si="5"/>
        <v>Q1</v>
      </c>
    </row>
    <row r="252" ht="15.75" customHeight="1">
      <c r="A252" s="22">
        <v>45028.0</v>
      </c>
      <c r="B252" s="23">
        <v>9.507590621E9</v>
      </c>
      <c r="C252" s="24" t="s">
        <v>310</v>
      </c>
      <c r="D252" s="23">
        <v>3.1893573E7</v>
      </c>
      <c r="E252" s="22">
        <v>45030.0</v>
      </c>
      <c r="F252" s="25" t="s">
        <v>69</v>
      </c>
      <c r="G252" s="26">
        <v>1.0</v>
      </c>
      <c r="H252" s="25" t="s">
        <v>70</v>
      </c>
      <c r="I252" s="25" t="s">
        <v>77</v>
      </c>
      <c r="J252" s="25" t="s">
        <v>72</v>
      </c>
      <c r="K252" s="25" t="s">
        <v>73</v>
      </c>
      <c r="L252" s="25" t="str">
        <f t="shared" si="1"/>
        <v>INDIVIDUAL</v>
      </c>
      <c r="M252" s="25">
        <f t="shared" si="2"/>
        <v>4</v>
      </c>
      <c r="N252" s="25">
        <f t="shared" si="3"/>
        <v>2023</v>
      </c>
      <c r="O252" s="27" t="str">
        <f>VLOOKUP(K252,'CA y tablas'!$B$22:$C$28,2,FALSE)</f>
        <v>AMERICANO</v>
      </c>
      <c r="P252" s="28" t="str">
        <f t="shared" si="4"/>
        <v>S1</v>
      </c>
      <c r="Q252" s="29">
        <v>1.0</v>
      </c>
      <c r="R252" s="29" t="str">
        <f t="shared" si="5"/>
        <v>Q1</v>
      </c>
    </row>
    <row r="253" ht="15.75" customHeight="1">
      <c r="A253" s="30">
        <v>45020.0</v>
      </c>
      <c r="B253" s="31">
        <v>5.401384203E9</v>
      </c>
      <c r="C253" s="32" t="s">
        <v>311</v>
      </c>
      <c r="D253" s="31">
        <v>4.5514837E7</v>
      </c>
      <c r="E253" s="30">
        <v>45033.0</v>
      </c>
      <c r="F253" s="33" t="s">
        <v>69</v>
      </c>
      <c r="G253" s="34">
        <v>1.0</v>
      </c>
      <c r="H253" s="33" t="s">
        <v>70</v>
      </c>
      <c r="I253" s="33" t="s">
        <v>77</v>
      </c>
      <c r="J253" s="33" t="s">
        <v>72</v>
      </c>
      <c r="K253" s="33" t="s">
        <v>73</v>
      </c>
      <c r="L253" s="33" t="str">
        <f t="shared" si="1"/>
        <v>INDIVIDUAL</v>
      </c>
      <c r="M253" s="33">
        <f t="shared" si="2"/>
        <v>4</v>
      </c>
      <c r="N253" s="33">
        <f t="shared" si="3"/>
        <v>2023</v>
      </c>
      <c r="O253" s="35" t="str">
        <f>VLOOKUP(K253,'CA y tablas'!$B$22:$C$28,2,FALSE)</f>
        <v>AMERICANO</v>
      </c>
      <c r="P253" s="28" t="str">
        <f t="shared" si="4"/>
        <v>S1</v>
      </c>
      <c r="Q253" s="29">
        <v>1.0</v>
      </c>
      <c r="R253" s="29" t="str">
        <f t="shared" si="5"/>
        <v>Q1</v>
      </c>
    </row>
    <row r="254" ht="15.75" customHeight="1">
      <c r="A254" s="22">
        <v>45027.0</v>
      </c>
      <c r="B254" s="23">
        <v>2.996789176E9</v>
      </c>
      <c r="C254" s="24" t="s">
        <v>312</v>
      </c>
      <c r="D254" s="23">
        <v>2.9997624E7</v>
      </c>
      <c r="E254" s="22">
        <v>45033.0</v>
      </c>
      <c r="F254" s="25" t="s">
        <v>69</v>
      </c>
      <c r="G254" s="26">
        <v>2.0</v>
      </c>
      <c r="H254" s="25" t="s">
        <v>70</v>
      </c>
      <c r="I254" s="25" t="s">
        <v>77</v>
      </c>
      <c r="J254" s="25" t="s">
        <v>72</v>
      </c>
      <c r="K254" s="25" t="s">
        <v>73</v>
      </c>
      <c r="L254" s="25" t="str">
        <f t="shared" si="1"/>
        <v>FAMILIAR</v>
      </c>
      <c r="M254" s="25">
        <f t="shared" si="2"/>
        <v>4</v>
      </c>
      <c r="N254" s="25">
        <f t="shared" si="3"/>
        <v>2023</v>
      </c>
      <c r="O254" s="27" t="str">
        <f>VLOOKUP(K254,'CA y tablas'!$B$22:$C$28,2,FALSE)</f>
        <v>AMERICANO</v>
      </c>
      <c r="P254" s="28" t="str">
        <f t="shared" si="4"/>
        <v>S1</v>
      </c>
      <c r="Q254" s="29">
        <v>1.0</v>
      </c>
      <c r="R254" s="29" t="str">
        <f t="shared" si="5"/>
        <v>Q1</v>
      </c>
    </row>
    <row r="255" ht="15.75" customHeight="1">
      <c r="A255" s="30">
        <v>45028.0</v>
      </c>
      <c r="B255" s="31">
        <v>6.282426102E9</v>
      </c>
      <c r="C255" s="32" t="s">
        <v>313</v>
      </c>
      <c r="D255" s="31">
        <v>1.0791321E7</v>
      </c>
      <c r="E255" s="30">
        <v>45033.0</v>
      </c>
      <c r="F255" s="33" t="s">
        <v>76</v>
      </c>
      <c r="G255" s="34">
        <v>2.0</v>
      </c>
      <c r="H255" s="33" t="s">
        <v>70</v>
      </c>
      <c r="I255" s="33" t="s">
        <v>71</v>
      </c>
      <c r="J255" s="33" t="s">
        <v>72</v>
      </c>
      <c r="K255" s="33" t="s">
        <v>73</v>
      </c>
      <c r="L255" s="33" t="str">
        <f t="shared" si="1"/>
        <v>FAMILIAR</v>
      </c>
      <c r="M255" s="33">
        <f t="shared" si="2"/>
        <v>4</v>
      </c>
      <c r="N255" s="33">
        <f t="shared" si="3"/>
        <v>2023</v>
      </c>
      <c r="O255" s="35" t="str">
        <f>VLOOKUP(K255,'CA y tablas'!$B$22:$C$28,2,FALSE)</f>
        <v>AMERICANO</v>
      </c>
      <c r="P255" s="28" t="str">
        <f t="shared" si="4"/>
        <v>S1</v>
      </c>
      <c r="Q255" s="29">
        <v>1.0</v>
      </c>
      <c r="R255" s="29" t="str">
        <f t="shared" si="5"/>
        <v>Q1</v>
      </c>
    </row>
    <row r="256" ht="15.75" customHeight="1">
      <c r="A256" s="22">
        <v>45028.0</v>
      </c>
      <c r="B256" s="23">
        <v>9.507590002E9</v>
      </c>
      <c r="C256" s="24" t="s">
        <v>314</v>
      </c>
      <c r="D256" s="23">
        <v>4.760621E7</v>
      </c>
      <c r="E256" s="22">
        <v>45033.0</v>
      </c>
      <c r="F256" s="25" t="s">
        <v>69</v>
      </c>
      <c r="G256" s="26">
        <v>1.0</v>
      </c>
      <c r="H256" s="25" t="s">
        <v>70</v>
      </c>
      <c r="I256" s="25" t="s">
        <v>71</v>
      </c>
      <c r="J256" s="25" t="s">
        <v>72</v>
      </c>
      <c r="K256" s="25" t="s">
        <v>73</v>
      </c>
      <c r="L256" s="25" t="str">
        <f t="shared" si="1"/>
        <v>INDIVIDUAL</v>
      </c>
      <c r="M256" s="25">
        <f t="shared" si="2"/>
        <v>4</v>
      </c>
      <c r="N256" s="25">
        <f t="shared" si="3"/>
        <v>2023</v>
      </c>
      <c r="O256" s="27" t="str">
        <f>VLOOKUP(K256,'CA y tablas'!$B$22:$C$28,2,FALSE)</f>
        <v>AMERICANO</v>
      </c>
      <c r="P256" s="28" t="str">
        <f t="shared" si="4"/>
        <v>S1</v>
      </c>
      <c r="Q256" s="29">
        <v>1.0</v>
      </c>
      <c r="R256" s="29" t="str">
        <f t="shared" si="5"/>
        <v>Q1</v>
      </c>
    </row>
    <row r="257" ht="15.75" customHeight="1">
      <c r="A257" s="30">
        <v>45030.0</v>
      </c>
      <c r="B257" s="31">
        <v>3.183000575E9</v>
      </c>
      <c r="C257" s="32" t="s">
        <v>315</v>
      </c>
      <c r="D257" s="31">
        <v>3.4764281E7</v>
      </c>
      <c r="E257" s="30">
        <v>45033.0</v>
      </c>
      <c r="F257" s="33" t="s">
        <v>69</v>
      </c>
      <c r="G257" s="34">
        <v>3.0</v>
      </c>
      <c r="H257" s="33" t="s">
        <v>70</v>
      </c>
      <c r="I257" s="33" t="s">
        <v>71</v>
      </c>
      <c r="J257" s="33" t="s">
        <v>72</v>
      </c>
      <c r="K257" s="33" t="s">
        <v>103</v>
      </c>
      <c r="L257" s="33" t="str">
        <f t="shared" si="1"/>
        <v>FAMILIAR</v>
      </c>
      <c r="M257" s="33">
        <f t="shared" si="2"/>
        <v>4</v>
      </c>
      <c r="N257" s="33">
        <f t="shared" si="3"/>
        <v>2023</v>
      </c>
      <c r="O257" s="35" t="str">
        <f>VLOOKUP(K257,'CA y tablas'!$B$22:$C$28,2,FALSE)</f>
        <v>EUROPEO</v>
      </c>
      <c r="P257" s="28" t="str">
        <f t="shared" si="4"/>
        <v>S1</v>
      </c>
      <c r="Q257" s="29">
        <v>1.0</v>
      </c>
      <c r="R257" s="29" t="str">
        <f t="shared" si="5"/>
        <v>Q1</v>
      </c>
    </row>
    <row r="258" ht="15.75" customHeight="1">
      <c r="A258" s="22">
        <v>45016.0</v>
      </c>
      <c r="B258" s="23">
        <v>9.062481783E9</v>
      </c>
      <c r="C258" s="24" t="s">
        <v>316</v>
      </c>
      <c r="D258" s="23">
        <v>2.0219841E7</v>
      </c>
      <c r="E258" s="22">
        <v>45034.0</v>
      </c>
      <c r="F258" s="25" t="s">
        <v>69</v>
      </c>
      <c r="G258" s="26">
        <v>3.0</v>
      </c>
      <c r="H258" s="25" t="s">
        <v>70</v>
      </c>
      <c r="I258" s="25" t="s">
        <v>71</v>
      </c>
      <c r="J258" s="25" t="s">
        <v>72</v>
      </c>
      <c r="K258" s="25" t="s">
        <v>103</v>
      </c>
      <c r="L258" s="25" t="str">
        <f t="shared" si="1"/>
        <v>FAMILIAR</v>
      </c>
      <c r="M258" s="25">
        <f t="shared" si="2"/>
        <v>4</v>
      </c>
      <c r="N258" s="25">
        <f t="shared" si="3"/>
        <v>2023</v>
      </c>
      <c r="O258" s="27" t="str">
        <f>VLOOKUP(K258,'CA y tablas'!$B$22:$C$28,2,FALSE)</f>
        <v>EUROPEO</v>
      </c>
      <c r="P258" s="28" t="str">
        <f t="shared" si="4"/>
        <v>S1</v>
      </c>
      <c r="Q258" s="29">
        <v>1.0</v>
      </c>
      <c r="R258" s="29" t="str">
        <f t="shared" si="5"/>
        <v>Q1</v>
      </c>
    </row>
    <row r="259" ht="15.75" customHeight="1">
      <c r="A259" s="30">
        <v>45020.0</v>
      </c>
      <c r="B259" s="31">
        <v>2.414141855E9</v>
      </c>
      <c r="C259" s="32" t="s">
        <v>317</v>
      </c>
      <c r="D259" s="31">
        <v>1.6637085E7</v>
      </c>
      <c r="E259" s="30">
        <v>45034.0</v>
      </c>
      <c r="F259" s="33" t="s">
        <v>69</v>
      </c>
      <c r="G259" s="34">
        <v>2.0</v>
      </c>
      <c r="H259" s="33" t="s">
        <v>70</v>
      </c>
      <c r="I259" s="33" t="s">
        <v>71</v>
      </c>
      <c r="J259" s="33" t="s">
        <v>72</v>
      </c>
      <c r="K259" s="33" t="s">
        <v>103</v>
      </c>
      <c r="L259" s="33" t="str">
        <f t="shared" si="1"/>
        <v>FAMILIAR</v>
      </c>
      <c r="M259" s="33">
        <f t="shared" si="2"/>
        <v>4</v>
      </c>
      <c r="N259" s="33">
        <f t="shared" si="3"/>
        <v>2023</v>
      </c>
      <c r="O259" s="35" t="str">
        <f>VLOOKUP(K259,'CA y tablas'!$B$22:$C$28,2,FALSE)</f>
        <v>EUROPEO</v>
      </c>
      <c r="P259" s="28" t="str">
        <f t="shared" si="4"/>
        <v>S1</v>
      </c>
      <c r="Q259" s="29">
        <v>1.0</v>
      </c>
      <c r="R259" s="29" t="str">
        <f t="shared" si="5"/>
        <v>Q1</v>
      </c>
    </row>
    <row r="260" ht="15.75" customHeight="1">
      <c r="A260" s="22">
        <v>45020.0</v>
      </c>
      <c r="B260" s="23">
        <v>2.41417603E9</v>
      </c>
      <c r="C260" s="24" t="s">
        <v>317</v>
      </c>
      <c r="D260" s="23">
        <v>1.6637085E7</v>
      </c>
      <c r="E260" s="22">
        <v>45034.0</v>
      </c>
      <c r="F260" s="25" t="s">
        <v>76</v>
      </c>
      <c r="G260" s="26">
        <v>1.0</v>
      </c>
      <c r="H260" s="25" t="s">
        <v>112</v>
      </c>
      <c r="I260" s="25" t="s">
        <v>71</v>
      </c>
      <c r="J260" s="25" t="s">
        <v>72</v>
      </c>
      <c r="K260" s="25" t="s">
        <v>103</v>
      </c>
      <c r="L260" s="25" t="str">
        <f t="shared" si="1"/>
        <v>INDIVIDUAL</v>
      </c>
      <c r="M260" s="25">
        <f t="shared" si="2"/>
        <v>4</v>
      </c>
      <c r="N260" s="25">
        <f t="shared" si="3"/>
        <v>2023</v>
      </c>
      <c r="O260" s="27" t="str">
        <f>VLOOKUP(K260,'CA y tablas'!$B$22:$C$28,2,FALSE)</f>
        <v>EUROPEO</v>
      </c>
      <c r="P260" s="28" t="str">
        <f t="shared" si="4"/>
        <v>S1</v>
      </c>
      <c r="Q260" s="29">
        <v>1.0</v>
      </c>
      <c r="R260" s="29" t="str">
        <f t="shared" si="5"/>
        <v>Q1</v>
      </c>
    </row>
    <row r="261" ht="15.75" customHeight="1">
      <c r="A261" s="30">
        <v>45020.0</v>
      </c>
      <c r="B261" s="31">
        <v>8.913898405E9</v>
      </c>
      <c r="C261" s="32" t="s">
        <v>317</v>
      </c>
      <c r="D261" s="31">
        <v>1.6637085E7</v>
      </c>
      <c r="E261" s="30">
        <v>45034.0</v>
      </c>
      <c r="F261" s="33" t="s">
        <v>69</v>
      </c>
      <c r="G261" s="34">
        <v>1.0</v>
      </c>
      <c r="H261" s="33" t="s">
        <v>112</v>
      </c>
      <c r="I261" s="33" t="s">
        <v>71</v>
      </c>
      <c r="J261" s="33" t="s">
        <v>318</v>
      </c>
      <c r="K261" s="33" t="s">
        <v>103</v>
      </c>
      <c r="L261" s="33" t="str">
        <f t="shared" si="1"/>
        <v>INDIVIDUAL</v>
      </c>
      <c r="M261" s="33">
        <f t="shared" si="2"/>
        <v>4</v>
      </c>
      <c r="N261" s="33">
        <f t="shared" si="3"/>
        <v>2023</v>
      </c>
      <c r="O261" s="35" t="str">
        <f>VLOOKUP(K261,'CA y tablas'!$B$22:$C$28,2,FALSE)</f>
        <v>EUROPEO</v>
      </c>
      <c r="P261" s="28" t="str">
        <f t="shared" si="4"/>
        <v>S1</v>
      </c>
      <c r="Q261" s="29">
        <v>1.0</v>
      </c>
      <c r="R261" s="29" t="str">
        <f t="shared" si="5"/>
        <v>Q1</v>
      </c>
    </row>
    <row r="262" ht="15.75" customHeight="1">
      <c r="A262" s="22">
        <v>45030.0</v>
      </c>
      <c r="B262" s="23">
        <v>3.183005906E9</v>
      </c>
      <c r="C262" s="24" t="s">
        <v>319</v>
      </c>
      <c r="D262" s="23">
        <v>3.8185016E7</v>
      </c>
      <c r="E262" s="22">
        <v>45034.0</v>
      </c>
      <c r="F262" s="25" t="s">
        <v>69</v>
      </c>
      <c r="G262" s="26">
        <v>1.0</v>
      </c>
      <c r="H262" s="25" t="s">
        <v>112</v>
      </c>
      <c r="I262" s="25" t="s">
        <v>71</v>
      </c>
      <c r="J262" s="25" t="s">
        <v>318</v>
      </c>
      <c r="K262" s="25" t="s">
        <v>103</v>
      </c>
      <c r="L262" s="25" t="str">
        <f t="shared" si="1"/>
        <v>INDIVIDUAL</v>
      </c>
      <c r="M262" s="25">
        <f t="shared" si="2"/>
        <v>4</v>
      </c>
      <c r="N262" s="25">
        <f t="shared" si="3"/>
        <v>2023</v>
      </c>
      <c r="O262" s="27" t="str">
        <f>VLOOKUP(K262,'CA y tablas'!$B$22:$C$28,2,FALSE)</f>
        <v>EUROPEO</v>
      </c>
      <c r="P262" s="28" t="str">
        <f t="shared" si="4"/>
        <v>S1</v>
      </c>
      <c r="Q262" s="29">
        <v>1.0</v>
      </c>
      <c r="R262" s="29" t="str">
        <f t="shared" si="5"/>
        <v>Q1</v>
      </c>
    </row>
    <row r="263" ht="15.75" customHeight="1">
      <c r="A263" s="30">
        <v>45026.0</v>
      </c>
      <c r="B263" s="31">
        <v>5.39612465E9</v>
      </c>
      <c r="C263" s="32" t="s">
        <v>320</v>
      </c>
      <c r="D263" s="31">
        <v>2.701755E7</v>
      </c>
      <c r="E263" s="30">
        <v>45035.0</v>
      </c>
      <c r="F263" s="33" t="s">
        <v>69</v>
      </c>
      <c r="G263" s="34">
        <v>2.0</v>
      </c>
      <c r="H263" s="33" t="s">
        <v>112</v>
      </c>
      <c r="I263" s="33" t="s">
        <v>71</v>
      </c>
      <c r="J263" s="33" t="s">
        <v>318</v>
      </c>
      <c r="K263" s="33" t="s">
        <v>103</v>
      </c>
      <c r="L263" s="33" t="str">
        <f t="shared" si="1"/>
        <v>FAMILIAR</v>
      </c>
      <c r="M263" s="33">
        <f t="shared" si="2"/>
        <v>4</v>
      </c>
      <c r="N263" s="33">
        <f t="shared" si="3"/>
        <v>2023</v>
      </c>
      <c r="O263" s="35" t="str">
        <f>VLOOKUP(K263,'CA y tablas'!$B$22:$C$28,2,FALSE)</f>
        <v>EUROPEO</v>
      </c>
      <c r="P263" s="28" t="str">
        <f t="shared" si="4"/>
        <v>S1</v>
      </c>
      <c r="Q263" s="29">
        <v>1.0</v>
      </c>
      <c r="R263" s="29" t="str">
        <f t="shared" si="5"/>
        <v>Q1</v>
      </c>
    </row>
    <row r="264" ht="15.75" customHeight="1">
      <c r="A264" s="22">
        <v>45030.0</v>
      </c>
      <c r="B264" s="23">
        <v>9.673498822E9</v>
      </c>
      <c r="C264" s="24" t="s">
        <v>321</v>
      </c>
      <c r="D264" s="23">
        <v>3.7191514E7</v>
      </c>
      <c r="E264" s="22">
        <v>45035.0</v>
      </c>
      <c r="F264" s="25" t="s">
        <v>69</v>
      </c>
      <c r="G264" s="26">
        <v>2.0</v>
      </c>
      <c r="H264" s="25" t="s">
        <v>81</v>
      </c>
      <c r="I264" s="25" t="s">
        <v>71</v>
      </c>
      <c r="J264" s="25" t="s">
        <v>318</v>
      </c>
      <c r="K264" s="25" t="s">
        <v>103</v>
      </c>
      <c r="L264" s="25" t="str">
        <f t="shared" si="1"/>
        <v>FAMILIAR</v>
      </c>
      <c r="M264" s="25">
        <f t="shared" si="2"/>
        <v>4</v>
      </c>
      <c r="N264" s="25">
        <f t="shared" si="3"/>
        <v>2023</v>
      </c>
      <c r="O264" s="27" t="str">
        <f>VLOOKUP(K264,'CA y tablas'!$B$22:$C$28,2,FALSE)</f>
        <v>EUROPEO</v>
      </c>
      <c r="P264" s="28" t="str">
        <f t="shared" si="4"/>
        <v>S1</v>
      </c>
      <c r="Q264" s="29">
        <v>1.0</v>
      </c>
      <c r="R264" s="29" t="str">
        <f t="shared" si="5"/>
        <v>Q1</v>
      </c>
    </row>
    <row r="265" ht="15.75" customHeight="1">
      <c r="A265" s="30">
        <v>45028.0</v>
      </c>
      <c r="B265" s="31">
        <v>6.369047661E9</v>
      </c>
      <c r="C265" s="32" t="s">
        <v>322</v>
      </c>
      <c r="D265" s="31">
        <v>2.6486034E7</v>
      </c>
      <c r="E265" s="30">
        <v>45036.0</v>
      </c>
      <c r="F265" s="33" t="s">
        <v>69</v>
      </c>
      <c r="G265" s="34">
        <v>1.0</v>
      </c>
      <c r="H265" s="33" t="s">
        <v>81</v>
      </c>
      <c r="I265" s="33" t="s">
        <v>71</v>
      </c>
      <c r="J265" s="33" t="s">
        <v>318</v>
      </c>
      <c r="K265" s="33" t="s">
        <v>103</v>
      </c>
      <c r="L265" s="33" t="str">
        <f t="shared" si="1"/>
        <v>INDIVIDUAL</v>
      </c>
      <c r="M265" s="33">
        <f t="shared" si="2"/>
        <v>4</v>
      </c>
      <c r="N265" s="33">
        <f t="shared" si="3"/>
        <v>2023</v>
      </c>
      <c r="O265" s="35" t="str">
        <f>VLOOKUP(K265,'CA y tablas'!$B$22:$C$28,2,FALSE)</f>
        <v>EUROPEO</v>
      </c>
      <c r="P265" s="28" t="str">
        <f t="shared" si="4"/>
        <v>S1</v>
      </c>
      <c r="Q265" s="29">
        <v>1.0</v>
      </c>
      <c r="R265" s="29" t="str">
        <f t="shared" si="5"/>
        <v>Q1</v>
      </c>
    </row>
    <row r="266" ht="15.75" customHeight="1">
      <c r="A266" s="22">
        <v>45028.0</v>
      </c>
      <c r="B266" s="23">
        <v>7.390951654E9</v>
      </c>
      <c r="C266" s="24" t="s">
        <v>322</v>
      </c>
      <c r="D266" s="23">
        <v>2.6486034E7</v>
      </c>
      <c r="E266" s="22">
        <v>45036.0</v>
      </c>
      <c r="F266" s="25" t="s">
        <v>69</v>
      </c>
      <c r="G266" s="26">
        <v>2.0</v>
      </c>
      <c r="H266" s="25" t="s">
        <v>81</v>
      </c>
      <c r="I266" s="25" t="s">
        <v>71</v>
      </c>
      <c r="J266" s="25" t="s">
        <v>318</v>
      </c>
      <c r="K266" s="25" t="s">
        <v>90</v>
      </c>
      <c r="L266" s="25" t="str">
        <f t="shared" si="1"/>
        <v>FAMILIAR</v>
      </c>
      <c r="M266" s="25">
        <f t="shared" si="2"/>
        <v>4</v>
      </c>
      <c r="N266" s="25">
        <f t="shared" si="3"/>
        <v>2023</v>
      </c>
      <c r="O266" s="27" t="str">
        <f>VLOOKUP(K266,'CA y tablas'!$B$22:$C$28,2,FALSE)</f>
        <v>EUROPEO</v>
      </c>
      <c r="P266" s="28" t="str">
        <f t="shared" si="4"/>
        <v>S1</v>
      </c>
      <c r="Q266" s="29">
        <v>1.0</v>
      </c>
      <c r="R266" s="29" t="str">
        <f t="shared" si="5"/>
        <v>Q1</v>
      </c>
    </row>
    <row r="267" ht="15.75" customHeight="1">
      <c r="A267" s="30">
        <v>45028.0</v>
      </c>
      <c r="B267" s="31">
        <v>9.507628771E9</v>
      </c>
      <c r="C267" s="32" t="s">
        <v>322</v>
      </c>
      <c r="D267" s="31">
        <v>2.6486034E7</v>
      </c>
      <c r="E267" s="30">
        <v>45036.0</v>
      </c>
      <c r="F267" s="33" t="s">
        <v>69</v>
      </c>
      <c r="G267" s="34">
        <v>2.0</v>
      </c>
      <c r="H267" s="33" t="s">
        <v>81</v>
      </c>
      <c r="I267" s="33" t="s">
        <v>71</v>
      </c>
      <c r="J267" s="33" t="s">
        <v>318</v>
      </c>
      <c r="K267" s="33" t="s">
        <v>90</v>
      </c>
      <c r="L267" s="33" t="str">
        <f t="shared" si="1"/>
        <v>FAMILIAR</v>
      </c>
      <c r="M267" s="33">
        <f t="shared" si="2"/>
        <v>4</v>
      </c>
      <c r="N267" s="33">
        <f t="shared" si="3"/>
        <v>2023</v>
      </c>
      <c r="O267" s="35" t="str">
        <f>VLOOKUP(K267,'CA y tablas'!$B$22:$C$28,2,FALSE)</f>
        <v>EUROPEO</v>
      </c>
      <c r="P267" s="28" t="str">
        <f t="shared" si="4"/>
        <v>S1</v>
      </c>
      <c r="Q267" s="29">
        <v>1.0</v>
      </c>
      <c r="R267" s="29" t="str">
        <f t="shared" si="5"/>
        <v>Q1</v>
      </c>
    </row>
    <row r="268" ht="15.75" customHeight="1">
      <c r="A268" s="22">
        <v>45034.0</v>
      </c>
      <c r="B268" s="23">
        <v>8.227436711E9</v>
      </c>
      <c r="C268" s="24" t="s">
        <v>323</v>
      </c>
      <c r="D268" s="23">
        <v>2.3554519E7</v>
      </c>
      <c r="E268" s="22">
        <v>45036.0</v>
      </c>
      <c r="F268" s="25" t="s">
        <v>69</v>
      </c>
      <c r="G268" s="26">
        <v>2.0</v>
      </c>
      <c r="H268" s="25" t="s">
        <v>81</v>
      </c>
      <c r="I268" s="25" t="s">
        <v>77</v>
      </c>
      <c r="J268" s="25" t="s">
        <v>318</v>
      </c>
      <c r="K268" s="25" t="s">
        <v>90</v>
      </c>
      <c r="L268" s="25" t="str">
        <f t="shared" si="1"/>
        <v>FAMILIAR</v>
      </c>
      <c r="M268" s="25">
        <f t="shared" si="2"/>
        <v>4</v>
      </c>
      <c r="N268" s="25">
        <f t="shared" si="3"/>
        <v>2023</v>
      </c>
      <c r="O268" s="27" t="str">
        <f>VLOOKUP(K268,'CA y tablas'!$B$22:$C$28,2,FALSE)</f>
        <v>EUROPEO</v>
      </c>
      <c r="P268" s="28" t="str">
        <f t="shared" si="4"/>
        <v>S1</v>
      </c>
      <c r="Q268" s="29">
        <v>1.0</v>
      </c>
      <c r="R268" s="29" t="str">
        <f t="shared" si="5"/>
        <v>Q1</v>
      </c>
    </row>
    <row r="269" ht="15.75" customHeight="1">
      <c r="A269" s="30">
        <v>45021.0</v>
      </c>
      <c r="B269" s="31">
        <v>6.067973402E9</v>
      </c>
      <c r="C269" s="32" t="s">
        <v>324</v>
      </c>
      <c r="D269" s="31">
        <v>4.8486551E7</v>
      </c>
      <c r="E269" s="30">
        <v>45037.0</v>
      </c>
      <c r="F269" s="33" t="s">
        <v>69</v>
      </c>
      <c r="G269" s="34">
        <v>11.0</v>
      </c>
      <c r="H269" s="33" t="s">
        <v>92</v>
      </c>
      <c r="I269" s="33" t="s">
        <v>77</v>
      </c>
      <c r="J269" s="33" t="s">
        <v>83</v>
      </c>
      <c r="K269" s="33" t="s">
        <v>90</v>
      </c>
      <c r="L269" s="33" t="str">
        <f t="shared" si="1"/>
        <v>FAMILIAR</v>
      </c>
      <c r="M269" s="33">
        <f t="shared" si="2"/>
        <v>4</v>
      </c>
      <c r="N269" s="33">
        <f t="shared" si="3"/>
        <v>2023</v>
      </c>
      <c r="O269" s="35" t="str">
        <f>VLOOKUP(K269,'CA y tablas'!$B$22:$C$28,2,FALSE)</f>
        <v>EUROPEO</v>
      </c>
      <c r="P269" s="28" t="str">
        <f t="shared" si="4"/>
        <v>S1</v>
      </c>
      <c r="Q269" s="29">
        <v>1.0</v>
      </c>
      <c r="R269" s="29" t="str">
        <f t="shared" si="5"/>
        <v>Q1</v>
      </c>
    </row>
    <row r="270" ht="15.75" customHeight="1">
      <c r="A270" s="22">
        <v>45030.0</v>
      </c>
      <c r="B270" s="23">
        <v>7.702559174E9</v>
      </c>
      <c r="C270" s="24" t="s">
        <v>325</v>
      </c>
      <c r="D270" s="23">
        <v>1.7077001E7</v>
      </c>
      <c r="E270" s="22">
        <v>45037.0</v>
      </c>
      <c r="F270" s="25" t="s">
        <v>69</v>
      </c>
      <c r="G270" s="26">
        <v>1.0</v>
      </c>
      <c r="H270" s="25" t="s">
        <v>92</v>
      </c>
      <c r="I270" s="25" t="s">
        <v>77</v>
      </c>
      <c r="J270" s="25" t="s">
        <v>83</v>
      </c>
      <c r="K270" s="25" t="s">
        <v>90</v>
      </c>
      <c r="L270" s="25" t="str">
        <f t="shared" si="1"/>
        <v>INDIVIDUAL</v>
      </c>
      <c r="M270" s="25">
        <f t="shared" si="2"/>
        <v>4</v>
      </c>
      <c r="N270" s="25">
        <f t="shared" si="3"/>
        <v>2023</v>
      </c>
      <c r="O270" s="27" t="str">
        <f>VLOOKUP(K270,'CA y tablas'!$B$22:$C$28,2,FALSE)</f>
        <v>EUROPEO</v>
      </c>
      <c r="P270" s="28" t="str">
        <f t="shared" si="4"/>
        <v>S1</v>
      </c>
      <c r="Q270" s="29">
        <v>1.0</v>
      </c>
      <c r="R270" s="29" t="str">
        <f t="shared" si="5"/>
        <v>Q1</v>
      </c>
    </row>
    <row r="271" ht="15.75" customHeight="1">
      <c r="A271" s="30">
        <v>45035.0</v>
      </c>
      <c r="B271" s="31">
        <v>1.151993651E9</v>
      </c>
      <c r="C271" s="32" t="s">
        <v>326</v>
      </c>
      <c r="D271" s="31">
        <v>2.7962271E7</v>
      </c>
      <c r="E271" s="30">
        <v>45037.0</v>
      </c>
      <c r="F271" s="33" t="s">
        <v>69</v>
      </c>
      <c r="G271" s="34">
        <v>1.0</v>
      </c>
      <c r="H271" s="33" t="s">
        <v>92</v>
      </c>
      <c r="I271" s="33" t="s">
        <v>77</v>
      </c>
      <c r="J271" s="33" t="s">
        <v>83</v>
      </c>
      <c r="K271" s="33" t="s">
        <v>217</v>
      </c>
      <c r="L271" s="33" t="str">
        <f t="shared" si="1"/>
        <v>INDIVIDUAL</v>
      </c>
      <c r="M271" s="33">
        <f t="shared" si="2"/>
        <v>4</v>
      </c>
      <c r="N271" s="33">
        <f t="shared" si="3"/>
        <v>2023</v>
      </c>
      <c r="O271" s="35" t="str">
        <f>VLOOKUP(K271,'CA y tablas'!$B$22:$C$28,2,FALSE)</f>
        <v>ASIATICO</v>
      </c>
      <c r="P271" s="28" t="str">
        <f t="shared" si="4"/>
        <v>S1</v>
      </c>
      <c r="Q271" s="29">
        <v>1.0</v>
      </c>
      <c r="R271" s="29" t="str">
        <f t="shared" si="5"/>
        <v>Q1</v>
      </c>
    </row>
    <row r="272" ht="15.75" customHeight="1">
      <c r="A272" s="22">
        <v>45035.0</v>
      </c>
      <c r="B272" s="23">
        <v>4.744055116E9</v>
      </c>
      <c r="C272" s="24" t="s">
        <v>327</v>
      </c>
      <c r="D272" s="23">
        <v>2.434051E7</v>
      </c>
      <c r="E272" s="22">
        <v>45037.0</v>
      </c>
      <c r="F272" s="25" t="s">
        <v>69</v>
      </c>
      <c r="G272" s="26">
        <v>2.0</v>
      </c>
      <c r="H272" s="25" t="s">
        <v>92</v>
      </c>
      <c r="I272" s="25" t="s">
        <v>77</v>
      </c>
      <c r="J272" s="25" t="s">
        <v>83</v>
      </c>
      <c r="K272" s="25" t="s">
        <v>217</v>
      </c>
      <c r="L272" s="25" t="str">
        <f t="shared" si="1"/>
        <v>FAMILIAR</v>
      </c>
      <c r="M272" s="25">
        <f t="shared" si="2"/>
        <v>4</v>
      </c>
      <c r="N272" s="25">
        <f t="shared" si="3"/>
        <v>2023</v>
      </c>
      <c r="O272" s="27" t="str">
        <f>VLOOKUP(K272,'CA y tablas'!$B$22:$C$28,2,FALSE)</f>
        <v>ASIATICO</v>
      </c>
      <c r="P272" s="28" t="str">
        <f t="shared" si="4"/>
        <v>S1</v>
      </c>
      <c r="Q272" s="29">
        <v>1.0</v>
      </c>
      <c r="R272" s="29" t="str">
        <f t="shared" si="5"/>
        <v>Q1</v>
      </c>
    </row>
    <row r="273" ht="15.75" customHeight="1">
      <c r="A273" s="30">
        <v>45036.0</v>
      </c>
      <c r="B273" s="31">
        <v>2.911360642E9</v>
      </c>
      <c r="C273" s="32" t="s">
        <v>328</v>
      </c>
      <c r="D273" s="31">
        <v>3.0597761E7</v>
      </c>
      <c r="E273" s="30">
        <v>45037.0</v>
      </c>
      <c r="F273" s="33" t="s">
        <v>69</v>
      </c>
      <c r="G273" s="34">
        <v>2.0</v>
      </c>
      <c r="H273" s="33" t="s">
        <v>92</v>
      </c>
      <c r="I273" s="33" t="s">
        <v>77</v>
      </c>
      <c r="J273" s="33" t="s">
        <v>83</v>
      </c>
      <c r="K273" s="33" t="s">
        <v>217</v>
      </c>
      <c r="L273" s="33" t="str">
        <f t="shared" si="1"/>
        <v>FAMILIAR</v>
      </c>
      <c r="M273" s="33">
        <f t="shared" si="2"/>
        <v>4</v>
      </c>
      <c r="N273" s="33">
        <f t="shared" si="3"/>
        <v>2023</v>
      </c>
      <c r="O273" s="35" t="str">
        <f>VLOOKUP(K273,'CA y tablas'!$B$22:$C$28,2,FALSE)</f>
        <v>ASIATICO</v>
      </c>
      <c r="P273" s="28" t="str">
        <f t="shared" si="4"/>
        <v>S1</v>
      </c>
      <c r="Q273" s="29">
        <v>1.0</v>
      </c>
      <c r="R273" s="29" t="str">
        <f t="shared" si="5"/>
        <v>Q1</v>
      </c>
    </row>
    <row r="274" ht="15.75" customHeight="1">
      <c r="A274" s="22">
        <v>45034.0</v>
      </c>
      <c r="B274" s="23">
        <v>1.508364826E9</v>
      </c>
      <c r="C274" s="24" t="s">
        <v>329</v>
      </c>
      <c r="D274" s="23">
        <v>2.0433465E7</v>
      </c>
      <c r="E274" s="22">
        <v>45040.0</v>
      </c>
      <c r="F274" s="25" t="s">
        <v>69</v>
      </c>
      <c r="G274" s="26">
        <v>1.0</v>
      </c>
      <c r="H274" s="25" t="s">
        <v>92</v>
      </c>
      <c r="I274" s="25" t="s">
        <v>77</v>
      </c>
      <c r="J274" s="25" t="s">
        <v>318</v>
      </c>
      <c r="K274" s="25" t="s">
        <v>73</v>
      </c>
      <c r="L274" s="25" t="str">
        <f t="shared" si="1"/>
        <v>INDIVIDUAL</v>
      </c>
      <c r="M274" s="25">
        <f t="shared" si="2"/>
        <v>4</v>
      </c>
      <c r="N274" s="25">
        <f t="shared" si="3"/>
        <v>2023</v>
      </c>
      <c r="O274" s="27" t="str">
        <f>VLOOKUP(K274,'CA y tablas'!$B$22:$C$28,2,FALSE)</f>
        <v>AMERICANO</v>
      </c>
      <c r="P274" s="28" t="str">
        <f t="shared" si="4"/>
        <v>S1</v>
      </c>
      <c r="Q274" s="29">
        <v>1.0</v>
      </c>
      <c r="R274" s="29" t="str">
        <f t="shared" si="5"/>
        <v>Q1</v>
      </c>
    </row>
    <row r="275" ht="15.75" customHeight="1">
      <c r="A275" s="30">
        <v>45035.0</v>
      </c>
      <c r="B275" s="31">
        <v>2.418266465E9</v>
      </c>
      <c r="C275" s="32" t="s">
        <v>330</v>
      </c>
      <c r="D275" s="31">
        <v>4.0953034E7</v>
      </c>
      <c r="E275" s="30">
        <v>45040.0</v>
      </c>
      <c r="F275" s="33" t="s">
        <v>69</v>
      </c>
      <c r="G275" s="34">
        <v>1.0</v>
      </c>
      <c r="H275" s="33" t="s">
        <v>92</v>
      </c>
      <c r="I275" s="33" t="s">
        <v>77</v>
      </c>
      <c r="J275" s="33" t="s">
        <v>318</v>
      </c>
      <c r="K275" s="33" t="s">
        <v>73</v>
      </c>
      <c r="L275" s="33" t="str">
        <f t="shared" si="1"/>
        <v>INDIVIDUAL</v>
      </c>
      <c r="M275" s="33">
        <f t="shared" si="2"/>
        <v>4</v>
      </c>
      <c r="N275" s="33">
        <f t="shared" si="3"/>
        <v>2023</v>
      </c>
      <c r="O275" s="35" t="str">
        <f>VLOOKUP(K275,'CA y tablas'!$B$22:$C$28,2,FALSE)</f>
        <v>AMERICANO</v>
      </c>
      <c r="P275" s="28" t="str">
        <f t="shared" si="4"/>
        <v>S1</v>
      </c>
      <c r="Q275" s="29">
        <v>1.0</v>
      </c>
      <c r="R275" s="29" t="str">
        <f t="shared" si="5"/>
        <v>Q1</v>
      </c>
    </row>
    <row r="276" ht="15.75" customHeight="1">
      <c r="A276" s="22">
        <v>45036.0</v>
      </c>
      <c r="B276" s="23">
        <v>5.878787364E9</v>
      </c>
      <c r="C276" s="24" t="s">
        <v>331</v>
      </c>
      <c r="D276" s="23">
        <v>2.9766947E7</v>
      </c>
      <c r="E276" s="22">
        <v>45040.0</v>
      </c>
      <c r="F276" s="25" t="s">
        <v>69</v>
      </c>
      <c r="G276" s="26">
        <v>1.0</v>
      </c>
      <c r="H276" s="25" t="s">
        <v>92</v>
      </c>
      <c r="I276" s="25" t="s">
        <v>77</v>
      </c>
      <c r="J276" s="25" t="s">
        <v>318</v>
      </c>
      <c r="K276" s="25" t="s">
        <v>73</v>
      </c>
      <c r="L276" s="25" t="str">
        <f t="shared" si="1"/>
        <v>INDIVIDUAL</v>
      </c>
      <c r="M276" s="25">
        <f t="shared" si="2"/>
        <v>4</v>
      </c>
      <c r="N276" s="25">
        <f t="shared" si="3"/>
        <v>2023</v>
      </c>
      <c r="O276" s="27" t="str">
        <f>VLOOKUP(K276,'CA y tablas'!$B$22:$C$28,2,FALSE)</f>
        <v>AMERICANO</v>
      </c>
      <c r="P276" s="28" t="str">
        <f t="shared" si="4"/>
        <v>S1</v>
      </c>
      <c r="Q276" s="29">
        <v>1.0</v>
      </c>
      <c r="R276" s="29" t="str">
        <f t="shared" si="5"/>
        <v>Q1</v>
      </c>
    </row>
    <row r="277" ht="15.75" customHeight="1">
      <c r="A277" s="30">
        <v>45036.0</v>
      </c>
      <c r="B277" s="31">
        <v>8.552573131E9</v>
      </c>
      <c r="C277" s="32" t="s">
        <v>332</v>
      </c>
      <c r="D277" s="31">
        <v>3.1038055E7</v>
      </c>
      <c r="E277" s="30">
        <v>45040.0</v>
      </c>
      <c r="F277" s="33" t="s">
        <v>69</v>
      </c>
      <c r="G277" s="34">
        <v>1.0</v>
      </c>
      <c r="H277" s="33" t="s">
        <v>92</v>
      </c>
      <c r="I277" s="33" t="s">
        <v>77</v>
      </c>
      <c r="J277" s="33" t="s">
        <v>318</v>
      </c>
      <c r="K277" s="33" t="s">
        <v>73</v>
      </c>
      <c r="L277" s="33" t="str">
        <f t="shared" si="1"/>
        <v>INDIVIDUAL</v>
      </c>
      <c r="M277" s="33">
        <f t="shared" si="2"/>
        <v>4</v>
      </c>
      <c r="N277" s="33">
        <f t="shared" si="3"/>
        <v>2023</v>
      </c>
      <c r="O277" s="35" t="str">
        <f>VLOOKUP(K277,'CA y tablas'!$B$22:$C$28,2,FALSE)</f>
        <v>AMERICANO</v>
      </c>
      <c r="P277" s="28" t="str">
        <f t="shared" si="4"/>
        <v>S1</v>
      </c>
      <c r="Q277" s="29">
        <v>1.0</v>
      </c>
      <c r="R277" s="29" t="str">
        <f t="shared" si="5"/>
        <v>Q1</v>
      </c>
    </row>
    <row r="278" ht="15.75" customHeight="1">
      <c r="A278" s="22">
        <v>45020.0</v>
      </c>
      <c r="B278" s="23">
        <v>4.875171943E9</v>
      </c>
      <c r="C278" s="24" t="s">
        <v>333</v>
      </c>
      <c r="D278" s="23">
        <v>4.0086058E7</v>
      </c>
      <c r="E278" s="22">
        <v>45041.0</v>
      </c>
      <c r="F278" s="25" t="s">
        <v>69</v>
      </c>
      <c r="G278" s="26">
        <v>1.0</v>
      </c>
      <c r="H278" s="25" t="s">
        <v>92</v>
      </c>
      <c r="I278" s="25" t="s">
        <v>77</v>
      </c>
      <c r="J278" s="25" t="s">
        <v>318</v>
      </c>
      <c r="K278" s="25" t="s">
        <v>73</v>
      </c>
      <c r="L278" s="25" t="str">
        <f t="shared" si="1"/>
        <v>INDIVIDUAL</v>
      </c>
      <c r="M278" s="25">
        <f t="shared" si="2"/>
        <v>4</v>
      </c>
      <c r="N278" s="25">
        <f t="shared" si="3"/>
        <v>2023</v>
      </c>
      <c r="O278" s="27" t="str">
        <f>VLOOKUP(K278,'CA y tablas'!$B$22:$C$28,2,FALSE)</f>
        <v>AMERICANO</v>
      </c>
      <c r="P278" s="28" t="str">
        <f t="shared" si="4"/>
        <v>S1</v>
      </c>
      <c r="Q278" s="29">
        <v>1.0</v>
      </c>
      <c r="R278" s="29" t="str">
        <f t="shared" si="5"/>
        <v>Q1</v>
      </c>
    </row>
    <row r="279" ht="15.75" customHeight="1">
      <c r="A279" s="30">
        <v>45035.0</v>
      </c>
      <c r="B279" s="31">
        <v>2.82086602E9</v>
      </c>
      <c r="C279" s="32" t="s">
        <v>334</v>
      </c>
      <c r="D279" s="31">
        <v>3.2412233E7</v>
      </c>
      <c r="E279" s="30">
        <v>45041.0</v>
      </c>
      <c r="F279" s="33" t="s">
        <v>69</v>
      </c>
      <c r="G279" s="34">
        <v>1.0</v>
      </c>
      <c r="H279" s="33" t="s">
        <v>92</v>
      </c>
      <c r="I279" s="33" t="s">
        <v>77</v>
      </c>
      <c r="J279" s="33" t="s">
        <v>318</v>
      </c>
      <c r="K279" s="33" t="s">
        <v>73</v>
      </c>
      <c r="L279" s="33" t="str">
        <f t="shared" si="1"/>
        <v>INDIVIDUAL</v>
      </c>
      <c r="M279" s="33">
        <f t="shared" si="2"/>
        <v>4</v>
      </c>
      <c r="N279" s="33">
        <f t="shared" si="3"/>
        <v>2023</v>
      </c>
      <c r="O279" s="35" t="str">
        <f>VLOOKUP(K279,'CA y tablas'!$B$22:$C$28,2,FALSE)</f>
        <v>AMERICANO</v>
      </c>
      <c r="P279" s="28" t="str">
        <f t="shared" si="4"/>
        <v>S1</v>
      </c>
      <c r="Q279" s="29">
        <v>1.0</v>
      </c>
      <c r="R279" s="29" t="str">
        <f t="shared" si="5"/>
        <v>Q1</v>
      </c>
    </row>
    <row r="280" ht="15.75" customHeight="1">
      <c r="A280" s="22">
        <v>45035.0</v>
      </c>
      <c r="B280" s="23">
        <v>6.178725475E9</v>
      </c>
      <c r="C280" s="24" t="s">
        <v>335</v>
      </c>
      <c r="D280" s="23">
        <v>3.2109986E7</v>
      </c>
      <c r="E280" s="22">
        <v>45041.0</v>
      </c>
      <c r="F280" s="25" t="s">
        <v>76</v>
      </c>
      <c r="G280" s="26">
        <v>1.0</v>
      </c>
      <c r="H280" s="25" t="s">
        <v>92</v>
      </c>
      <c r="I280" s="25" t="s">
        <v>77</v>
      </c>
      <c r="J280" s="25" t="s">
        <v>318</v>
      </c>
      <c r="K280" s="25" t="s">
        <v>84</v>
      </c>
      <c r="L280" s="25" t="str">
        <f t="shared" si="1"/>
        <v>INDIVIDUAL</v>
      </c>
      <c r="M280" s="25">
        <f t="shared" si="2"/>
        <v>4</v>
      </c>
      <c r="N280" s="25">
        <f t="shared" si="3"/>
        <v>2023</v>
      </c>
      <c r="O280" s="27" t="str">
        <f>VLOOKUP(K280,'CA y tablas'!$B$22:$C$28,2,FALSE)</f>
        <v>EUROPEO</v>
      </c>
      <c r="P280" s="28" t="str">
        <f t="shared" si="4"/>
        <v>S1</v>
      </c>
      <c r="Q280" s="29">
        <v>1.0</v>
      </c>
      <c r="R280" s="29" t="str">
        <f t="shared" si="5"/>
        <v>Q1</v>
      </c>
    </row>
    <row r="281" ht="15.75" customHeight="1">
      <c r="A281" s="30">
        <v>45037.0</v>
      </c>
      <c r="B281" s="31">
        <v>2.503917172E9</v>
      </c>
      <c r="C281" s="32" t="s">
        <v>336</v>
      </c>
      <c r="D281" s="31">
        <v>3.0758906E7</v>
      </c>
      <c r="E281" s="30">
        <v>45041.0</v>
      </c>
      <c r="F281" s="33" t="s">
        <v>69</v>
      </c>
      <c r="G281" s="34">
        <v>2.0</v>
      </c>
      <c r="H281" s="33" t="s">
        <v>92</v>
      </c>
      <c r="I281" s="33" t="s">
        <v>77</v>
      </c>
      <c r="J281" s="33" t="s">
        <v>318</v>
      </c>
      <c r="K281" s="33" t="s">
        <v>84</v>
      </c>
      <c r="L281" s="33" t="str">
        <f t="shared" si="1"/>
        <v>FAMILIAR</v>
      </c>
      <c r="M281" s="33">
        <f t="shared" si="2"/>
        <v>4</v>
      </c>
      <c r="N281" s="33">
        <f t="shared" si="3"/>
        <v>2023</v>
      </c>
      <c r="O281" s="35" t="str">
        <f>VLOOKUP(K281,'CA y tablas'!$B$22:$C$28,2,FALSE)</f>
        <v>EUROPEO</v>
      </c>
      <c r="P281" s="28" t="str">
        <f t="shared" si="4"/>
        <v>S1</v>
      </c>
      <c r="Q281" s="29">
        <v>1.0</v>
      </c>
      <c r="R281" s="29" t="str">
        <f t="shared" si="5"/>
        <v>Q1</v>
      </c>
    </row>
    <row r="282" ht="15.75" customHeight="1">
      <c r="A282" s="22">
        <v>45041.0</v>
      </c>
      <c r="B282" s="23">
        <v>6.64711425E9</v>
      </c>
      <c r="C282" s="24" t="s">
        <v>337</v>
      </c>
      <c r="D282" s="23">
        <v>1.3338785E7</v>
      </c>
      <c r="E282" s="22">
        <v>45041.0</v>
      </c>
      <c r="F282" s="25" t="s">
        <v>69</v>
      </c>
      <c r="G282" s="26">
        <v>2.0</v>
      </c>
      <c r="H282" s="25" t="s">
        <v>106</v>
      </c>
      <c r="I282" s="25" t="s">
        <v>77</v>
      </c>
      <c r="J282" s="25" t="s">
        <v>72</v>
      </c>
      <c r="K282" s="25" t="s">
        <v>84</v>
      </c>
      <c r="L282" s="25" t="str">
        <f t="shared" si="1"/>
        <v>FAMILIAR</v>
      </c>
      <c r="M282" s="25">
        <f t="shared" si="2"/>
        <v>4</v>
      </c>
      <c r="N282" s="25">
        <f t="shared" si="3"/>
        <v>2023</v>
      </c>
      <c r="O282" s="27" t="str">
        <f>VLOOKUP(K282,'CA y tablas'!$B$22:$C$28,2,FALSE)</f>
        <v>EUROPEO</v>
      </c>
      <c r="P282" s="28" t="str">
        <f t="shared" si="4"/>
        <v>S1</v>
      </c>
      <c r="Q282" s="29">
        <v>1.0</v>
      </c>
      <c r="R282" s="29" t="str">
        <f t="shared" si="5"/>
        <v>Q1</v>
      </c>
    </row>
    <row r="283" ht="15.75" customHeight="1">
      <c r="A283" s="30">
        <v>45041.0</v>
      </c>
      <c r="B283" s="31">
        <v>4.973345042E9</v>
      </c>
      <c r="C283" s="32" t="s">
        <v>338</v>
      </c>
      <c r="D283" s="31">
        <v>4986523.0</v>
      </c>
      <c r="E283" s="30">
        <v>45041.0</v>
      </c>
      <c r="F283" s="33" t="s">
        <v>69</v>
      </c>
      <c r="G283" s="34">
        <v>2.0</v>
      </c>
      <c r="H283" s="33" t="s">
        <v>106</v>
      </c>
      <c r="I283" s="33" t="s">
        <v>77</v>
      </c>
      <c r="J283" s="33" t="s">
        <v>72</v>
      </c>
      <c r="K283" s="33" t="s">
        <v>84</v>
      </c>
      <c r="L283" s="33" t="str">
        <f t="shared" si="1"/>
        <v>FAMILIAR</v>
      </c>
      <c r="M283" s="33">
        <f t="shared" si="2"/>
        <v>4</v>
      </c>
      <c r="N283" s="33">
        <f t="shared" si="3"/>
        <v>2023</v>
      </c>
      <c r="O283" s="35" t="str">
        <f>VLOOKUP(K283,'CA y tablas'!$B$22:$C$28,2,FALSE)</f>
        <v>EUROPEO</v>
      </c>
      <c r="P283" s="28" t="str">
        <f t="shared" si="4"/>
        <v>S1</v>
      </c>
      <c r="Q283" s="29">
        <v>1.0</v>
      </c>
      <c r="R283" s="29" t="str">
        <f t="shared" si="5"/>
        <v>Q1</v>
      </c>
    </row>
    <row r="284" ht="15.75" customHeight="1">
      <c r="A284" s="22">
        <v>45041.0</v>
      </c>
      <c r="B284" s="23">
        <v>5.001800053E9</v>
      </c>
      <c r="C284" s="24" t="s">
        <v>339</v>
      </c>
      <c r="D284" s="23">
        <v>3.7957293E7</v>
      </c>
      <c r="E284" s="22">
        <v>45041.0</v>
      </c>
      <c r="F284" s="25" t="s">
        <v>69</v>
      </c>
      <c r="G284" s="26">
        <v>2.0</v>
      </c>
      <c r="H284" s="25" t="s">
        <v>106</v>
      </c>
      <c r="I284" s="25" t="s">
        <v>77</v>
      </c>
      <c r="J284" s="25" t="s">
        <v>72</v>
      </c>
      <c r="K284" s="25" t="s">
        <v>84</v>
      </c>
      <c r="L284" s="25" t="str">
        <f t="shared" si="1"/>
        <v>FAMILIAR</v>
      </c>
      <c r="M284" s="25">
        <f t="shared" si="2"/>
        <v>4</v>
      </c>
      <c r="N284" s="25">
        <f t="shared" si="3"/>
        <v>2023</v>
      </c>
      <c r="O284" s="27" t="str">
        <f>VLOOKUP(K284,'CA y tablas'!$B$22:$C$28,2,FALSE)</f>
        <v>EUROPEO</v>
      </c>
      <c r="P284" s="28" t="str">
        <f t="shared" si="4"/>
        <v>S1</v>
      </c>
      <c r="Q284" s="29">
        <v>1.0</v>
      </c>
      <c r="R284" s="29" t="str">
        <f t="shared" si="5"/>
        <v>Q1</v>
      </c>
    </row>
    <row r="285" ht="15.75" customHeight="1">
      <c r="A285" s="30">
        <v>45041.0</v>
      </c>
      <c r="B285" s="31">
        <v>3.268010071E9</v>
      </c>
      <c r="C285" s="32" t="s">
        <v>340</v>
      </c>
      <c r="D285" s="31">
        <v>3.1644462E7</v>
      </c>
      <c r="E285" s="30">
        <v>45041.0</v>
      </c>
      <c r="F285" s="33" t="s">
        <v>76</v>
      </c>
      <c r="G285" s="34">
        <v>3.0</v>
      </c>
      <c r="H285" s="33" t="s">
        <v>106</v>
      </c>
      <c r="I285" s="33" t="s">
        <v>77</v>
      </c>
      <c r="J285" s="33" t="s">
        <v>72</v>
      </c>
      <c r="K285" s="33" t="s">
        <v>84</v>
      </c>
      <c r="L285" s="33" t="str">
        <f t="shared" si="1"/>
        <v>FAMILIAR</v>
      </c>
      <c r="M285" s="33">
        <f t="shared" si="2"/>
        <v>4</v>
      </c>
      <c r="N285" s="33">
        <f t="shared" si="3"/>
        <v>2023</v>
      </c>
      <c r="O285" s="35" t="str">
        <f>VLOOKUP(K285,'CA y tablas'!$B$22:$C$28,2,FALSE)</f>
        <v>EUROPEO</v>
      </c>
      <c r="P285" s="28" t="str">
        <f t="shared" si="4"/>
        <v>S1</v>
      </c>
      <c r="Q285" s="29">
        <v>1.0</v>
      </c>
      <c r="R285" s="29" t="str">
        <f t="shared" si="5"/>
        <v>Q1</v>
      </c>
    </row>
    <row r="286" ht="15.75" customHeight="1">
      <c r="A286" s="22">
        <v>45030.0</v>
      </c>
      <c r="B286" s="23">
        <v>1.249784281E9</v>
      </c>
      <c r="C286" s="24" t="s">
        <v>341</v>
      </c>
      <c r="D286" s="23">
        <v>3.9356745E7</v>
      </c>
      <c r="E286" s="22">
        <v>45042.0</v>
      </c>
      <c r="F286" s="25" t="s">
        <v>76</v>
      </c>
      <c r="G286" s="26">
        <v>3.0</v>
      </c>
      <c r="H286" s="25" t="s">
        <v>70</v>
      </c>
      <c r="I286" s="25" t="s">
        <v>77</v>
      </c>
      <c r="J286" s="25" t="s">
        <v>72</v>
      </c>
      <c r="K286" s="25" t="s">
        <v>84</v>
      </c>
      <c r="L286" s="25" t="str">
        <f t="shared" si="1"/>
        <v>FAMILIAR</v>
      </c>
      <c r="M286" s="25">
        <f t="shared" si="2"/>
        <v>4</v>
      </c>
      <c r="N286" s="25">
        <f t="shared" si="3"/>
        <v>2023</v>
      </c>
      <c r="O286" s="27" t="str">
        <f>VLOOKUP(K286,'CA y tablas'!$B$22:$C$28,2,FALSE)</f>
        <v>EUROPEO</v>
      </c>
      <c r="P286" s="28" t="str">
        <f t="shared" si="4"/>
        <v>S1</v>
      </c>
      <c r="Q286" s="29">
        <v>1.0</v>
      </c>
      <c r="R286" s="29" t="str">
        <f t="shared" si="5"/>
        <v>Q1</v>
      </c>
    </row>
    <row r="287" ht="15.75" customHeight="1">
      <c r="A287" s="30">
        <v>45034.0</v>
      </c>
      <c r="B287" s="31">
        <v>7.157262276E9</v>
      </c>
      <c r="C287" s="32" t="s">
        <v>342</v>
      </c>
      <c r="D287" s="31">
        <v>1.2193993E7</v>
      </c>
      <c r="E287" s="30">
        <v>45042.0</v>
      </c>
      <c r="F287" s="33" t="s">
        <v>76</v>
      </c>
      <c r="G287" s="34">
        <v>2.0</v>
      </c>
      <c r="H287" s="33" t="s">
        <v>70</v>
      </c>
      <c r="I287" s="33" t="s">
        <v>77</v>
      </c>
      <c r="J287" s="33" t="s">
        <v>72</v>
      </c>
      <c r="K287" s="33" t="s">
        <v>84</v>
      </c>
      <c r="L287" s="33" t="str">
        <f t="shared" si="1"/>
        <v>FAMILIAR</v>
      </c>
      <c r="M287" s="33">
        <f t="shared" si="2"/>
        <v>4</v>
      </c>
      <c r="N287" s="33">
        <f t="shared" si="3"/>
        <v>2023</v>
      </c>
      <c r="O287" s="35" t="str">
        <f>VLOOKUP(K287,'CA y tablas'!$B$22:$C$28,2,FALSE)</f>
        <v>EUROPEO</v>
      </c>
      <c r="P287" s="28" t="str">
        <f t="shared" si="4"/>
        <v>S1</v>
      </c>
      <c r="Q287" s="29">
        <v>1.0</v>
      </c>
      <c r="R287" s="29" t="str">
        <f t="shared" si="5"/>
        <v>Q1</v>
      </c>
    </row>
    <row r="288" ht="15.75" customHeight="1">
      <c r="A288" s="22">
        <v>45034.0</v>
      </c>
      <c r="B288" s="23">
        <v>8.475398492E9</v>
      </c>
      <c r="C288" s="24" t="s">
        <v>343</v>
      </c>
      <c r="D288" s="23">
        <v>3.0357831E7</v>
      </c>
      <c r="E288" s="22">
        <v>45042.0</v>
      </c>
      <c r="F288" s="25" t="s">
        <v>76</v>
      </c>
      <c r="G288" s="26">
        <v>2.0</v>
      </c>
      <c r="H288" s="25" t="s">
        <v>70</v>
      </c>
      <c r="I288" s="25" t="s">
        <v>77</v>
      </c>
      <c r="J288" s="25" t="s">
        <v>72</v>
      </c>
      <c r="K288" s="25" t="s">
        <v>84</v>
      </c>
      <c r="L288" s="25" t="str">
        <f t="shared" si="1"/>
        <v>FAMILIAR</v>
      </c>
      <c r="M288" s="25">
        <f t="shared" si="2"/>
        <v>4</v>
      </c>
      <c r="N288" s="25">
        <f t="shared" si="3"/>
        <v>2023</v>
      </c>
      <c r="O288" s="27" t="str">
        <f>VLOOKUP(K288,'CA y tablas'!$B$22:$C$28,2,FALSE)</f>
        <v>EUROPEO</v>
      </c>
      <c r="P288" s="28" t="str">
        <f t="shared" si="4"/>
        <v>S1</v>
      </c>
      <c r="Q288" s="29">
        <v>1.0</v>
      </c>
      <c r="R288" s="29" t="str">
        <f t="shared" si="5"/>
        <v>Q1</v>
      </c>
    </row>
    <row r="289" ht="15.75" customHeight="1">
      <c r="A289" s="30">
        <v>45041.0</v>
      </c>
      <c r="B289" s="31">
        <v>6.647088092E9</v>
      </c>
      <c r="C289" s="32" t="s">
        <v>344</v>
      </c>
      <c r="D289" s="31">
        <v>2.8182412E7</v>
      </c>
      <c r="E289" s="30">
        <v>45042.0</v>
      </c>
      <c r="F289" s="33" t="s">
        <v>76</v>
      </c>
      <c r="G289" s="34">
        <v>1.0</v>
      </c>
      <c r="H289" s="33" t="s">
        <v>70</v>
      </c>
      <c r="I289" s="33" t="s">
        <v>77</v>
      </c>
      <c r="J289" s="33" t="s">
        <v>72</v>
      </c>
      <c r="K289" s="33" t="s">
        <v>84</v>
      </c>
      <c r="L289" s="33" t="str">
        <f t="shared" si="1"/>
        <v>INDIVIDUAL</v>
      </c>
      <c r="M289" s="33">
        <f t="shared" si="2"/>
        <v>4</v>
      </c>
      <c r="N289" s="33">
        <f t="shared" si="3"/>
        <v>2023</v>
      </c>
      <c r="O289" s="35" t="str">
        <f>VLOOKUP(K289,'CA y tablas'!$B$22:$C$28,2,FALSE)</f>
        <v>EUROPEO</v>
      </c>
      <c r="P289" s="28" t="str">
        <f t="shared" si="4"/>
        <v>S1</v>
      </c>
      <c r="Q289" s="29">
        <v>1.0</v>
      </c>
      <c r="R289" s="29" t="str">
        <f t="shared" si="5"/>
        <v>Q1</v>
      </c>
    </row>
    <row r="290" ht="15.75" customHeight="1">
      <c r="A290" s="22">
        <v>45041.0</v>
      </c>
      <c r="B290" s="23">
        <v>3.395732642E9</v>
      </c>
      <c r="C290" s="24" t="s">
        <v>345</v>
      </c>
      <c r="D290" s="23">
        <v>2.2583251E7</v>
      </c>
      <c r="E290" s="22">
        <v>45042.0</v>
      </c>
      <c r="F290" s="25" t="s">
        <v>69</v>
      </c>
      <c r="G290" s="26">
        <v>1.0</v>
      </c>
      <c r="H290" s="25" t="s">
        <v>70</v>
      </c>
      <c r="I290" s="25" t="s">
        <v>77</v>
      </c>
      <c r="J290" s="25" t="s">
        <v>72</v>
      </c>
      <c r="K290" s="25" t="s">
        <v>84</v>
      </c>
      <c r="L290" s="25" t="str">
        <f t="shared" si="1"/>
        <v>INDIVIDUAL</v>
      </c>
      <c r="M290" s="25">
        <f t="shared" si="2"/>
        <v>4</v>
      </c>
      <c r="N290" s="25">
        <f t="shared" si="3"/>
        <v>2023</v>
      </c>
      <c r="O290" s="27" t="str">
        <f>VLOOKUP(K290,'CA y tablas'!$B$22:$C$28,2,FALSE)</f>
        <v>EUROPEO</v>
      </c>
      <c r="P290" s="28" t="str">
        <f t="shared" si="4"/>
        <v>S1</v>
      </c>
      <c r="Q290" s="29">
        <v>1.0</v>
      </c>
      <c r="R290" s="29" t="str">
        <f t="shared" si="5"/>
        <v>Q1</v>
      </c>
    </row>
    <row r="291" ht="15.75" customHeight="1">
      <c r="A291" s="30">
        <v>45041.0</v>
      </c>
      <c r="B291" s="31">
        <v>5.734089712E9</v>
      </c>
      <c r="C291" s="32" t="s">
        <v>346</v>
      </c>
      <c r="D291" s="31">
        <v>3.3978234E7</v>
      </c>
      <c r="E291" s="30">
        <v>45042.0</v>
      </c>
      <c r="F291" s="33" t="s">
        <v>69</v>
      </c>
      <c r="G291" s="34">
        <v>1.0</v>
      </c>
      <c r="H291" s="33" t="s">
        <v>70</v>
      </c>
      <c r="I291" s="33" t="s">
        <v>77</v>
      </c>
      <c r="J291" s="33" t="s">
        <v>79</v>
      </c>
      <c r="K291" s="33" t="s">
        <v>84</v>
      </c>
      <c r="L291" s="33" t="str">
        <f t="shared" si="1"/>
        <v>INDIVIDUAL</v>
      </c>
      <c r="M291" s="33">
        <f t="shared" si="2"/>
        <v>4</v>
      </c>
      <c r="N291" s="33">
        <f t="shared" si="3"/>
        <v>2023</v>
      </c>
      <c r="O291" s="35" t="str">
        <f>VLOOKUP(K291,'CA y tablas'!$B$22:$C$28,2,FALSE)</f>
        <v>EUROPEO</v>
      </c>
      <c r="P291" s="28" t="str">
        <f t="shared" si="4"/>
        <v>S1</v>
      </c>
      <c r="Q291" s="29">
        <v>1.0</v>
      </c>
      <c r="R291" s="29" t="str">
        <f t="shared" si="5"/>
        <v>Q1</v>
      </c>
    </row>
    <row r="292" ht="15.75" customHeight="1">
      <c r="A292" s="22">
        <v>45041.0</v>
      </c>
      <c r="B292" s="23">
        <v>4.973331075E9</v>
      </c>
      <c r="C292" s="24" t="s">
        <v>347</v>
      </c>
      <c r="D292" s="23">
        <v>1.1239216E7</v>
      </c>
      <c r="E292" s="22">
        <v>45042.0</v>
      </c>
      <c r="F292" s="25" t="s">
        <v>69</v>
      </c>
      <c r="G292" s="26">
        <v>21.0</v>
      </c>
      <c r="H292" s="25" t="s">
        <v>70</v>
      </c>
      <c r="I292" s="25" t="s">
        <v>77</v>
      </c>
      <c r="J292" s="25" t="s">
        <v>79</v>
      </c>
      <c r="K292" s="25" t="s">
        <v>84</v>
      </c>
      <c r="L292" s="25" t="str">
        <f t="shared" si="1"/>
        <v>FAMILIAR</v>
      </c>
      <c r="M292" s="25">
        <f t="shared" si="2"/>
        <v>4</v>
      </c>
      <c r="N292" s="25">
        <f t="shared" si="3"/>
        <v>2023</v>
      </c>
      <c r="O292" s="27" t="str">
        <f>VLOOKUP(K292,'CA y tablas'!$B$22:$C$28,2,FALSE)</f>
        <v>EUROPEO</v>
      </c>
      <c r="P292" s="28" t="str">
        <f t="shared" si="4"/>
        <v>S1</v>
      </c>
      <c r="Q292" s="29">
        <v>1.0</v>
      </c>
      <c r="R292" s="29" t="str">
        <f t="shared" si="5"/>
        <v>Q1</v>
      </c>
    </row>
    <row r="293" ht="15.75" customHeight="1">
      <c r="A293" s="30">
        <v>45041.0</v>
      </c>
      <c r="B293" s="31">
        <v>9.86430123E9</v>
      </c>
      <c r="C293" s="32" t="s">
        <v>346</v>
      </c>
      <c r="D293" s="31">
        <v>3.3978234E7</v>
      </c>
      <c r="E293" s="30">
        <v>45042.0</v>
      </c>
      <c r="F293" s="33" t="s">
        <v>69</v>
      </c>
      <c r="G293" s="34">
        <v>2.0</v>
      </c>
      <c r="H293" s="33" t="s">
        <v>70</v>
      </c>
      <c r="I293" s="33" t="s">
        <v>77</v>
      </c>
      <c r="J293" s="33" t="s">
        <v>79</v>
      </c>
      <c r="K293" s="33" t="s">
        <v>84</v>
      </c>
      <c r="L293" s="33" t="str">
        <f t="shared" si="1"/>
        <v>FAMILIAR</v>
      </c>
      <c r="M293" s="33">
        <f t="shared" si="2"/>
        <v>4</v>
      </c>
      <c r="N293" s="33">
        <f t="shared" si="3"/>
        <v>2023</v>
      </c>
      <c r="O293" s="35" t="str">
        <f>VLOOKUP(K293,'CA y tablas'!$B$22:$C$28,2,FALSE)</f>
        <v>EUROPEO</v>
      </c>
      <c r="P293" s="28" t="str">
        <f t="shared" si="4"/>
        <v>S1</v>
      </c>
      <c r="Q293" s="29">
        <v>1.0</v>
      </c>
      <c r="R293" s="29" t="str">
        <f t="shared" si="5"/>
        <v>Q1</v>
      </c>
    </row>
    <row r="294" ht="15.75" customHeight="1">
      <c r="A294" s="22">
        <v>45041.0</v>
      </c>
      <c r="B294" s="23">
        <v>9.86429766E9</v>
      </c>
      <c r="C294" s="24" t="s">
        <v>348</v>
      </c>
      <c r="D294" s="23">
        <v>2.4982226E7</v>
      </c>
      <c r="E294" s="22">
        <v>45042.0</v>
      </c>
      <c r="F294" s="25" t="s">
        <v>69</v>
      </c>
      <c r="G294" s="26">
        <v>2.0</v>
      </c>
      <c r="H294" s="25" t="s">
        <v>70</v>
      </c>
      <c r="I294" s="25" t="s">
        <v>77</v>
      </c>
      <c r="J294" s="25" t="s">
        <v>79</v>
      </c>
      <c r="K294" s="25" t="s">
        <v>84</v>
      </c>
      <c r="L294" s="25" t="str">
        <f t="shared" si="1"/>
        <v>FAMILIAR</v>
      </c>
      <c r="M294" s="25">
        <f t="shared" si="2"/>
        <v>4</v>
      </c>
      <c r="N294" s="25">
        <f t="shared" si="3"/>
        <v>2023</v>
      </c>
      <c r="O294" s="27" t="str">
        <f>VLOOKUP(K294,'CA y tablas'!$B$22:$C$28,2,FALSE)</f>
        <v>EUROPEO</v>
      </c>
      <c r="P294" s="28" t="str">
        <f t="shared" si="4"/>
        <v>S1</v>
      </c>
      <c r="Q294" s="29">
        <v>1.0</v>
      </c>
      <c r="R294" s="29" t="str">
        <f t="shared" si="5"/>
        <v>Q1</v>
      </c>
    </row>
    <row r="295" ht="15.75" customHeight="1">
      <c r="A295" s="30">
        <v>45041.0</v>
      </c>
      <c r="B295" s="31">
        <v>1.3653437E9</v>
      </c>
      <c r="C295" s="32" t="s">
        <v>349</v>
      </c>
      <c r="D295" s="31">
        <v>3.6281367E7</v>
      </c>
      <c r="E295" s="30">
        <v>45042.0</v>
      </c>
      <c r="F295" s="33" t="s">
        <v>69</v>
      </c>
      <c r="G295" s="34">
        <v>1.0</v>
      </c>
      <c r="H295" s="33" t="s">
        <v>70</v>
      </c>
      <c r="I295" s="33" t="s">
        <v>77</v>
      </c>
      <c r="J295" s="33" t="s">
        <v>79</v>
      </c>
      <c r="K295" s="33" t="s">
        <v>84</v>
      </c>
      <c r="L295" s="33" t="str">
        <f t="shared" si="1"/>
        <v>INDIVIDUAL</v>
      </c>
      <c r="M295" s="33">
        <f t="shared" si="2"/>
        <v>4</v>
      </c>
      <c r="N295" s="33">
        <f t="shared" si="3"/>
        <v>2023</v>
      </c>
      <c r="O295" s="35" t="str">
        <f>VLOOKUP(K295,'CA y tablas'!$B$22:$C$28,2,FALSE)</f>
        <v>EUROPEO</v>
      </c>
      <c r="P295" s="28" t="str">
        <f t="shared" si="4"/>
        <v>S1</v>
      </c>
      <c r="Q295" s="29">
        <v>1.0</v>
      </c>
      <c r="R295" s="29" t="str">
        <f t="shared" si="5"/>
        <v>Q1</v>
      </c>
    </row>
    <row r="296" ht="15.75" customHeight="1">
      <c r="A296" s="22">
        <v>45041.0</v>
      </c>
      <c r="B296" s="23">
        <v>3.453691382E9</v>
      </c>
      <c r="C296" s="24" t="s">
        <v>344</v>
      </c>
      <c r="D296" s="23">
        <v>2.8182412E7</v>
      </c>
      <c r="E296" s="22">
        <v>45042.0</v>
      </c>
      <c r="F296" s="25" t="s">
        <v>69</v>
      </c>
      <c r="G296" s="26">
        <v>1.0</v>
      </c>
      <c r="H296" s="25" t="s">
        <v>70</v>
      </c>
      <c r="I296" s="25" t="s">
        <v>88</v>
      </c>
      <c r="J296" s="25" t="s">
        <v>79</v>
      </c>
      <c r="K296" s="25" t="s">
        <v>84</v>
      </c>
      <c r="L296" s="25" t="str">
        <f t="shared" si="1"/>
        <v>INDIVIDUAL</v>
      </c>
      <c r="M296" s="25">
        <f t="shared" si="2"/>
        <v>4</v>
      </c>
      <c r="N296" s="25">
        <f t="shared" si="3"/>
        <v>2023</v>
      </c>
      <c r="O296" s="27" t="str">
        <f>VLOOKUP(K296,'CA y tablas'!$B$22:$C$28,2,FALSE)</f>
        <v>EUROPEO</v>
      </c>
      <c r="P296" s="28" t="str">
        <f t="shared" si="4"/>
        <v>S1</v>
      </c>
      <c r="Q296" s="29">
        <v>1.0</v>
      </c>
      <c r="R296" s="29" t="str">
        <f t="shared" si="5"/>
        <v>Q1</v>
      </c>
    </row>
    <row r="297" ht="15.75" customHeight="1">
      <c r="A297" s="30">
        <v>45041.0</v>
      </c>
      <c r="B297" s="31">
        <v>5.325658494E9</v>
      </c>
      <c r="C297" s="32" t="s">
        <v>350</v>
      </c>
      <c r="D297" s="31">
        <v>4277307.0</v>
      </c>
      <c r="E297" s="30">
        <v>45042.0</v>
      </c>
      <c r="F297" s="33" t="s">
        <v>69</v>
      </c>
      <c r="G297" s="34">
        <v>1.0</v>
      </c>
      <c r="H297" s="33" t="s">
        <v>112</v>
      </c>
      <c r="I297" s="33" t="s">
        <v>88</v>
      </c>
      <c r="J297" s="33" t="s">
        <v>79</v>
      </c>
      <c r="K297" s="33" t="s">
        <v>84</v>
      </c>
      <c r="L297" s="33" t="str">
        <f t="shared" si="1"/>
        <v>INDIVIDUAL</v>
      </c>
      <c r="M297" s="33">
        <f t="shared" si="2"/>
        <v>4</v>
      </c>
      <c r="N297" s="33">
        <f t="shared" si="3"/>
        <v>2023</v>
      </c>
      <c r="O297" s="35" t="str">
        <f>VLOOKUP(K297,'CA y tablas'!$B$22:$C$28,2,FALSE)</f>
        <v>EUROPEO</v>
      </c>
      <c r="P297" s="28" t="str">
        <f t="shared" si="4"/>
        <v>S1</v>
      </c>
      <c r="Q297" s="29">
        <v>1.0</v>
      </c>
      <c r="R297" s="29" t="str">
        <f t="shared" si="5"/>
        <v>Q1</v>
      </c>
    </row>
    <row r="298" ht="15.75" customHeight="1">
      <c r="A298" s="22">
        <v>45042.0</v>
      </c>
      <c r="B298" s="23">
        <v>8.3641614E9</v>
      </c>
      <c r="C298" s="24" t="s">
        <v>351</v>
      </c>
      <c r="D298" s="23">
        <v>2.0284114E7</v>
      </c>
      <c r="E298" s="22">
        <v>45042.0</v>
      </c>
      <c r="F298" s="25" t="s">
        <v>69</v>
      </c>
      <c r="G298" s="26">
        <v>1.0</v>
      </c>
      <c r="H298" s="25" t="s">
        <v>112</v>
      </c>
      <c r="I298" s="25" t="s">
        <v>88</v>
      </c>
      <c r="J298" s="25" t="s">
        <v>79</v>
      </c>
      <c r="K298" s="25" t="s">
        <v>84</v>
      </c>
      <c r="L298" s="25" t="str">
        <f t="shared" si="1"/>
        <v>INDIVIDUAL</v>
      </c>
      <c r="M298" s="25">
        <f t="shared" si="2"/>
        <v>4</v>
      </c>
      <c r="N298" s="25">
        <f t="shared" si="3"/>
        <v>2023</v>
      </c>
      <c r="O298" s="27" t="str">
        <f>VLOOKUP(K298,'CA y tablas'!$B$22:$C$28,2,FALSE)</f>
        <v>EUROPEO</v>
      </c>
      <c r="P298" s="28" t="str">
        <f t="shared" si="4"/>
        <v>S1</v>
      </c>
      <c r="Q298" s="29">
        <v>1.0</v>
      </c>
      <c r="R298" s="29" t="str">
        <f t="shared" si="5"/>
        <v>Q1</v>
      </c>
    </row>
    <row r="299" ht="15.75" customHeight="1">
      <c r="A299" s="30">
        <v>45015.0</v>
      </c>
      <c r="B299" s="31">
        <v>9.651014995E9</v>
      </c>
      <c r="C299" s="32" t="s">
        <v>352</v>
      </c>
      <c r="D299" s="31">
        <v>3.5239652E7</v>
      </c>
      <c r="E299" s="30">
        <v>45043.0</v>
      </c>
      <c r="F299" s="33" t="s">
        <v>69</v>
      </c>
      <c r="G299" s="34">
        <v>2.0</v>
      </c>
      <c r="H299" s="33" t="s">
        <v>81</v>
      </c>
      <c r="I299" s="33" t="s">
        <v>88</v>
      </c>
      <c r="J299" s="33" t="s">
        <v>79</v>
      </c>
      <c r="K299" s="33" t="s">
        <v>73</v>
      </c>
      <c r="L299" s="33" t="str">
        <f t="shared" si="1"/>
        <v>FAMILIAR</v>
      </c>
      <c r="M299" s="33">
        <f t="shared" si="2"/>
        <v>4</v>
      </c>
      <c r="N299" s="33">
        <f t="shared" si="3"/>
        <v>2023</v>
      </c>
      <c r="O299" s="35" t="str">
        <f>VLOOKUP(K299,'CA y tablas'!$B$22:$C$28,2,FALSE)</f>
        <v>AMERICANO</v>
      </c>
      <c r="P299" s="28" t="str">
        <f t="shared" si="4"/>
        <v>S1</v>
      </c>
      <c r="Q299" s="29">
        <v>1.0</v>
      </c>
      <c r="R299" s="29" t="str">
        <f t="shared" si="5"/>
        <v>Q1</v>
      </c>
    </row>
    <row r="300" ht="15.75" customHeight="1">
      <c r="A300" s="22">
        <v>45015.0</v>
      </c>
      <c r="B300" s="23">
        <v>1.214056911E9</v>
      </c>
      <c r="C300" s="24" t="s">
        <v>352</v>
      </c>
      <c r="D300" s="23">
        <v>3.5239652E7</v>
      </c>
      <c r="E300" s="22">
        <v>45043.0</v>
      </c>
      <c r="F300" s="25" t="s">
        <v>76</v>
      </c>
      <c r="G300" s="26">
        <v>2.0</v>
      </c>
      <c r="H300" s="25" t="s">
        <v>81</v>
      </c>
      <c r="I300" s="25" t="s">
        <v>88</v>
      </c>
      <c r="J300" s="25" t="s">
        <v>79</v>
      </c>
      <c r="K300" s="25" t="s">
        <v>73</v>
      </c>
      <c r="L300" s="25" t="str">
        <f t="shared" si="1"/>
        <v>FAMILIAR</v>
      </c>
      <c r="M300" s="25">
        <f t="shared" si="2"/>
        <v>4</v>
      </c>
      <c r="N300" s="25">
        <f t="shared" si="3"/>
        <v>2023</v>
      </c>
      <c r="O300" s="27" t="str">
        <f>VLOOKUP(K300,'CA y tablas'!$B$22:$C$28,2,FALSE)</f>
        <v>AMERICANO</v>
      </c>
      <c r="P300" s="28" t="str">
        <f t="shared" si="4"/>
        <v>S1</v>
      </c>
      <c r="Q300" s="29">
        <v>1.0</v>
      </c>
      <c r="R300" s="29" t="str">
        <f t="shared" si="5"/>
        <v>Q1</v>
      </c>
    </row>
    <row r="301" ht="15.75" customHeight="1">
      <c r="A301" s="30">
        <v>45041.0</v>
      </c>
      <c r="B301" s="31">
        <v>5.667223903E9</v>
      </c>
      <c r="C301" s="32" t="s">
        <v>353</v>
      </c>
      <c r="D301" s="31">
        <v>2.4803624E7</v>
      </c>
      <c r="E301" s="30">
        <v>45043.0</v>
      </c>
      <c r="F301" s="33" t="s">
        <v>76</v>
      </c>
      <c r="G301" s="34">
        <v>2.0</v>
      </c>
      <c r="H301" s="33" t="s">
        <v>81</v>
      </c>
      <c r="I301" s="33" t="s">
        <v>88</v>
      </c>
      <c r="J301" s="33" t="s">
        <v>98</v>
      </c>
      <c r="K301" s="33" t="s">
        <v>73</v>
      </c>
      <c r="L301" s="33" t="str">
        <f t="shared" si="1"/>
        <v>FAMILIAR</v>
      </c>
      <c r="M301" s="33">
        <f t="shared" si="2"/>
        <v>4</v>
      </c>
      <c r="N301" s="33">
        <f t="shared" si="3"/>
        <v>2023</v>
      </c>
      <c r="O301" s="35" t="str">
        <f>VLOOKUP(K301,'CA y tablas'!$B$22:$C$28,2,FALSE)</f>
        <v>AMERICANO</v>
      </c>
      <c r="P301" s="28" t="str">
        <f t="shared" si="4"/>
        <v>S1</v>
      </c>
      <c r="Q301" s="29">
        <v>1.0</v>
      </c>
      <c r="R301" s="29" t="str">
        <f t="shared" si="5"/>
        <v>Q1</v>
      </c>
    </row>
    <row r="302" ht="15.75" customHeight="1">
      <c r="A302" s="22">
        <v>45041.0</v>
      </c>
      <c r="B302" s="23">
        <v>2.63642407E9</v>
      </c>
      <c r="C302" s="24" t="s">
        <v>354</v>
      </c>
      <c r="D302" s="23">
        <v>2.7961427E7</v>
      </c>
      <c r="E302" s="22">
        <v>45043.0</v>
      </c>
      <c r="F302" s="25" t="s">
        <v>76</v>
      </c>
      <c r="G302" s="26">
        <v>1.0</v>
      </c>
      <c r="H302" s="25" t="s">
        <v>81</v>
      </c>
      <c r="I302" s="25" t="s">
        <v>88</v>
      </c>
      <c r="J302" s="25" t="s">
        <v>98</v>
      </c>
      <c r="K302" s="25" t="s">
        <v>73</v>
      </c>
      <c r="L302" s="25" t="str">
        <f t="shared" si="1"/>
        <v>INDIVIDUAL</v>
      </c>
      <c r="M302" s="25">
        <f t="shared" si="2"/>
        <v>4</v>
      </c>
      <c r="N302" s="25">
        <f t="shared" si="3"/>
        <v>2023</v>
      </c>
      <c r="O302" s="27" t="str">
        <f>VLOOKUP(K302,'CA y tablas'!$B$22:$C$28,2,FALSE)</f>
        <v>AMERICANO</v>
      </c>
      <c r="P302" s="28" t="str">
        <f t="shared" si="4"/>
        <v>S1</v>
      </c>
      <c r="Q302" s="29">
        <v>1.0</v>
      </c>
      <c r="R302" s="29" t="str">
        <f t="shared" si="5"/>
        <v>Q1</v>
      </c>
    </row>
    <row r="303" ht="15.75" customHeight="1">
      <c r="A303" s="30">
        <v>45041.0</v>
      </c>
      <c r="B303" s="31">
        <v>2.27137078E9</v>
      </c>
      <c r="C303" s="32" t="s">
        <v>355</v>
      </c>
      <c r="D303" s="31">
        <v>3.2750068E7</v>
      </c>
      <c r="E303" s="30">
        <v>45043.0</v>
      </c>
      <c r="F303" s="33" t="s">
        <v>76</v>
      </c>
      <c r="G303" s="34">
        <v>1.0</v>
      </c>
      <c r="H303" s="33" t="s">
        <v>81</v>
      </c>
      <c r="I303" s="33" t="s">
        <v>88</v>
      </c>
      <c r="J303" s="33" t="s">
        <v>98</v>
      </c>
      <c r="K303" s="33" t="s">
        <v>73</v>
      </c>
      <c r="L303" s="33" t="str">
        <f t="shared" si="1"/>
        <v>INDIVIDUAL</v>
      </c>
      <c r="M303" s="33">
        <f t="shared" si="2"/>
        <v>4</v>
      </c>
      <c r="N303" s="33">
        <f t="shared" si="3"/>
        <v>2023</v>
      </c>
      <c r="O303" s="35" t="str">
        <f>VLOOKUP(K303,'CA y tablas'!$B$22:$C$28,2,FALSE)</f>
        <v>AMERICANO</v>
      </c>
      <c r="P303" s="28" t="str">
        <f t="shared" si="4"/>
        <v>S1</v>
      </c>
      <c r="Q303" s="29">
        <v>1.0</v>
      </c>
      <c r="R303" s="29" t="str">
        <f t="shared" si="5"/>
        <v>Q1</v>
      </c>
    </row>
    <row r="304" ht="15.75" customHeight="1">
      <c r="A304" s="22">
        <v>45041.0</v>
      </c>
      <c r="B304" s="23">
        <v>5.66717249E9</v>
      </c>
      <c r="C304" s="24" t="s">
        <v>356</v>
      </c>
      <c r="D304" s="23">
        <v>3.6049892E7</v>
      </c>
      <c r="E304" s="22">
        <v>45043.0</v>
      </c>
      <c r="F304" s="25" t="s">
        <v>76</v>
      </c>
      <c r="G304" s="26">
        <v>1.0</v>
      </c>
      <c r="H304" s="25" t="s">
        <v>81</v>
      </c>
      <c r="I304" s="25" t="s">
        <v>77</v>
      </c>
      <c r="J304" s="25" t="s">
        <v>98</v>
      </c>
      <c r="K304" s="25" t="s">
        <v>73</v>
      </c>
      <c r="L304" s="25" t="str">
        <f t="shared" si="1"/>
        <v>INDIVIDUAL</v>
      </c>
      <c r="M304" s="25">
        <f t="shared" si="2"/>
        <v>4</v>
      </c>
      <c r="N304" s="25">
        <f t="shared" si="3"/>
        <v>2023</v>
      </c>
      <c r="O304" s="27" t="str">
        <f>VLOOKUP(K304,'CA y tablas'!$B$22:$C$28,2,FALSE)</f>
        <v>AMERICANO</v>
      </c>
      <c r="P304" s="28" t="str">
        <f t="shared" si="4"/>
        <v>S1</v>
      </c>
      <c r="Q304" s="29">
        <v>1.0</v>
      </c>
      <c r="R304" s="29" t="str">
        <f t="shared" si="5"/>
        <v>Q1</v>
      </c>
    </row>
    <row r="305" ht="15.75" customHeight="1">
      <c r="A305" s="30">
        <v>45041.0</v>
      </c>
      <c r="B305" s="31">
        <v>5.001802761E9</v>
      </c>
      <c r="C305" s="32" t="s">
        <v>357</v>
      </c>
      <c r="D305" s="31">
        <v>2.4340545E7</v>
      </c>
      <c r="E305" s="30">
        <v>45043.0</v>
      </c>
      <c r="F305" s="33" t="s">
        <v>76</v>
      </c>
      <c r="G305" s="34">
        <v>1.0</v>
      </c>
      <c r="H305" s="33" t="s">
        <v>81</v>
      </c>
      <c r="I305" s="33" t="s">
        <v>77</v>
      </c>
      <c r="J305" s="33" t="s">
        <v>98</v>
      </c>
      <c r="K305" s="33" t="s">
        <v>73</v>
      </c>
      <c r="L305" s="33" t="str">
        <f t="shared" si="1"/>
        <v>INDIVIDUAL</v>
      </c>
      <c r="M305" s="33">
        <f t="shared" si="2"/>
        <v>4</v>
      </c>
      <c r="N305" s="33">
        <f t="shared" si="3"/>
        <v>2023</v>
      </c>
      <c r="O305" s="35" t="str">
        <f>VLOOKUP(K305,'CA y tablas'!$B$22:$C$28,2,FALSE)</f>
        <v>AMERICANO</v>
      </c>
      <c r="P305" s="28" t="str">
        <f t="shared" si="4"/>
        <v>S1</v>
      </c>
      <c r="Q305" s="29">
        <v>1.0</v>
      </c>
      <c r="R305" s="29" t="str">
        <f t="shared" si="5"/>
        <v>Q1</v>
      </c>
    </row>
    <row r="306" ht="15.75" customHeight="1">
      <c r="A306" s="22">
        <v>45041.0</v>
      </c>
      <c r="B306" s="23">
        <v>5.001805141E9</v>
      </c>
      <c r="C306" s="24" t="s">
        <v>353</v>
      </c>
      <c r="D306" s="23">
        <v>2.4803624E7</v>
      </c>
      <c r="E306" s="22">
        <v>45043.0</v>
      </c>
      <c r="F306" s="25" t="s">
        <v>76</v>
      </c>
      <c r="G306" s="26">
        <v>1.0</v>
      </c>
      <c r="H306" s="25" t="s">
        <v>116</v>
      </c>
      <c r="I306" s="25" t="s">
        <v>77</v>
      </c>
      <c r="J306" s="25" t="s">
        <v>98</v>
      </c>
      <c r="K306" s="25" t="s">
        <v>103</v>
      </c>
      <c r="L306" s="25" t="str">
        <f t="shared" si="1"/>
        <v>INDIVIDUAL</v>
      </c>
      <c r="M306" s="25">
        <f t="shared" si="2"/>
        <v>4</v>
      </c>
      <c r="N306" s="25">
        <f t="shared" si="3"/>
        <v>2023</v>
      </c>
      <c r="O306" s="27" t="str">
        <f>VLOOKUP(K306,'CA y tablas'!$B$22:$C$28,2,FALSE)</f>
        <v>EUROPEO</v>
      </c>
      <c r="P306" s="28" t="str">
        <f t="shared" si="4"/>
        <v>S1</v>
      </c>
      <c r="Q306" s="29">
        <v>1.0</v>
      </c>
      <c r="R306" s="29" t="str">
        <f t="shared" si="5"/>
        <v>Q1</v>
      </c>
    </row>
    <row r="307" ht="15.75" customHeight="1">
      <c r="A307" s="30">
        <v>45042.0</v>
      </c>
      <c r="B307" s="31">
        <v>1.874327291E9</v>
      </c>
      <c r="C307" s="32" t="s">
        <v>358</v>
      </c>
      <c r="D307" s="31">
        <v>2.1328858E7</v>
      </c>
      <c r="E307" s="30">
        <v>45043.0</v>
      </c>
      <c r="F307" s="33" t="s">
        <v>76</v>
      </c>
      <c r="G307" s="34">
        <v>2.0</v>
      </c>
      <c r="H307" s="33" t="s">
        <v>116</v>
      </c>
      <c r="I307" s="33" t="s">
        <v>77</v>
      </c>
      <c r="J307" s="33" t="s">
        <v>318</v>
      </c>
      <c r="K307" s="33" t="s">
        <v>103</v>
      </c>
      <c r="L307" s="33" t="str">
        <f t="shared" si="1"/>
        <v>FAMILIAR</v>
      </c>
      <c r="M307" s="33">
        <f t="shared" si="2"/>
        <v>4</v>
      </c>
      <c r="N307" s="33">
        <f t="shared" si="3"/>
        <v>2023</v>
      </c>
      <c r="O307" s="35" t="str">
        <f>VLOOKUP(K307,'CA y tablas'!$B$22:$C$28,2,FALSE)</f>
        <v>EUROPEO</v>
      </c>
      <c r="P307" s="28" t="str">
        <f t="shared" si="4"/>
        <v>S1</v>
      </c>
      <c r="Q307" s="29">
        <v>1.0</v>
      </c>
      <c r="R307" s="29" t="str">
        <f t="shared" si="5"/>
        <v>Q1</v>
      </c>
    </row>
    <row r="308" ht="15.75" customHeight="1">
      <c r="A308" s="22">
        <v>45042.0</v>
      </c>
      <c r="B308" s="23">
        <v>1.87433232E9</v>
      </c>
      <c r="C308" s="24" t="s">
        <v>359</v>
      </c>
      <c r="D308" s="23">
        <v>3.1644339E7</v>
      </c>
      <c r="E308" s="22">
        <v>45043.0</v>
      </c>
      <c r="F308" s="25" t="s">
        <v>76</v>
      </c>
      <c r="G308" s="26">
        <v>3.0</v>
      </c>
      <c r="H308" s="25" t="s">
        <v>116</v>
      </c>
      <c r="I308" s="25" t="s">
        <v>77</v>
      </c>
      <c r="J308" s="25" t="s">
        <v>318</v>
      </c>
      <c r="K308" s="25" t="s">
        <v>103</v>
      </c>
      <c r="L308" s="25" t="str">
        <f t="shared" si="1"/>
        <v>FAMILIAR</v>
      </c>
      <c r="M308" s="25">
        <f t="shared" si="2"/>
        <v>4</v>
      </c>
      <c r="N308" s="25">
        <f t="shared" si="3"/>
        <v>2023</v>
      </c>
      <c r="O308" s="27" t="str">
        <f>VLOOKUP(K308,'CA y tablas'!$B$22:$C$28,2,FALSE)</f>
        <v>EUROPEO</v>
      </c>
      <c r="P308" s="28" t="str">
        <f t="shared" si="4"/>
        <v>S1</v>
      </c>
      <c r="Q308" s="29">
        <v>1.0</v>
      </c>
      <c r="R308" s="29" t="str">
        <f t="shared" si="5"/>
        <v>Q1</v>
      </c>
    </row>
    <row r="309" ht="15.75" customHeight="1">
      <c r="A309" s="30">
        <v>45042.0</v>
      </c>
      <c r="B309" s="31">
        <v>1.564503076E9</v>
      </c>
      <c r="C309" s="32" t="s">
        <v>358</v>
      </c>
      <c r="D309" s="31">
        <v>2.1328858E7</v>
      </c>
      <c r="E309" s="30">
        <v>45043.0</v>
      </c>
      <c r="F309" s="33" t="s">
        <v>69</v>
      </c>
      <c r="G309" s="34">
        <v>3.0</v>
      </c>
      <c r="H309" s="33" t="s">
        <v>116</v>
      </c>
      <c r="I309" s="33" t="s">
        <v>77</v>
      </c>
      <c r="J309" s="33" t="s">
        <v>318</v>
      </c>
      <c r="K309" s="33" t="s">
        <v>103</v>
      </c>
      <c r="L309" s="33" t="str">
        <f t="shared" si="1"/>
        <v>FAMILIAR</v>
      </c>
      <c r="M309" s="33">
        <f t="shared" si="2"/>
        <v>4</v>
      </c>
      <c r="N309" s="33">
        <f t="shared" si="3"/>
        <v>2023</v>
      </c>
      <c r="O309" s="35" t="str">
        <f>VLOOKUP(K309,'CA y tablas'!$B$22:$C$28,2,FALSE)</f>
        <v>EUROPEO</v>
      </c>
      <c r="P309" s="28" t="str">
        <f t="shared" si="4"/>
        <v>S1</v>
      </c>
      <c r="Q309" s="29">
        <v>1.0</v>
      </c>
      <c r="R309" s="29" t="str">
        <f t="shared" si="5"/>
        <v>Q1</v>
      </c>
    </row>
    <row r="310" ht="15.75" customHeight="1">
      <c r="A310" s="22">
        <v>45041.0</v>
      </c>
      <c r="B310" s="23">
        <v>2.271372176E9</v>
      </c>
      <c r="C310" s="24" t="s">
        <v>360</v>
      </c>
      <c r="D310" s="23">
        <v>2.8849608E7</v>
      </c>
      <c r="E310" s="22">
        <v>45044.0</v>
      </c>
      <c r="F310" s="25" t="s">
        <v>69</v>
      </c>
      <c r="G310" s="26">
        <v>2.0</v>
      </c>
      <c r="H310" s="25" t="s">
        <v>116</v>
      </c>
      <c r="I310" s="25" t="s">
        <v>77</v>
      </c>
      <c r="J310" s="25" t="s">
        <v>318</v>
      </c>
      <c r="K310" s="25" t="s">
        <v>107</v>
      </c>
      <c r="L310" s="25" t="str">
        <f t="shared" si="1"/>
        <v>FAMILIAR</v>
      </c>
      <c r="M310" s="25">
        <f t="shared" si="2"/>
        <v>4</v>
      </c>
      <c r="N310" s="25">
        <f t="shared" si="3"/>
        <v>2023</v>
      </c>
      <c r="O310" s="27" t="str">
        <f>VLOOKUP(K310,'CA y tablas'!$B$22:$C$28,2,FALSE)</f>
        <v>AMERICANO</v>
      </c>
      <c r="P310" s="28" t="str">
        <f t="shared" si="4"/>
        <v>S1</v>
      </c>
      <c r="Q310" s="29">
        <v>1.0</v>
      </c>
      <c r="R310" s="29" t="str">
        <f t="shared" si="5"/>
        <v>Q1</v>
      </c>
    </row>
    <row r="311" ht="15.75" customHeight="1">
      <c r="A311" s="30">
        <v>45041.0</v>
      </c>
      <c r="B311" s="31">
        <v>9.864275175E9</v>
      </c>
      <c r="C311" s="32" t="s">
        <v>361</v>
      </c>
      <c r="D311" s="31">
        <v>3.3755451E7</v>
      </c>
      <c r="E311" s="30">
        <v>45044.0</v>
      </c>
      <c r="F311" s="33" t="s">
        <v>69</v>
      </c>
      <c r="G311" s="34">
        <v>1.0</v>
      </c>
      <c r="H311" s="33" t="s">
        <v>116</v>
      </c>
      <c r="I311" s="33" t="s">
        <v>77</v>
      </c>
      <c r="J311" s="33" t="s">
        <v>318</v>
      </c>
      <c r="K311" s="33" t="s">
        <v>107</v>
      </c>
      <c r="L311" s="33" t="str">
        <f t="shared" si="1"/>
        <v>INDIVIDUAL</v>
      </c>
      <c r="M311" s="33">
        <f t="shared" si="2"/>
        <v>4</v>
      </c>
      <c r="N311" s="33">
        <f t="shared" si="3"/>
        <v>2023</v>
      </c>
      <c r="O311" s="35" t="str">
        <f>VLOOKUP(K311,'CA y tablas'!$B$22:$C$28,2,FALSE)</f>
        <v>AMERICANO</v>
      </c>
      <c r="P311" s="28" t="str">
        <f t="shared" si="4"/>
        <v>S1</v>
      </c>
      <c r="Q311" s="29">
        <v>1.0</v>
      </c>
      <c r="R311" s="29" t="str">
        <f t="shared" si="5"/>
        <v>Q1</v>
      </c>
    </row>
    <row r="312" ht="15.75" customHeight="1">
      <c r="A312" s="22">
        <v>45042.0</v>
      </c>
      <c r="B312" s="23">
        <v>1.581103591E9</v>
      </c>
      <c r="C312" s="24" t="s">
        <v>362</v>
      </c>
      <c r="D312" s="23">
        <v>4.370619E7</v>
      </c>
      <c r="E312" s="22">
        <v>45044.0</v>
      </c>
      <c r="F312" s="25" t="s">
        <v>69</v>
      </c>
      <c r="G312" s="26">
        <v>2.0</v>
      </c>
      <c r="H312" s="25" t="s">
        <v>116</v>
      </c>
      <c r="I312" s="25" t="s">
        <v>77</v>
      </c>
      <c r="J312" s="25" t="s">
        <v>318</v>
      </c>
      <c r="K312" s="25" t="s">
        <v>107</v>
      </c>
      <c r="L312" s="25" t="str">
        <f t="shared" si="1"/>
        <v>FAMILIAR</v>
      </c>
      <c r="M312" s="25">
        <f t="shared" si="2"/>
        <v>4</v>
      </c>
      <c r="N312" s="25">
        <f t="shared" si="3"/>
        <v>2023</v>
      </c>
      <c r="O312" s="27" t="str">
        <f>VLOOKUP(K312,'CA y tablas'!$B$22:$C$28,2,FALSE)</f>
        <v>AMERICANO</v>
      </c>
      <c r="P312" s="28" t="str">
        <f t="shared" si="4"/>
        <v>S1</v>
      </c>
      <c r="Q312" s="29">
        <v>1.0</v>
      </c>
      <c r="R312" s="29" t="str">
        <f t="shared" si="5"/>
        <v>Q1</v>
      </c>
    </row>
    <row r="313" ht="15.75" customHeight="1">
      <c r="A313" s="30">
        <v>45043.0</v>
      </c>
      <c r="B313" s="31">
        <v>1.253222784E9</v>
      </c>
      <c r="C313" s="32" t="s">
        <v>363</v>
      </c>
      <c r="D313" s="31">
        <v>6634001.0</v>
      </c>
      <c r="E313" s="30">
        <v>45044.0</v>
      </c>
      <c r="F313" s="33" t="s">
        <v>69</v>
      </c>
      <c r="G313" s="34">
        <v>1.0</v>
      </c>
      <c r="H313" s="33" t="s">
        <v>116</v>
      </c>
      <c r="I313" s="33" t="s">
        <v>77</v>
      </c>
      <c r="J313" s="33" t="s">
        <v>318</v>
      </c>
      <c r="K313" s="33" t="s">
        <v>107</v>
      </c>
      <c r="L313" s="33" t="str">
        <f t="shared" si="1"/>
        <v>INDIVIDUAL</v>
      </c>
      <c r="M313" s="33">
        <f t="shared" si="2"/>
        <v>4</v>
      </c>
      <c r="N313" s="33">
        <f t="shared" si="3"/>
        <v>2023</v>
      </c>
      <c r="O313" s="35" t="str">
        <f>VLOOKUP(K313,'CA y tablas'!$B$22:$C$28,2,FALSE)</f>
        <v>AMERICANO</v>
      </c>
      <c r="P313" s="28" t="str">
        <f t="shared" si="4"/>
        <v>S1</v>
      </c>
      <c r="Q313" s="29">
        <v>1.0</v>
      </c>
      <c r="R313" s="29" t="str">
        <f t="shared" si="5"/>
        <v>Q1</v>
      </c>
    </row>
    <row r="314" ht="15.75" customHeight="1">
      <c r="A314" s="22">
        <v>45044.0</v>
      </c>
      <c r="B314" s="23">
        <v>7.436963251E9</v>
      </c>
      <c r="C314" s="24" t="s">
        <v>364</v>
      </c>
      <c r="D314" s="23">
        <v>3.4096416E7</v>
      </c>
      <c r="E314" s="22">
        <v>45044.0</v>
      </c>
      <c r="F314" s="25" t="s">
        <v>69</v>
      </c>
      <c r="G314" s="26">
        <v>1.0</v>
      </c>
      <c r="H314" s="25" t="s">
        <v>116</v>
      </c>
      <c r="I314" s="25" t="s">
        <v>77</v>
      </c>
      <c r="J314" s="25" t="s">
        <v>98</v>
      </c>
      <c r="K314" s="25" t="s">
        <v>99</v>
      </c>
      <c r="L314" s="25" t="str">
        <f t="shared" si="1"/>
        <v>INDIVIDUAL</v>
      </c>
      <c r="M314" s="25">
        <f t="shared" si="2"/>
        <v>4</v>
      </c>
      <c r="N314" s="25">
        <f t="shared" si="3"/>
        <v>2023</v>
      </c>
      <c r="O314" s="27" t="str">
        <f>VLOOKUP(K314,'CA y tablas'!$B$22:$C$28,2,FALSE)</f>
        <v>EUROPEO</v>
      </c>
      <c r="P314" s="28" t="str">
        <f t="shared" si="4"/>
        <v>S1</v>
      </c>
      <c r="Q314" s="29">
        <v>1.0</v>
      </c>
      <c r="R314" s="29" t="str">
        <f t="shared" si="5"/>
        <v>Q1</v>
      </c>
    </row>
    <row r="315" ht="15.75" customHeight="1">
      <c r="A315" s="30">
        <v>45044.0</v>
      </c>
      <c r="B315" s="31">
        <v>1.102558774E9</v>
      </c>
      <c r="C315" s="32" t="s">
        <v>362</v>
      </c>
      <c r="D315" s="31">
        <v>4.370619E7</v>
      </c>
      <c r="E315" s="30">
        <v>45044.0</v>
      </c>
      <c r="F315" s="33" t="s">
        <v>69</v>
      </c>
      <c r="G315" s="34">
        <v>1.0</v>
      </c>
      <c r="H315" s="33" t="s">
        <v>116</v>
      </c>
      <c r="I315" s="33" t="s">
        <v>77</v>
      </c>
      <c r="J315" s="33" t="s">
        <v>98</v>
      </c>
      <c r="K315" s="33" t="s">
        <v>99</v>
      </c>
      <c r="L315" s="33" t="str">
        <f t="shared" si="1"/>
        <v>INDIVIDUAL</v>
      </c>
      <c r="M315" s="33">
        <f t="shared" si="2"/>
        <v>4</v>
      </c>
      <c r="N315" s="33">
        <f t="shared" si="3"/>
        <v>2023</v>
      </c>
      <c r="O315" s="35" t="str">
        <f>VLOOKUP(K315,'CA y tablas'!$B$22:$C$28,2,FALSE)</f>
        <v>EUROPEO</v>
      </c>
      <c r="P315" s="28" t="str">
        <f t="shared" si="4"/>
        <v>S1</v>
      </c>
      <c r="Q315" s="29">
        <v>1.0</v>
      </c>
      <c r="R315" s="29" t="str">
        <f t="shared" si="5"/>
        <v>Q1</v>
      </c>
    </row>
    <row r="316" ht="15.75" customHeight="1">
      <c r="A316" s="22">
        <v>45044.0</v>
      </c>
      <c r="B316" s="23">
        <v>2.692715421E9</v>
      </c>
      <c r="C316" s="24" t="s">
        <v>362</v>
      </c>
      <c r="D316" s="23">
        <v>4.370619E7</v>
      </c>
      <c r="E316" s="22">
        <v>45044.0</v>
      </c>
      <c r="F316" s="25" t="s">
        <v>69</v>
      </c>
      <c r="G316" s="26">
        <v>2.0</v>
      </c>
      <c r="H316" s="25" t="s">
        <v>116</v>
      </c>
      <c r="I316" s="25" t="s">
        <v>77</v>
      </c>
      <c r="J316" s="25" t="s">
        <v>98</v>
      </c>
      <c r="K316" s="25" t="s">
        <v>99</v>
      </c>
      <c r="L316" s="25" t="str">
        <f t="shared" si="1"/>
        <v>FAMILIAR</v>
      </c>
      <c r="M316" s="25">
        <f t="shared" si="2"/>
        <v>4</v>
      </c>
      <c r="N316" s="25">
        <f t="shared" si="3"/>
        <v>2023</v>
      </c>
      <c r="O316" s="27" t="str">
        <f>VLOOKUP(K316,'CA y tablas'!$B$22:$C$28,2,FALSE)</f>
        <v>EUROPEO</v>
      </c>
      <c r="P316" s="28" t="str">
        <f t="shared" si="4"/>
        <v>S1</v>
      </c>
      <c r="Q316" s="29">
        <v>1.0</v>
      </c>
      <c r="R316" s="29" t="str">
        <f t="shared" si="5"/>
        <v>Q2</v>
      </c>
    </row>
    <row r="317" ht="15.75" customHeight="1">
      <c r="A317" s="30">
        <v>45041.0</v>
      </c>
      <c r="B317" s="31">
        <v>9.864348653E9</v>
      </c>
      <c r="C317" s="32" t="s">
        <v>365</v>
      </c>
      <c r="D317" s="31">
        <v>4.1649293E7</v>
      </c>
      <c r="E317" s="30">
        <v>45048.0</v>
      </c>
      <c r="F317" s="33" t="s">
        <v>69</v>
      </c>
      <c r="G317" s="34">
        <v>2.0</v>
      </c>
      <c r="H317" s="33" t="s">
        <v>116</v>
      </c>
      <c r="I317" s="33" t="s">
        <v>77</v>
      </c>
      <c r="J317" s="33" t="s">
        <v>98</v>
      </c>
      <c r="K317" s="33" t="s">
        <v>99</v>
      </c>
      <c r="L317" s="33" t="str">
        <f t="shared" si="1"/>
        <v>FAMILIAR</v>
      </c>
      <c r="M317" s="33">
        <f t="shared" si="2"/>
        <v>5</v>
      </c>
      <c r="N317" s="33">
        <f t="shared" si="3"/>
        <v>2023</v>
      </c>
      <c r="O317" s="35" t="str">
        <f>VLOOKUP(K317,'CA y tablas'!$B$22:$C$28,2,FALSE)</f>
        <v>EUROPEO</v>
      </c>
      <c r="P317" s="28" t="str">
        <f t="shared" si="4"/>
        <v>S1</v>
      </c>
      <c r="Q317" s="29">
        <v>2.0</v>
      </c>
      <c r="R317" s="29" t="str">
        <f t="shared" si="5"/>
        <v>Q2</v>
      </c>
    </row>
    <row r="318" ht="15.75" customHeight="1">
      <c r="A318" s="22">
        <v>45041.0</v>
      </c>
      <c r="B318" s="23">
        <v>5.534232152E9</v>
      </c>
      <c r="C318" s="24" t="s">
        <v>366</v>
      </c>
      <c r="D318" s="23">
        <v>3.9138559E7</v>
      </c>
      <c r="E318" s="22">
        <v>45048.0</v>
      </c>
      <c r="F318" s="25" t="s">
        <v>69</v>
      </c>
      <c r="G318" s="26">
        <v>2.0</v>
      </c>
      <c r="H318" s="25" t="s">
        <v>116</v>
      </c>
      <c r="I318" s="25" t="s">
        <v>77</v>
      </c>
      <c r="J318" s="25" t="s">
        <v>98</v>
      </c>
      <c r="K318" s="25" t="s">
        <v>99</v>
      </c>
      <c r="L318" s="25" t="str">
        <f t="shared" si="1"/>
        <v>FAMILIAR</v>
      </c>
      <c r="M318" s="25">
        <f t="shared" si="2"/>
        <v>5</v>
      </c>
      <c r="N318" s="25">
        <f t="shared" si="3"/>
        <v>2023</v>
      </c>
      <c r="O318" s="27" t="str">
        <f>VLOOKUP(K318,'CA y tablas'!$B$22:$C$28,2,FALSE)</f>
        <v>EUROPEO</v>
      </c>
      <c r="P318" s="28" t="str">
        <f t="shared" si="4"/>
        <v>S1</v>
      </c>
      <c r="Q318" s="29">
        <v>2.0</v>
      </c>
      <c r="R318" s="29" t="str">
        <f t="shared" si="5"/>
        <v>Q2</v>
      </c>
    </row>
    <row r="319" ht="15.75" customHeight="1">
      <c r="A319" s="30">
        <v>45041.0</v>
      </c>
      <c r="B319" s="31">
        <v>5.32566664E9</v>
      </c>
      <c r="C319" s="32" t="s">
        <v>367</v>
      </c>
      <c r="D319" s="31">
        <v>3.3755695E7</v>
      </c>
      <c r="E319" s="30">
        <v>45048.0</v>
      </c>
      <c r="F319" s="33" t="s">
        <v>69</v>
      </c>
      <c r="G319" s="34">
        <v>2.0</v>
      </c>
      <c r="H319" s="33" t="s">
        <v>116</v>
      </c>
      <c r="I319" s="33" t="s">
        <v>71</v>
      </c>
      <c r="J319" s="33" t="s">
        <v>98</v>
      </c>
      <c r="K319" s="33" t="s">
        <v>99</v>
      </c>
      <c r="L319" s="33" t="str">
        <f t="shared" si="1"/>
        <v>FAMILIAR</v>
      </c>
      <c r="M319" s="33">
        <f t="shared" si="2"/>
        <v>5</v>
      </c>
      <c r="N319" s="33">
        <f t="shared" si="3"/>
        <v>2023</v>
      </c>
      <c r="O319" s="35" t="str">
        <f>VLOOKUP(K319,'CA y tablas'!$B$22:$C$28,2,FALSE)</f>
        <v>EUROPEO</v>
      </c>
      <c r="P319" s="28" t="str">
        <f t="shared" si="4"/>
        <v>S1</v>
      </c>
      <c r="Q319" s="29">
        <v>2.0</v>
      </c>
      <c r="R319" s="29" t="str">
        <f t="shared" si="5"/>
        <v>Q2</v>
      </c>
    </row>
    <row r="320" ht="15.75" customHeight="1">
      <c r="A320" s="22">
        <v>45041.0</v>
      </c>
      <c r="B320" s="23">
        <v>5.667179092E9</v>
      </c>
      <c r="C320" s="24" t="s">
        <v>368</v>
      </c>
      <c r="D320" s="23">
        <v>3.3372792E7</v>
      </c>
      <c r="E320" s="22">
        <v>45048.0</v>
      </c>
      <c r="F320" s="25" t="s">
        <v>76</v>
      </c>
      <c r="G320" s="26">
        <v>3.0</v>
      </c>
      <c r="H320" s="25" t="s">
        <v>116</v>
      </c>
      <c r="I320" s="25" t="s">
        <v>71</v>
      </c>
      <c r="J320" s="25" t="s">
        <v>93</v>
      </c>
      <c r="K320" s="25" t="s">
        <v>99</v>
      </c>
      <c r="L320" s="25" t="str">
        <f t="shared" si="1"/>
        <v>FAMILIAR</v>
      </c>
      <c r="M320" s="25">
        <f t="shared" si="2"/>
        <v>5</v>
      </c>
      <c r="N320" s="25">
        <f t="shared" si="3"/>
        <v>2023</v>
      </c>
      <c r="O320" s="27" t="str">
        <f>VLOOKUP(K320,'CA y tablas'!$B$22:$C$28,2,FALSE)</f>
        <v>EUROPEO</v>
      </c>
      <c r="P320" s="28" t="str">
        <f t="shared" si="4"/>
        <v>S1</v>
      </c>
      <c r="Q320" s="29">
        <v>2.0</v>
      </c>
      <c r="R320" s="29" t="str">
        <f t="shared" si="5"/>
        <v>Q2</v>
      </c>
    </row>
    <row r="321" ht="15.75" customHeight="1">
      <c r="A321" s="30">
        <v>45041.0</v>
      </c>
      <c r="B321" s="31">
        <v>1.365358046E9</v>
      </c>
      <c r="C321" s="32" t="s">
        <v>369</v>
      </c>
      <c r="D321" s="31">
        <v>6535825.0</v>
      </c>
      <c r="E321" s="30">
        <v>45048.0</v>
      </c>
      <c r="F321" s="33" t="s">
        <v>69</v>
      </c>
      <c r="G321" s="34">
        <v>3.0</v>
      </c>
      <c r="H321" s="33" t="s">
        <v>116</v>
      </c>
      <c r="I321" s="33" t="s">
        <v>71</v>
      </c>
      <c r="J321" s="33" t="s">
        <v>93</v>
      </c>
      <c r="K321" s="33" t="s">
        <v>73</v>
      </c>
      <c r="L321" s="33" t="str">
        <f t="shared" si="1"/>
        <v>FAMILIAR</v>
      </c>
      <c r="M321" s="33">
        <f t="shared" si="2"/>
        <v>5</v>
      </c>
      <c r="N321" s="33">
        <f t="shared" si="3"/>
        <v>2023</v>
      </c>
      <c r="O321" s="35" t="str">
        <f>VLOOKUP(K321,'CA y tablas'!$B$22:$C$28,2,FALSE)</f>
        <v>AMERICANO</v>
      </c>
      <c r="P321" s="28" t="str">
        <f t="shared" si="4"/>
        <v>S1</v>
      </c>
      <c r="Q321" s="29">
        <v>2.0</v>
      </c>
      <c r="R321" s="29" t="str">
        <f t="shared" si="5"/>
        <v>Q2</v>
      </c>
    </row>
    <row r="322" ht="15.75" customHeight="1">
      <c r="A322" s="22">
        <v>45041.0</v>
      </c>
      <c r="B322" s="23">
        <v>9.782492506E9</v>
      </c>
      <c r="C322" s="24" t="s">
        <v>370</v>
      </c>
      <c r="D322" s="23">
        <v>3.3755144E7</v>
      </c>
      <c r="E322" s="22">
        <v>45048.0</v>
      </c>
      <c r="F322" s="25" t="s">
        <v>69</v>
      </c>
      <c r="G322" s="26">
        <v>2.0</v>
      </c>
      <c r="H322" s="25" t="s">
        <v>70</v>
      </c>
      <c r="I322" s="25" t="s">
        <v>71</v>
      </c>
      <c r="J322" s="25" t="s">
        <v>93</v>
      </c>
      <c r="K322" s="25" t="s">
        <v>73</v>
      </c>
      <c r="L322" s="25" t="str">
        <f t="shared" si="1"/>
        <v>FAMILIAR</v>
      </c>
      <c r="M322" s="25">
        <f t="shared" si="2"/>
        <v>5</v>
      </c>
      <c r="N322" s="25">
        <f t="shared" si="3"/>
        <v>2023</v>
      </c>
      <c r="O322" s="27" t="str">
        <f>VLOOKUP(K322,'CA y tablas'!$B$22:$C$28,2,FALSE)</f>
        <v>AMERICANO</v>
      </c>
      <c r="P322" s="28" t="str">
        <f t="shared" si="4"/>
        <v>S1</v>
      </c>
      <c r="Q322" s="29">
        <v>2.0</v>
      </c>
      <c r="R322" s="29" t="str">
        <f t="shared" si="5"/>
        <v>Q2</v>
      </c>
    </row>
    <row r="323" ht="15.75" customHeight="1">
      <c r="A323" s="30">
        <v>45042.0</v>
      </c>
      <c r="B323" s="31">
        <v>1.581102655E9</v>
      </c>
      <c r="C323" s="32" t="s">
        <v>371</v>
      </c>
      <c r="D323" s="31">
        <v>3.9977132E7</v>
      </c>
      <c r="E323" s="30">
        <v>45048.0</v>
      </c>
      <c r="F323" s="33" t="s">
        <v>76</v>
      </c>
      <c r="G323" s="34">
        <v>2.0</v>
      </c>
      <c r="H323" s="33" t="s">
        <v>70</v>
      </c>
      <c r="I323" s="33" t="s">
        <v>71</v>
      </c>
      <c r="J323" s="33" t="s">
        <v>93</v>
      </c>
      <c r="K323" s="33" t="s">
        <v>73</v>
      </c>
      <c r="L323" s="33" t="str">
        <f t="shared" si="1"/>
        <v>FAMILIAR</v>
      </c>
      <c r="M323" s="33">
        <f t="shared" si="2"/>
        <v>5</v>
      </c>
      <c r="N323" s="33">
        <f t="shared" si="3"/>
        <v>2023</v>
      </c>
      <c r="O323" s="35" t="str">
        <f>VLOOKUP(K323,'CA y tablas'!$B$22:$C$28,2,FALSE)</f>
        <v>AMERICANO</v>
      </c>
      <c r="P323" s="28" t="str">
        <f t="shared" si="4"/>
        <v>S1</v>
      </c>
      <c r="Q323" s="29">
        <v>2.0</v>
      </c>
      <c r="R323" s="29" t="str">
        <f t="shared" si="5"/>
        <v>Q2</v>
      </c>
    </row>
    <row r="324" ht="15.75" customHeight="1">
      <c r="A324" s="22">
        <v>45042.0</v>
      </c>
      <c r="B324" s="23">
        <v>8.364173882E9</v>
      </c>
      <c r="C324" s="24" t="s">
        <v>372</v>
      </c>
      <c r="D324" s="23">
        <v>1.3847175E7</v>
      </c>
      <c r="E324" s="22">
        <v>45048.0</v>
      </c>
      <c r="F324" s="25" t="s">
        <v>69</v>
      </c>
      <c r="G324" s="26">
        <v>2.0</v>
      </c>
      <c r="H324" s="25" t="s">
        <v>70</v>
      </c>
      <c r="I324" s="25" t="s">
        <v>71</v>
      </c>
      <c r="J324" s="25" t="s">
        <v>93</v>
      </c>
      <c r="K324" s="25" t="s">
        <v>73</v>
      </c>
      <c r="L324" s="25" t="str">
        <f t="shared" si="1"/>
        <v>FAMILIAR</v>
      </c>
      <c r="M324" s="25">
        <f t="shared" si="2"/>
        <v>5</v>
      </c>
      <c r="N324" s="25">
        <f t="shared" si="3"/>
        <v>2023</v>
      </c>
      <c r="O324" s="27" t="str">
        <f>VLOOKUP(K324,'CA y tablas'!$B$22:$C$28,2,FALSE)</f>
        <v>AMERICANO</v>
      </c>
      <c r="P324" s="28" t="str">
        <f t="shared" si="4"/>
        <v>S1</v>
      </c>
      <c r="Q324" s="29">
        <v>2.0</v>
      </c>
      <c r="R324" s="29" t="str">
        <f t="shared" si="5"/>
        <v>Q2</v>
      </c>
    </row>
    <row r="325" ht="15.75" customHeight="1">
      <c r="A325" s="30">
        <v>45042.0</v>
      </c>
      <c r="B325" s="31">
        <v>9.164721241E9</v>
      </c>
      <c r="C325" s="32" t="s">
        <v>373</v>
      </c>
      <c r="D325" s="31">
        <v>3.8743889E7</v>
      </c>
      <c r="E325" s="30">
        <v>45048.0</v>
      </c>
      <c r="F325" s="33" t="s">
        <v>76</v>
      </c>
      <c r="G325" s="34">
        <v>1.0</v>
      </c>
      <c r="H325" s="33" t="s">
        <v>70</v>
      </c>
      <c r="I325" s="33" t="s">
        <v>71</v>
      </c>
      <c r="J325" s="33" t="s">
        <v>83</v>
      </c>
      <c r="K325" s="33" t="s">
        <v>73</v>
      </c>
      <c r="L325" s="33" t="str">
        <f t="shared" si="1"/>
        <v>INDIVIDUAL</v>
      </c>
      <c r="M325" s="33">
        <f t="shared" si="2"/>
        <v>5</v>
      </c>
      <c r="N325" s="33">
        <f t="shared" si="3"/>
        <v>2023</v>
      </c>
      <c r="O325" s="35" t="str">
        <f>VLOOKUP(K325,'CA y tablas'!$B$22:$C$28,2,FALSE)</f>
        <v>AMERICANO</v>
      </c>
      <c r="P325" s="28" t="str">
        <f t="shared" si="4"/>
        <v>S1</v>
      </c>
      <c r="Q325" s="29">
        <v>2.0</v>
      </c>
      <c r="R325" s="29" t="str">
        <f t="shared" si="5"/>
        <v>Q2</v>
      </c>
    </row>
    <row r="326" ht="15.75" customHeight="1">
      <c r="A326" s="22">
        <v>45043.0</v>
      </c>
      <c r="B326" s="23">
        <v>8.610053314E9</v>
      </c>
      <c r="C326" s="24" t="s">
        <v>372</v>
      </c>
      <c r="D326" s="23">
        <v>1.3847175E7</v>
      </c>
      <c r="E326" s="22">
        <v>45048.0</v>
      </c>
      <c r="F326" s="25" t="s">
        <v>69</v>
      </c>
      <c r="G326" s="26">
        <v>1.0</v>
      </c>
      <c r="H326" s="25" t="s">
        <v>70</v>
      </c>
      <c r="I326" s="25" t="s">
        <v>71</v>
      </c>
      <c r="J326" s="25" t="s">
        <v>83</v>
      </c>
      <c r="K326" s="25" t="s">
        <v>73</v>
      </c>
      <c r="L326" s="25" t="str">
        <f t="shared" si="1"/>
        <v>INDIVIDUAL</v>
      </c>
      <c r="M326" s="25">
        <f t="shared" si="2"/>
        <v>5</v>
      </c>
      <c r="N326" s="25">
        <f t="shared" si="3"/>
        <v>2023</v>
      </c>
      <c r="O326" s="27" t="str">
        <f>VLOOKUP(K326,'CA y tablas'!$B$22:$C$28,2,FALSE)</f>
        <v>AMERICANO</v>
      </c>
      <c r="P326" s="28" t="str">
        <f t="shared" si="4"/>
        <v>S1</v>
      </c>
      <c r="Q326" s="29">
        <v>2.0</v>
      </c>
      <c r="R326" s="29" t="str">
        <f t="shared" si="5"/>
        <v>Q2</v>
      </c>
    </row>
    <row r="327" ht="15.75" customHeight="1">
      <c r="A327" s="30">
        <v>45043.0</v>
      </c>
      <c r="B327" s="31">
        <v>2.006490813E9</v>
      </c>
      <c r="C327" s="32" t="s">
        <v>374</v>
      </c>
      <c r="D327" s="31">
        <v>1.6469415E7</v>
      </c>
      <c r="E327" s="30">
        <v>45048.0</v>
      </c>
      <c r="F327" s="33" t="s">
        <v>69</v>
      </c>
      <c r="G327" s="34">
        <v>1.0</v>
      </c>
      <c r="H327" s="33" t="s">
        <v>70</v>
      </c>
      <c r="I327" s="33" t="s">
        <v>71</v>
      </c>
      <c r="J327" s="33" t="s">
        <v>83</v>
      </c>
      <c r="K327" s="33" t="s">
        <v>73</v>
      </c>
      <c r="L327" s="33" t="str">
        <f t="shared" si="1"/>
        <v>INDIVIDUAL</v>
      </c>
      <c r="M327" s="33">
        <f t="shared" si="2"/>
        <v>5</v>
      </c>
      <c r="N327" s="33">
        <f t="shared" si="3"/>
        <v>2023</v>
      </c>
      <c r="O327" s="35" t="str">
        <f>VLOOKUP(K327,'CA y tablas'!$B$22:$C$28,2,FALSE)</f>
        <v>AMERICANO</v>
      </c>
      <c r="P327" s="28" t="str">
        <f t="shared" si="4"/>
        <v>S1</v>
      </c>
      <c r="Q327" s="29">
        <v>2.0</v>
      </c>
      <c r="R327" s="29" t="str">
        <f t="shared" si="5"/>
        <v>Q2</v>
      </c>
    </row>
    <row r="328" ht="15.75" customHeight="1">
      <c r="A328" s="22">
        <v>45043.0</v>
      </c>
      <c r="B328" s="23">
        <v>2.766714915E9</v>
      </c>
      <c r="C328" s="24" t="s">
        <v>375</v>
      </c>
      <c r="D328" s="23">
        <v>2.0285423E7</v>
      </c>
      <c r="E328" s="22">
        <v>45048.0</v>
      </c>
      <c r="F328" s="25" t="s">
        <v>76</v>
      </c>
      <c r="G328" s="26">
        <v>1.0</v>
      </c>
      <c r="H328" s="25" t="s">
        <v>70</v>
      </c>
      <c r="I328" s="25" t="s">
        <v>71</v>
      </c>
      <c r="J328" s="25" t="s">
        <v>83</v>
      </c>
      <c r="K328" s="25" t="s">
        <v>73</v>
      </c>
      <c r="L328" s="25" t="str">
        <f t="shared" si="1"/>
        <v>INDIVIDUAL</v>
      </c>
      <c r="M328" s="25">
        <f t="shared" si="2"/>
        <v>5</v>
      </c>
      <c r="N328" s="25">
        <f t="shared" si="3"/>
        <v>2023</v>
      </c>
      <c r="O328" s="27" t="str">
        <f>VLOOKUP(K328,'CA y tablas'!$B$22:$C$28,2,FALSE)</f>
        <v>AMERICANO</v>
      </c>
      <c r="P328" s="28" t="str">
        <f t="shared" si="4"/>
        <v>S1</v>
      </c>
      <c r="Q328" s="29">
        <v>2.0</v>
      </c>
      <c r="R328" s="29" t="str">
        <f t="shared" si="5"/>
        <v>Q2</v>
      </c>
    </row>
    <row r="329" ht="15.75" customHeight="1">
      <c r="A329" s="30">
        <v>45043.0</v>
      </c>
      <c r="B329" s="31">
        <v>5.534407126E9</v>
      </c>
      <c r="C329" s="32" t="s">
        <v>376</v>
      </c>
      <c r="D329" s="31">
        <v>5148363.0</v>
      </c>
      <c r="E329" s="30">
        <v>45048.0</v>
      </c>
      <c r="F329" s="33" t="s">
        <v>69</v>
      </c>
      <c r="G329" s="34">
        <v>1.0</v>
      </c>
      <c r="H329" s="33" t="s">
        <v>70</v>
      </c>
      <c r="I329" s="33" t="s">
        <v>71</v>
      </c>
      <c r="J329" s="33" t="s">
        <v>83</v>
      </c>
      <c r="K329" s="33" t="s">
        <v>99</v>
      </c>
      <c r="L329" s="33" t="str">
        <f t="shared" si="1"/>
        <v>INDIVIDUAL</v>
      </c>
      <c r="M329" s="33">
        <f t="shared" si="2"/>
        <v>5</v>
      </c>
      <c r="N329" s="33">
        <f t="shared" si="3"/>
        <v>2023</v>
      </c>
      <c r="O329" s="35" t="str">
        <f>VLOOKUP(K329,'CA y tablas'!$B$22:$C$28,2,FALSE)</f>
        <v>EUROPEO</v>
      </c>
      <c r="P329" s="28" t="str">
        <f t="shared" si="4"/>
        <v>S1</v>
      </c>
      <c r="Q329" s="29">
        <v>2.0</v>
      </c>
      <c r="R329" s="29" t="str">
        <f t="shared" si="5"/>
        <v>Q2</v>
      </c>
    </row>
    <row r="330" ht="15.75" customHeight="1">
      <c r="A330" s="22">
        <v>45044.0</v>
      </c>
      <c r="B330" s="23">
        <v>5.55429532E9</v>
      </c>
      <c r="C330" s="24" t="s">
        <v>377</v>
      </c>
      <c r="D330" s="23">
        <v>1.6132551E7</v>
      </c>
      <c r="E330" s="22">
        <v>45048.0</v>
      </c>
      <c r="F330" s="25" t="s">
        <v>69</v>
      </c>
      <c r="G330" s="26">
        <v>2.0</v>
      </c>
      <c r="H330" s="25" t="s">
        <v>70</v>
      </c>
      <c r="I330" s="25" t="s">
        <v>77</v>
      </c>
      <c r="J330" s="25" t="s">
        <v>93</v>
      </c>
      <c r="K330" s="25" t="s">
        <v>99</v>
      </c>
      <c r="L330" s="25" t="str">
        <f t="shared" si="1"/>
        <v>FAMILIAR</v>
      </c>
      <c r="M330" s="25">
        <f t="shared" si="2"/>
        <v>5</v>
      </c>
      <c r="N330" s="25">
        <f t="shared" si="3"/>
        <v>2023</v>
      </c>
      <c r="O330" s="27" t="str">
        <f>VLOOKUP(K330,'CA y tablas'!$B$22:$C$28,2,FALSE)</f>
        <v>EUROPEO</v>
      </c>
      <c r="P330" s="28" t="str">
        <f t="shared" si="4"/>
        <v>S1</v>
      </c>
      <c r="Q330" s="29">
        <v>2.0</v>
      </c>
      <c r="R330" s="29" t="str">
        <f t="shared" si="5"/>
        <v>Q2</v>
      </c>
    </row>
    <row r="331" ht="15.75" customHeight="1">
      <c r="A331" s="30">
        <v>45044.0</v>
      </c>
      <c r="B331" s="31">
        <v>1.102557702E9</v>
      </c>
      <c r="C331" s="32" t="s">
        <v>366</v>
      </c>
      <c r="D331" s="31">
        <v>3.9138559E7</v>
      </c>
      <c r="E331" s="30">
        <v>45048.0</v>
      </c>
      <c r="F331" s="33" t="s">
        <v>76</v>
      </c>
      <c r="G331" s="34">
        <v>2.0</v>
      </c>
      <c r="H331" s="33" t="s">
        <v>70</v>
      </c>
      <c r="I331" s="33" t="s">
        <v>77</v>
      </c>
      <c r="J331" s="33" t="s">
        <v>93</v>
      </c>
      <c r="K331" s="33" t="s">
        <v>99</v>
      </c>
      <c r="L331" s="33" t="str">
        <f t="shared" si="1"/>
        <v>FAMILIAR</v>
      </c>
      <c r="M331" s="33">
        <f t="shared" si="2"/>
        <v>5</v>
      </c>
      <c r="N331" s="33">
        <f t="shared" si="3"/>
        <v>2023</v>
      </c>
      <c r="O331" s="35" t="str">
        <f>VLOOKUP(K331,'CA y tablas'!$B$22:$C$28,2,FALSE)</f>
        <v>EUROPEO</v>
      </c>
      <c r="P331" s="28" t="str">
        <f t="shared" si="4"/>
        <v>S1</v>
      </c>
      <c r="Q331" s="29">
        <v>2.0</v>
      </c>
      <c r="R331" s="29" t="str">
        <f t="shared" si="5"/>
        <v>Q2</v>
      </c>
    </row>
    <row r="332" ht="15.75" customHeight="1">
      <c r="A332" s="22">
        <v>45044.0</v>
      </c>
      <c r="B332" s="23">
        <v>3.825435526E9</v>
      </c>
      <c r="C332" s="24" t="s">
        <v>378</v>
      </c>
      <c r="D332" s="23">
        <v>3.8487681E7</v>
      </c>
      <c r="E332" s="22">
        <v>45048.0</v>
      </c>
      <c r="F332" s="25" t="s">
        <v>69</v>
      </c>
      <c r="G332" s="26">
        <v>2.0</v>
      </c>
      <c r="H332" s="25" t="s">
        <v>70</v>
      </c>
      <c r="I332" s="25" t="s">
        <v>77</v>
      </c>
      <c r="J332" s="25" t="s">
        <v>93</v>
      </c>
      <c r="K332" s="25" t="s">
        <v>99</v>
      </c>
      <c r="L332" s="25" t="str">
        <f t="shared" si="1"/>
        <v>FAMILIAR</v>
      </c>
      <c r="M332" s="25">
        <f t="shared" si="2"/>
        <v>5</v>
      </c>
      <c r="N332" s="25">
        <f t="shared" si="3"/>
        <v>2023</v>
      </c>
      <c r="O332" s="27" t="str">
        <f>VLOOKUP(K332,'CA y tablas'!$B$22:$C$28,2,FALSE)</f>
        <v>EUROPEO</v>
      </c>
      <c r="P332" s="28" t="str">
        <f t="shared" si="4"/>
        <v>S1</v>
      </c>
      <c r="Q332" s="29">
        <v>2.0</v>
      </c>
      <c r="R332" s="29" t="str">
        <f t="shared" si="5"/>
        <v>Q2</v>
      </c>
    </row>
    <row r="333" ht="15.75" customHeight="1">
      <c r="A333" s="30">
        <v>45044.0</v>
      </c>
      <c r="B333" s="31">
        <v>7.95696069E9</v>
      </c>
      <c r="C333" s="32" t="s">
        <v>379</v>
      </c>
      <c r="D333" s="31">
        <v>2.20759162E8</v>
      </c>
      <c r="E333" s="30">
        <v>45048.0</v>
      </c>
      <c r="F333" s="33" t="s">
        <v>69</v>
      </c>
      <c r="G333" s="34">
        <v>2.0</v>
      </c>
      <c r="H333" s="33" t="s">
        <v>70</v>
      </c>
      <c r="I333" s="33" t="s">
        <v>77</v>
      </c>
      <c r="J333" s="33" t="s">
        <v>93</v>
      </c>
      <c r="K333" s="33" t="s">
        <v>84</v>
      </c>
      <c r="L333" s="33" t="str">
        <f t="shared" si="1"/>
        <v>FAMILIAR</v>
      </c>
      <c r="M333" s="33">
        <f t="shared" si="2"/>
        <v>5</v>
      </c>
      <c r="N333" s="33">
        <f t="shared" si="3"/>
        <v>2023</v>
      </c>
      <c r="O333" s="35" t="str">
        <f>VLOOKUP(K333,'CA y tablas'!$B$22:$C$28,2,FALSE)</f>
        <v>EUROPEO</v>
      </c>
      <c r="P333" s="28" t="str">
        <f t="shared" si="4"/>
        <v>S1</v>
      </c>
      <c r="Q333" s="29">
        <v>2.0</v>
      </c>
      <c r="R333" s="29" t="str">
        <f t="shared" si="5"/>
        <v>Q2</v>
      </c>
    </row>
    <row r="334" ht="15.75" customHeight="1">
      <c r="A334" s="22">
        <v>45044.0</v>
      </c>
      <c r="B334" s="23">
        <v>6.647161964E9</v>
      </c>
      <c r="C334" s="24" t="s">
        <v>380</v>
      </c>
      <c r="D334" s="23">
        <v>1.2606942E7</v>
      </c>
      <c r="E334" s="22">
        <v>45048.0</v>
      </c>
      <c r="F334" s="25" t="s">
        <v>69</v>
      </c>
      <c r="G334" s="26">
        <v>3.0</v>
      </c>
      <c r="H334" s="25" t="s">
        <v>70</v>
      </c>
      <c r="I334" s="25" t="s">
        <v>77</v>
      </c>
      <c r="J334" s="25" t="s">
        <v>93</v>
      </c>
      <c r="K334" s="25" t="s">
        <v>84</v>
      </c>
      <c r="L334" s="25" t="str">
        <f t="shared" si="1"/>
        <v>FAMILIAR</v>
      </c>
      <c r="M334" s="25">
        <f t="shared" si="2"/>
        <v>5</v>
      </c>
      <c r="N334" s="25">
        <f t="shared" si="3"/>
        <v>2023</v>
      </c>
      <c r="O334" s="27" t="str">
        <f>VLOOKUP(K334,'CA y tablas'!$B$22:$C$28,2,FALSE)</f>
        <v>EUROPEO</v>
      </c>
      <c r="P334" s="28" t="str">
        <f t="shared" si="4"/>
        <v>S1</v>
      </c>
      <c r="Q334" s="29">
        <v>2.0</v>
      </c>
      <c r="R334" s="29" t="str">
        <f t="shared" si="5"/>
        <v>Q2</v>
      </c>
    </row>
    <row r="335" ht="15.75" customHeight="1">
      <c r="A335" s="30">
        <v>45044.0</v>
      </c>
      <c r="B335" s="31">
        <v>6.647155992E9</v>
      </c>
      <c r="C335" s="32" t="s">
        <v>381</v>
      </c>
      <c r="D335" s="31">
        <v>3.6866337E7</v>
      </c>
      <c r="E335" s="30">
        <v>45048.0</v>
      </c>
      <c r="F335" s="33" t="s">
        <v>69</v>
      </c>
      <c r="G335" s="34">
        <v>3.0</v>
      </c>
      <c r="H335" s="33" t="s">
        <v>70</v>
      </c>
      <c r="I335" s="33" t="s">
        <v>77</v>
      </c>
      <c r="J335" s="33" t="s">
        <v>93</v>
      </c>
      <c r="K335" s="33" t="s">
        <v>84</v>
      </c>
      <c r="L335" s="33" t="str">
        <f t="shared" si="1"/>
        <v>FAMILIAR</v>
      </c>
      <c r="M335" s="33">
        <f t="shared" si="2"/>
        <v>5</v>
      </c>
      <c r="N335" s="33">
        <f t="shared" si="3"/>
        <v>2023</v>
      </c>
      <c r="O335" s="35" t="str">
        <f>VLOOKUP(K335,'CA y tablas'!$B$22:$C$28,2,FALSE)</f>
        <v>EUROPEO</v>
      </c>
      <c r="P335" s="28" t="str">
        <f t="shared" si="4"/>
        <v>S1</v>
      </c>
      <c r="Q335" s="29">
        <v>2.0</v>
      </c>
      <c r="R335" s="29" t="str">
        <f t="shared" si="5"/>
        <v>Q2</v>
      </c>
    </row>
    <row r="336" ht="15.75" customHeight="1">
      <c r="A336" s="22">
        <v>45044.0</v>
      </c>
      <c r="B336" s="23">
        <v>2.006475074E9</v>
      </c>
      <c r="C336" s="24" t="s">
        <v>382</v>
      </c>
      <c r="D336" s="23">
        <v>2.1328507E7</v>
      </c>
      <c r="E336" s="22">
        <v>45048.0</v>
      </c>
      <c r="F336" s="25" t="s">
        <v>69</v>
      </c>
      <c r="G336" s="26">
        <v>3.0</v>
      </c>
      <c r="H336" s="25" t="s">
        <v>70</v>
      </c>
      <c r="I336" s="25" t="s">
        <v>77</v>
      </c>
      <c r="J336" s="25" t="s">
        <v>93</v>
      </c>
      <c r="K336" s="25" t="s">
        <v>84</v>
      </c>
      <c r="L336" s="25" t="str">
        <f t="shared" si="1"/>
        <v>FAMILIAR</v>
      </c>
      <c r="M336" s="25">
        <f t="shared" si="2"/>
        <v>5</v>
      </c>
      <c r="N336" s="25">
        <f t="shared" si="3"/>
        <v>2023</v>
      </c>
      <c r="O336" s="27" t="str">
        <f>VLOOKUP(K336,'CA y tablas'!$B$22:$C$28,2,FALSE)</f>
        <v>EUROPEO</v>
      </c>
      <c r="P336" s="28" t="str">
        <f t="shared" si="4"/>
        <v>S1</v>
      </c>
      <c r="Q336" s="29">
        <v>2.0</v>
      </c>
      <c r="R336" s="29" t="str">
        <f t="shared" si="5"/>
        <v>Q2</v>
      </c>
    </row>
    <row r="337" ht="15.75" customHeight="1">
      <c r="A337" s="30">
        <v>45041.0</v>
      </c>
      <c r="B337" s="31">
        <v>2.271375116E9</v>
      </c>
      <c r="C337" s="32" t="s">
        <v>383</v>
      </c>
      <c r="D337" s="31">
        <v>2.758116E7</v>
      </c>
      <c r="E337" s="30">
        <v>45049.0</v>
      </c>
      <c r="F337" s="33" t="s">
        <v>69</v>
      </c>
      <c r="G337" s="34">
        <v>1.0</v>
      </c>
      <c r="H337" s="33" t="s">
        <v>70</v>
      </c>
      <c r="I337" s="33" t="s">
        <v>77</v>
      </c>
      <c r="J337" s="33" t="s">
        <v>93</v>
      </c>
      <c r="K337" s="33" t="s">
        <v>84</v>
      </c>
      <c r="L337" s="33" t="str">
        <f t="shared" si="1"/>
        <v>INDIVIDUAL</v>
      </c>
      <c r="M337" s="33">
        <f t="shared" si="2"/>
        <v>5</v>
      </c>
      <c r="N337" s="33">
        <f t="shared" si="3"/>
        <v>2023</v>
      </c>
      <c r="O337" s="35" t="str">
        <f>VLOOKUP(K337,'CA y tablas'!$B$22:$C$28,2,FALSE)</f>
        <v>EUROPEO</v>
      </c>
      <c r="P337" s="28" t="str">
        <f t="shared" si="4"/>
        <v>S1</v>
      </c>
      <c r="Q337" s="29">
        <v>2.0</v>
      </c>
      <c r="R337" s="29" t="str">
        <f t="shared" si="5"/>
        <v>Q2</v>
      </c>
    </row>
    <row r="338" ht="15.75" customHeight="1">
      <c r="A338" s="22">
        <v>45042.0</v>
      </c>
      <c r="B338" s="23">
        <v>4.68559035E9</v>
      </c>
      <c r="C338" s="24" t="s">
        <v>384</v>
      </c>
      <c r="D338" s="23">
        <v>4.0699685E7</v>
      </c>
      <c r="E338" s="22">
        <v>45049.0</v>
      </c>
      <c r="F338" s="25" t="s">
        <v>69</v>
      </c>
      <c r="G338" s="26">
        <v>2.0</v>
      </c>
      <c r="H338" s="25" t="s">
        <v>70</v>
      </c>
      <c r="I338" s="25" t="s">
        <v>77</v>
      </c>
      <c r="J338" s="25" t="s">
        <v>93</v>
      </c>
      <c r="K338" s="25" t="s">
        <v>84</v>
      </c>
      <c r="L338" s="25" t="str">
        <f t="shared" si="1"/>
        <v>FAMILIAR</v>
      </c>
      <c r="M338" s="25">
        <f t="shared" si="2"/>
        <v>5</v>
      </c>
      <c r="N338" s="25">
        <f t="shared" si="3"/>
        <v>2023</v>
      </c>
      <c r="O338" s="27" t="str">
        <f>VLOOKUP(K338,'CA y tablas'!$B$22:$C$28,2,FALSE)</f>
        <v>EUROPEO</v>
      </c>
      <c r="P338" s="28" t="str">
        <f t="shared" si="4"/>
        <v>S1</v>
      </c>
      <c r="Q338" s="29">
        <v>2.0</v>
      </c>
      <c r="R338" s="29" t="str">
        <f t="shared" si="5"/>
        <v>Q2</v>
      </c>
    </row>
    <row r="339" ht="15.75" customHeight="1">
      <c r="A339" s="30">
        <v>45044.0</v>
      </c>
      <c r="B339" s="31">
        <v>1.043981794E9</v>
      </c>
      <c r="C339" s="32" t="s">
        <v>385</v>
      </c>
      <c r="D339" s="31">
        <v>1.745835E7</v>
      </c>
      <c r="E339" s="30">
        <v>45049.0</v>
      </c>
      <c r="F339" s="33" t="s">
        <v>76</v>
      </c>
      <c r="G339" s="34">
        <v>2.0</v>
      </c>
      <c r="H339" s="33" t="s">
        <v>70</v>
      </c>
      <c r="I339" s="33" t="s">
        <v>77</v>
      </c>
      <c r="J339" s="33" t="s">
        <v>93</v>
      </c>
      <c r="K339" s="33" t="s">
        <v>84</v>
      </c>
      <c r="L339" s="33" t="str">
        <f t="shared" si="1"/>
        <v>FAMILIAR</v>
      </c>
      <c r="M339" s="33">
        <f t="shared" si="2"/>
        <v>5</v>
      </c>
      <c r="N339" s="33">
        <f t="shared" si="3"/>
        <v>2023</v>
      </c>
      <c r="O339" s="35" t="str">
        <f>VLOOKUP(K339,'CA y tablas'!$B$22:$C$28,2,FALSE)</f>
        <v>EUROPEO</v>
      </c>
      <c r="P339" s="28" t="str">
        <f t="shared" si="4"/>
        <v>S1</v>
      </c>
      <c r="Q339" s="29">
        <v>2.0</v>
      </c>
      <c r="R339" s="29" t="str">
        <f t="shared" si="5"/>
        <v>Q2</v>
      </c>
    </row>
    <row r="340" ht="15.75" customHeight="1">
      <c r="A340" s="22">
        <v>45048.0</v>
      </c>
      <c r="B340" s="23">
        <v>7.698597815E9</v>
      </c>
      <c r="C340" s="24" t="s">
        <v>386</v>
      </c>
      <c r="D340" s="23">
        <v>1.1708323E7</v>
      </c>
      <c r="E340" s="22">
        <v>45049.0</v>
      </c>
      <c r="F340" s="25" t="s">
        <v>69</v>
      </c>
      <c r="G340" s="26">
        <v>3.0</v>
      </c>
      <c r="H340" s="25" t="s">
        <v>112</v>
      </c>
      <c r="I340" s="25" t="s">
        <v>77</v>
      </c>
      <c r="J340" s="25" t="s">
        <v>93</v>
      </c>
      <c r="K340" s="25" t="s">
        <v>84</v>
      </c>
      <c r="L340" s="25" t="str">
        <f t="shared" si="1"/>
        <v>FAMILIAR</v>
      </c>
      <c r="M340" s="25">
        <f t="shared" si="2"/>
        <v>5</v>
      </c>
      <c r="N340" s="25">
        <f t="shared" si="3"/>
        <v>2023</v>
      </c>
      <c r="O340" s="27" t="str">
        <f>VLOOKUP(K340,'CA y tablas'!$B$22:$C$28,2,FALSE)</f>
        <v>EUROPEO</v>
      </c>
      <c r="P340" s="28" t="str">
        <f t="shared" si="4"/>
        <v>S1</v>
      </c>
      <c r="Q340" s="29">
        <v>2.0</v>
      </c>
      <c r="R340" s="29" t="str">
        <f t="shared" si="5"/>
        <v>Q2</v>
      </c>
    </row>
    <row r="341" ht="15.75" customHeight="1">
      <c r="A341" s="30">
        <v>45034.0</v>
      </c>
      <c r="B341" s="31">
        <v>1.30929372E9</v>
      </c>
      <c r="C341" s="32" t="s">
        <v>387</v>
      </c>
      <c r="D341" s="31">
        <v>3.6420864E7</v>
      </c>
      <c r="E341" s="30">
        <v>45050.0</v>
      </c>
      <c r="F341" s="33" t="s">
        <v>69</v>
      </c>
      <c r="G341" s="34">
        <v>3.0</v>
      </c>
      <c r="H341" s="33" t="s">
        <v>112</v>
      </c>
      <c r="I341" s="33" t="s">
        <v>77</v>
      </c>
      <c r="J341" s="33" t="s">
        <v>72</v>
      </c>
      <c r="K341" s="33" t="s">
        <v>217</v>
      </c>
      <c r="L341" s="33" t="str">
        <f t="shared" si="1"/>
        <v>FAMILIAR</v>
      </c>
      <c r="M341" s="33">
        <f t="shared" si="2"/>
        <v>5</v>
      </c>
      <c r="N341" s="33">
        <f t="shared" si="3"/>
        <v>2023</v>
      </c>
      <c r="O341" s="35" t="str">
        <f>VLOOKUP(K341,'CA y tablas'!$B$22:$C$28,2,FALSE)</f>
        <v>ASIATICO</v>
      </c>
      <c r="P341" s="28" t="str">
        <f t="shared" si="4"/>
        <v>S1</v>
      </c>
      <c r="Q341" s="29">
        <v>2.0</v>
      </c>
      <c r="R341" s="29" t="str">
        <f t="shared" si="5"/>
        <v>Q2</v>
      </c>
    </row>
    <row r="342" ht="15.75" customHeight="1">
      <c r="A342" s="22">
        <v>45041.0</v>
      </c>
      <c r="B342" s="23">
        <v>5.66717746E9</v>
      </c>
      <c r="C342" s="24" t="s">
        <v>388</v>
      </c>
      <c r="D342" s="23">
        <v>3.3971077E7</v>
      </c>
      <c r="E342" s="22">
        <v>45050.0</v>
      </c>
      <c r="F342" s="25" t="s">
        <v>76</v>
      </c>
      <c r="G342" s="26">
        <v>3.0</v>
      </c>
      <c r="H342" s="25" t="s">
        <v>112</v>
      </c>
      <c r="I342" s="25" t="s">
        <v>77</v>
      </c>
      <c r="J342" s="25" t="s">
        <v>72</v>
      </c>
      <c r="K342" s="25" t="s">
        <v>217</v>
      </c>
      <c r="L342" s="25" t="str">
        <f t="shared" si="1"/>
        <v>FAMILIAR</v>
      </c>
      <c r="M342" s="25">
        <f t="shared" si="2"/>
        <v>5</v>
      </c>
      <c r="N342" s="25">
        <f t="shared" si="3"/>
        <v>2023</v>
      </c>
      <c r="O342" s="27" t="str">
        <f>VLOOKUP(K342,'CA y tablas'!$B$22:$C$28,2,FALSE)</f>
        <v>ASIATICO</v>
      </c>
      <c r="P342" s="28" t="str">
        <f t="shared" si="4"/>
        <v>S1</v>
      </c>
      <c r="Q342" s="29">
        <v>2.0</v>
      </c>
      <c r="R342" s="29" t="str">
        <f t="shared" si="5"/>
        <v>Q2</v>
      </c>
    </row>
    <row r="343" ht="15.75" customHeight="1">
      <c r="A343" s="30">
        <v>45041.0</v>
      </c>
      <c r="B343" s="31">
        <v>9.782491305E9</v>
      </c>
      <c r="C343" s="32" t="s">
        <v>389</v>
      </c>
      <c r="D343" s="31">
        <v>3.3374294E7</v>
      </c>
      <c r="E343" s="30">
        <v>45050.0</v>
      </c>
      <c r="F343" s="33" t="s">
        <v>69</v>
      </c>
      <c r="G343" s="34">
        <v>1.0</v>
      </c>
      <c r="H343" s="33" t="s">
        <v>112</v>
      </c>
      <c r="I343" s="33" t="s">
        <v>77</v>
      </c>
      <c r="J343" s="33" t="s">
        <v>72</v>
      </c>
      <c r="K343" s="33" t="s">
        <v>217</v>
      </c>
      <c r="L343" s="33" t="str">
        <f t="shared" si="1"/>
        <v>INDIVIDUAL</v>
      </c>
      <c r="M343" s="33">
        <f t="shared" si="2"/>
        <v>5</v>
      </c>
      <c r="N343" s="33">
        <f t="shared" si="3"/>
        <v>2023</v>
      </c>
      <c r="O343" s="35" t="str">
        <f>VLOOKUP(K343,'CA y tablas'!$B$22:$C$28,2,FALSE)</f>
        <v>ASIATICO</v>
      </c>
      <c r="P343" s="28" t="str">
        <f t="shared" si="4"/>
        <v>S1</v>
      </c>
      <c r="Q343" s="29">
        <v>2.0</v>
      </c>
      <c r="R343" s="29" t="str">
        <f t="shared" si="5"/>
        <v>Q2</v>
      </c>
    </row>
    <row r="344" ht="15.75" customHeight="1">
      <c r="A344" s="22">
        <v>45044.0</v>
      </c>
      <c r="B344" s="23">
        <v>3.825456714E9</v>
      </c>
      <c r="C344" s="24" t="s">
        <v>390</v>
      </c>
      <c r="D344" s="23">
        <v>4.3850278E7</v>
      </c>
      <c r="E344" s="22">
        <v>45050.0</v>
      </c>
      <c r="F344" s="25" t="s">
        <v>69</v>
      </c>
      <c r="G344" s="26">
        <v>4.0</v>
      </c>
      <c r="H344" s="25" t="s">
        <v>112</v>
      </c>
      <c r="I344" s="25" t="s">
        <v>77</v>
      </c>
      <c r="J344" s="25" t="s">
        <v>72</v>
      </c>
      <c r="K344" s="25" t="s">
        <v>84</v>
      </c>
      <c r="L344" s="25" t="str">
        <f t="shared" si="1"/>
        <v>FAMILIAR</v>
      </c>
      <c r="M344" s="25">
        <f t="shared" si="2"/>
        <v>5</v>
      </c>
      <c r="N344" s="25">
        <f t="shared" si="3"/>
        <v>2023</v>
      </c>
      <c r="O344" s="27" t="str">
        <f>VLOOKUP(K344,'CA y tablas'!$B$22:$C$28,2,FALSE)</f>
        <v>EUROPEO</v>
      </c>
      <c r="P344" s="28" t="str">
        <f t="shared" si="4"/>
        <v>S1</v>
      </c>
      <c r="Q344" s="29">
        <v>2.0</v>
      </c>
      <c r="R344" s="29" t="str">
        <f t="shared" si="5"/>
        <v>Q2</v>
      </c>
    </row>
    <row r="345" ht="15.75" customHeight="1">
      <c r="A345" s="30">
        <v>45048.0</v>
      </c>
      <c r="B345" s="31">
        <v>4.064488805E9</v>
      </c>
      <c r="C345" s="32" t="s">
        <v>391</v>
      </c>
      <c r="D345" s="31">
        <v>3.7656711E7</v>
      </c>
      <c r="E345" s="30">
        <v>45050.0</v>
      </c>
      <c r="F345" s="33" t="s">
        <v>76</v>
      </c>
      <c r="G345" s="34">
        <v>4.0</v>
      </c>
      <c r="H345" s="33" t="s">
        <v>81</v>
      </c>
      <c r="I345" s="33" t="s">
        <v>71</v>
      </c>
      <c r="J345" s="33" t="s">
        <v>72</v>
      </c>
      <c r="K345" s="33" t="s">
        <v>84</v>
      </c>
      <c r="L345" s="33" t="str">
        <f t="shared" si="1"/>
        <v>FAMILIAR</v>
      </c>
      <c r="M345" s="33">
        <f t="shared" si="2"/>
        <v>5</v>
      </c>
      <c r="N345" s="33">
        <f t="shared" si="3"/>
        <v>2023</v>
      </c>
      <c r="O345" s="35" t="str">
        <f>VLOOKUP(K345,'CA y tablas'!$B$22:$C$28,2,FALSE)</f>
        <v>EUROPEO</v>
      </c>
      <c r="P345" s="28" t="str">
        <f t="shared" si="4"/>
        <v>S1</v>
      </c>
      <c r="Q345" s="29">
        <v>2.0</v>
      </c>
      <c r="R345" s="29" t="str">
        <f t="shared" si="5"/>
        <v>Q2</v>
      </c>
    </row>
    <row r="346" ht="15.75" customHeight="1">
      <c r="A346" s="22">
        <v>45050.0</v>
      </c>
      <c r="B346" s="23">
        <v>4.34503328E9</v>
      </c>
      <c r="C346" s="24" t="s">
        <v>392</v>
      </c>
      <c r="D346" s="23">
        <v>3.2927144E7</v>
      </c>
      <c r="E346" s="22">
        <v>45050.0</v>
      </c>
      <c r="F346" s="25" t="s">
        <v>69</v>
      </c>
      <c r="G346" s="26">
        <v>3.0</v>
      </c>
      <c r="H346" s="25" t="s">
        <v>81</v>
      </c>
      <c r="I346" s="25" t="s">
        <v>71</v>
      </c>
      <c r="J346" s="25" t="s">
        <v>72</v>
      </c>
      <c r="K346" s="25" t="s">
        <v>84</v>
      </c>
      <c r="L346" s="25" t="str">
        <f t="shared" si="1"/>
        <v>FAMILIAR</v>
      </c>
      <c r="M346" s="25">
        <f t="shared" si="2"/>
        <v>5</v>
      </c>
      <c r="N346" s="25">
        <f t="shared" si="3"/>
        <v>2023</v>
      </c>
      <c r="O346" s="27" t="str">
        <f>VLOOKUP(K346,'CA y tablas'!$B$22:$C$28,2,FALSE)</f>
        <v>EUROPEO</v>
      </c>
      <c r="P346" s="28" t="str">
        <f t="shared" si="4"/>
        <v>S1</v>
      </c>
      <c r="Q346" s="29">
        <v>2.0</v>
      </c>
      <c r="R346" s="29" t="str">
        <f t="shared" si="5"/>
        <v>Q2</v>
      </c>
    </row>
    <row r="347" ht="15.75" customHeight="1">
      <c r="A347" s="30">
        <v>45015.0</v>
      </c>
      <c r="B347" s="31">
        <v>9.941463416E9</v>
      </c>
      <c r="C347" s="32" t="s">
        <v>393</v>
      </c>
      <c r="D347" s="31">
        <v>2.3828321E7</v>
      </c>
      <c r="E347" s="30">
        <v>45051.0</v>
      </c>
      <c r="F347" s="33" t="s">
        <v>69</v>
      </c>
      <c r="G347" s="34">
        <v>2.0</v>
      </c>
      <c r="H347" s="33" t="s">
        <v>81</v>
      </c>
      <c r="I347" s="33" t="s">
        <v>71</v>
      </c>
      <c r="J347" s="33" t="s">
        <v>72</v>
      </c>
      <c r="K347" s="33" t="s">
        <v>84</v>
      </c>
      <c r="L347" s="33" t="str">
        <f t="shared" si="1"/>
        <v>FAMILIAR</v>
      </c>
      <c r="M347" s="33">
        <f t="shared" si="2"/>
        <v>5</v>
      </c>
      <c r="N347" s="33">
        <f t="shared" si="3"/>
        <v>2023</v>
      </c>
      <c r="O347" s="35" t="str">
        <f>VLOOKUP(K347,'CA y tablas'!$B$22:$C$28,2,FALSE)</f>
        <v>EUROPEO</v>
      </c>
      <c r="P347" s="28" t="str">
        <f t="shared" si="4"/>
        <v>S1</v>
      </c>
      <c r="Q347" s="29">
        <v>2.0</v>
      </c>
      <c r="R347" s="29" t="str">
        <f t="shared" si="5"/>
        <v>Q2</v>
      </c>
    </row>
    <row r="348" ht="15.75" customHeight="1">
      <c r="A348" s="22">
        <v>45041.0</v>
      </c>
      <c r="B348" s="23">
        <v>3.395746955E9</v>
      </c>
      <c r="C348" s="24" t="s">
        <v>358</v>
      </c>
      <c r="D348" s="23">
        <v>3.6231262E7</v>
      </c>
      <c r="E348" s="22">
        <v>45051.0</v>
      </c>
      <c r="F348" s="25" t="s">
        <v>69</v>
      </c>
      <c r="G348" s="26">
        <v>2.0</v>
      </c>
      <c r="H348" s="25" t="s">
        <v>81</v>
      </c>
      <c r="I348" s="25" t="s">
        <v>71</v>
      </c>
      <c r="J348" s="25" t="s">
        <v>72</v>
      </c>
      <c r="K348" s="25" t="s">
        <v>84</v>
      </c>
      <c r="L348" s="25" t="str">
        <f t="shared" si="1"/>
        <v>FAMILIAR</v>
      </c>
      <c r="M348" s="25">
        <f t="shared" si="2"/>
        <v>5</v>
      </c>
      <c r="N348" s="25">
        <f t="shared" si="3"/>
        <v>2023</v>
      </c>
      <c r="O348" s="27" t="str">
        <f>VLOOKUP(K348,'CA y tablas'!$B$22:$C$28,2,FALSE)</f>
        <v>EUROPEO</v>
      </c>
      <c r="P348" s="28" t="str">
        <f t="shared" si="4"/>
        <v>S1</v>
      </c>
      <c r="Q348" s="29">
        <v>2.0</v>
      </c>
      <c r="R348" s="29" t="str">
        <f t="shared" si="5"/>
        <v>Q2</v>
      </c>
    </row>
    <row r="349" ht="15.75" customHeight="1">
      <c r="A349" s="30">
        <v>45042.0</v>
      </c>
      <c r="B349" s="31">
        <v>7.47526521E9</v>
      </c>
      <c r="C349" s="32" t="s">
        <v>394</v>
      </c>
      <c r="D349" s="31">
        <v>4.3963614E7</v>
      </c>
      <c r="E349" s="30">
        <v>45051.0</v>
      </c>
      <c r="F349" s="33" t="s">
        <v>76</v>
      </c>
      <c r="G349" s="34">
        <v>2.0</v>
      </c>
      <c r="H349" s="33" t="s">
        <v>81</v>
      </c>
      <c r="I349" s="33" t="s">
        <v>71</v>
      </c>
      <c r="J349" s="33" t="s">
        <v>72</v>
      </c>
      <c r="K349" s="33" t="s">
        <v>84</v>
      </c>
      <c r="L349" s="33" t="str">
        <f t="shared" si="1"/>
        <v>FAMILIAR</v>
      </c>
      <c r="M349" s="33">
        <f t="shared" si="2"/>
        <v>5</v>
      </c>
      <c r="N349" s="33">
        <f t="shared" si="3"/>
        <v>2023</v>
      </c>
      <c r="O349" s="35" t="str">
        <f>VLOOKUP(K349,'CA y tablas'!$B$22:$C$28,2,FALSE)</f>
        <v>EUROPEO</v>
      </c>
      <c r="P349" s="28" t="str">
        <f t="shared" si="4"/>
        <v>S1</v>
      </c>
      <c r="Q349" s="29">
        <v>2.0</v>
      </c>
      <c r="R349" s="29" t="str">
        <f t="shared" si="5"/>
        <v>Q2</v>
      </c>
    </row>
    <row r="350" ht="15.75" customHeight="1">
      <c r="A350" s="22">
        <v>45044.0</v>
      </c>
      <c r="B350" s="23">
        <v>5.559360494E9</v>
      </c>
      <c r="C350" s="24" t="s">
        <v>395</v>
      </c>
      <c r="D350" s="23">
        <v>3.604286E7</v>
      </c>
      <c r="E350" s="22">
        <v>45051.0</v>
      </c>
      <c r="F350" s="25" t="s">
        <v>69</v>
      </c>
      <c r="G350" s="26">
        <v>2.0</v>
      </c>
      <c r="H350" s="25" t="s">
        <v>81</v>
      </c>
      <c r="I350" s="25" t="s">
        <v>71</v>
      </c>
      <c r="J350" s="25" t="s">
        <v>72</v>
      </c>
      <c r="K350" s="25" t="s">
        <v>73</v>
      </c>
      <c r="L350" s="25" t="str">
        <f t="shared" si="1"/>
        <v>FAMILIAR</v>
      </c>
      <c r="M350" s="25">
        <f t="shared" si="2"/>
        <v>5</v>
      </c>
      <c r="N350" s="25">
        <f t="shared" si="3"/>
        <v>2023</v>
      </c>
      <c r="O350" s="27" t="str">
        <f>VLOOKUP(K350,'CA y tablas'!$B$22:$C$28,2,FALSE)</f>
        <v>AMERICANO</v>
      </c>
      <c r="P350" s="28" t="str">
        <f t="shared" si="4"/>
        <v>S1</v>
      </c>
      <c r="Q350" s="29">
        <v>2.0</v>
      </c>
      <c r="R350" s="29" t="str">
        <f t="shared" si="5"/>
        <v>Q2</v>
      </c>
    </row>
    <row r="351" ht="15.75" customHeight="1">
      <c r="A351" s="30">
        <v>45044.0</v>
      </c>
      <c r="B351" s="31">
        <v>7.956952754E9</v>
      </c>
      <c r="C351" s="32" t="s">
        <v>396</v>
      </c>
      <c r="D351" s="31">
        <v>3.9571691E7</v>
      </c>
      <c r="E351" s="30">
        <v>45051.0</v>
      </c>
      <c r="F351" s="33" t="s">
        <v>69</v>
      </c>
      <c r="G351" s="34">
        <v>3.0</v>
      </c>
      <c r="H351" s="33" t="s">
        <v>81</v>
      </c>
      <c r="I351" s="33" t="s">
        <v>71</v>
      </c>
      <c r="J351" s="33" t="s">
        <v>98</v>
      </c>
      <c r="K351" s="33" t="s">
        <v>73</v>
      </c>
      <c r="L351" s="33" t="str">
        <f t="shared" si="1"/>
        <v>FAMILIAR</v>
      </c>
      <c r="M351" s="33">
        <f t="shared" si="2"/>
        <v>5</v>
      </c>
      <c r="N351" s="33">
        <f t="shared" si="3"/>
        <v>2023</v>
      </c>
      <c r="O351" s="35" t="str">
        <f>VLOOKUP(K351,'CA y tablas'!$B$22:$C$28,2,FALSE)</f>
        <v>AMERICANO</v>
      </c>
      <c r="P351" s="28" t="str">
        <f t="shared" si="4"/>
        <v>S1</v>
      </c>
      <c r="Q351" s="29">
        <v>2.0</v>
      </c>
      <c r="R351" s="29" t="str">
        <f t="shared" si="5"/>
        <v>Q2</v>
      </c>
    </row>
    <row r="352" ht="15.75" customHeight="1">
      <c r="A352" s="22">
        <v>45050.0</v>
      </c>
      <c r="B352" s="23">
        <v>8.485059332E9</v>
      </c>
      <c r="C352" s="24" t="s">
        <v>397</v>
      </c>
      <c r="D352" s="23">
        <v>3.170603E7</v>
      </c>
      <c r="E352" s="22">
        <v>45051.0</v>
      </c>
      <c r="F352" s="25" t="s">
        <v>69</v>
      </c>
      <c r="G352" s="26">
        <v>4.0</v>
      </c>
      <c r="H352" s="25" t="s">
        <v>81</v>
      </c>
      <c r="I352" s="25" t="s">
        <v>71</v>
      </c>
      <c r="J352" s="25" t="s">
        <v>98</v>
      </c>
      <c r="K352" s="25" t="s">
        <v>73</v>
      </c>
      <c r="L352" s="25" t="str">
        <f t="shared" si="1"/>
        <v>FAMILIAR</v>
      </c>
      <c r="M352" s="25">
        <f t="shared" si="2"/>
        <v>5</v>
      </c>
      <c r="N352" s="25">
        <f t="shared" si="3"/>
        <v>2023</v>
      </c>
      <c r="O352" s="27" t="str">
        <f>VLOOKUP(K352,'CA y tablas'!$B$22:$C$28,2,FALSE)</f>
        <v>AMERICANO</v>
      </c>
      <c r="P352" s="28" t="str">
        <f t="shared" si="4"/>
        <v>S1</v>
      </c>
      <c r="Q352" s="29">
        <v>2.0</v>
      </c>
      <c r="R352" s="29" t="str">
        <f t="shared" si="5"/>
        <v>Q2</v>
      </c>
    </row>
    <row r="353" ht="15.75" customHeight="1">
      <c r="A353" s="30">
        <v>45050.0</v>
      </c>
      <c r="B353" s="31">
        <v>3.718733152E9</v>
      </c>
      <c r="C353" s="32" t="s">
        <v>397</v>
      </c>
      <c r="D353" s="31">
        <v>3.170603E7</v>
      </c>
      <c r="E353" s="30">
        <v>45051.0</v>
      </c>
      <c r="F353" s="33" t="s">
        <v>69</v>
      </c>
      <c r="G353" s="34">
        <v>5.0</v>
      </c>
      <c r="H353" s="33" t="s">
        <v>81</v>
      </c>
      <c r="I353" s="33" t="s">
        <v>88</v>
      </c>
      <c r="J353" s="33" t="s">
        <v>98</v>
      </c>
      <c r="K353" s="33" t="s">
        <v>73</v>
      </c>
      <c r="L353" s="33" t="str">
        <f t="shared" si="1"/>
        <v>FAMILIAR</v>
      </c>
      <c r="M353" s="33">
        <f t="shared" si="2"/>
        <v>5</v>
      </c>
      <c r="N353" s="33">
        <f t="shared" si="3"/>
        <v>2023</v>
      </c>
      <c r="O353" s="35" t="str">
        <f>VLOOKUP(K353,'CA y tablas'!$B$22:$C$28,2,FALSE)</f>
        <v>AMERICANO</v>
      </c>
      <c r="P353" s="28" t="str">
        <f t="shared" si="4"/>
        <v>S1</v>
      </c>
      <c r="Q353" s="29">
        <v>2.0</v>
      </c>
      <c r="R353" s="29" t="str">
        <f t="shared" si="5"/>
        <v>Q2</v>
      </c>
    </row>
    <row r="354" ht="15.75" customHeight="1">
      <c r="A354" s="22">
        <v>45050.0</v>
      </c>
      <c r="B354" s="23">
        <v>7.171699636E9</v>
      </c>
      <c r="C354" s="24" t="s">
        <v>398</v>
      </c>
      <c r="D354" s="23">
        <v>1.6278984E7</v>
      </c>
      <c r="E354" s="22">
        <v>45051.0</v>
      </c>
      <c r="F354" s="25" t="s">
        <v>69</v>
      </c>
      <c r="G354" s="26">
        <v>4.0</v>
      </c>
      <c r="H354" s="25" t="s">
        <v>81</v>
      </c>
      <c r="I354" s="25" t="s">
        <v>88</v>
      </c>
      <c r="J354" s="25" t="s">
        <v>98</v>
      </c>
      <c r="K354" s="25" t="s">
        <v>73</v>
      </c>
      <c r="L354" s="25" t="str">
        <f t="shared" si="1"/>
        <v>FAMILIAR</v>
      </c>
      <c r="M354" s="25">
        <f t="shared" si="2"/>
        <v>5</v>
      </c>
      <c r="N354" s="25">
        <f t="shared" si="3"/>
        <v>2023</v>
      </c>
      <c r="O354" s="27" t="str">
        <f>VLOOKUP(K354,'CA y tablas'!$B$22:$C$28,2,FALSE)</f>
        <v>AMERICANO</v>
      </c>
      <c r="P354" s="28" t="str">
        <f t="shared" si="4"/>
        <v>S1</v>
      </c>
      <c r="Q354" s="29">
        <v>2.0</v>
      </c>
      <c r="R354" s="29" t="str">
        <f t="shared" si="5"/>
        <v>Q2</v>
      </c>
    </row>
    <row r="355" ht="15.75" customHeight="1">
      <c r="A355" s="30">
        <v>45050.0</v>
      </c>
      <c r="B355" s="31">
        <v>3.523443884E9</v>
      </c>
      <c r="C355" s="32" t="s">
        <v>397</v>
      </c>
      <c r="D355" s="31">
        <v>3.170603E7</v>
      </c>
      <c r="E355" s="30">
        <v>45051.0</v>
      </c>
      <c r="F355" s="33" t="s">
        <v>69</v>
      </c>
      <c r="G355" s="34">
        <v>3.0</v>
      </c>
      <c r="H355" s="33" t="s">
        <v>81</v>
      </c>
      <c r="I355" s="33" t="s">
        <v>88</v>
      </c>
      <c r="J355" s="33" t="s">
        <v>98</v>
      </c>
      <c r="K355" s="33" t="s">
        <v>73</v>
      </c>
      <c r="L355" s="33" t="str">
        <f t="shared" si="1"/>
        <v>FAMILIAR</v>
      </c>
      <c r="M355" s="33">
        <f t="shared" si="2"/>
        <v>5</v>
      </c>
      <c r="N355" s="33">
        <f t="shared" si="3"/>
        <v>2023</v>
      </c>
      <c r="O355" s="35" t="str">
        <f>VLOOKUP(K355,'CA y tablas'!$B$22:$C$28,2,FALSE)</f>
        <v>AMERICANO</v>
      </c>
      <c r="P355" s="28" t="str">
        <f t="shared" si="4"/>
        <v>S1</v>
      </c>
      <c r="Q355" s="29">
        <v>2.0</v>
      </c>
      <c r="R355" s="29" t="str">
        <f t="shared" si="5"/>
        <v>Q2</v>
      </c>
    </row>
    <row r="356" ht="15.75" customHeight="1">
      <c r="A356" s="22">
        <v>45050.0</v>
      </c>
      <c r="B356" s="23">
        <v>5.231243522E9</v>
      </c>
      <c r="C356" s="24" t="s">
        <v>397</v>
      </c>
      <c r="D356" s="23">
        <v>3.170603E7</v>
      </c>
      <c r="E356" s="22">
        <v>45051.0</v>
      </c>
      <c r="F356" s="25" t="s">
        <v>69</v>
      </c>
      <c r="G356" s="26">
        <v>2.0</v>
      </c>
      <c r="H356" s="25" t="s">
        <v>106</v>
      </c>
      <c r="I356" s="25" t="s">
        <v>88</v>
      </c>
      <c r="J356" s="25" t="s">
        <v>98</v>
      </c>
      <c r="K356" s="25" t="s">
        <v>73</v>
      </c>
      <c r="L356" s="25" t="str">
        <f t="shared" si="1"/>
        <v>FAMILIAR</v>
      </c>
      <c r="M356" s="25">
        <f t="shared" si="2"/>
        <v>5</v>
      </c>
      <c r="N356" s="25">
        <f t="shared" si="3"/>
        <v>2023</v>
      </c>
      <c r="O356" s="27" t="str">
        <f>VLOOKUP(K356,'CA y tablas'!$B$22:$C$28,2,FALSE)</f>
        <v>AMERICANO</v>
      </c>
      <c r="P356" s="28" t="str">
        <f t="shared" si="4"/>
        <v>S1</v>
      </c>
      <c r="Q356" s="29">
        <v>2.0</v>
      </c>
      <c r="R356" s="29" t="str">
        <f t="shared" si="5"/>
        <v>Q2</v>
      </c>
    </row>
    <row r="357" ht="15.75" customHeight="1">
      <c r="A357" s="30">
        <v>45050.0</v>
      </c>
      <c r="B357" s="31">
        <v>3.718747362E9</v>
      </c>
      <c r="C357" s="32" t="s">
        <v>399</v>
      </c>
      <c r="D357" s="31">
        <v>4.0530085E7</v>
      </c>
      <c r="E357" s="30">
        <v>45051.0</v>
      </c>
      <c r="F357" s="33" t="s">
        <v>69</v>
      </c>
      <c r="G357" s="34">
        <v>3.0</v>
      </c>
      <c r="H357" s="33" t="s">
        <v>106</v>
      </c>
      <c r="I357" s="33" t="s">
        <v>88</v>
      </c>
      <c r="J357" s="33" t="s">
        <v>98</v>
      </c>
      <c r="K357" s="33" t="s">
        <v>73</v>
      </c>
      <c r="L357" s="33" t="str">
        <f t="shared" si="1"/>
        <v>FAMILIAR</v>
      </c>
      <c r="M357" s="33">
        <f t="shared" si="2"/>
        <v>5</v>
      </c>
      <c r="N357" s="33">
        <f t="shared" si="3"/>
        <v>2023</v>
      </c>
      <c r="O357" s="35" t="str">
        <f>VLOOKUP(K357,'CA y tablas'!$B$22:$C$28,2,FALSE)</f>
        <v>AMERICANO</v>
      </c>
      <c r="P357" s="28" t="str">
        <f t="shared" si="4"/>
        <v>S1</v>
      </c>
      <c r="Q357" s="29">
        <v>2.0</v>
      </c>
      <c r="R357" s="29" t="str">
        <f t="shared" si="5"/>
        <v>Q2</v>
      </c>
    </row>
    <row r="358" ht="15.75" customHeight="1">
      <c r="A358" s="22">
        <v>45050.0</v>
      </c>
      <c r="B358" s="23">
        <v>3.457829384E9</v>
      </c>
      <c r="C358" s="24" t="s">
        <v>400</v>
      </c>
      <c r="D358" s="23">
        <v>5779288.0</v>
      </c>
      <c r="E358" s="22">
        <v>45051.0</v>
      </c>
      <c r="F358" s="25" t="s">
        <v>69</v>
      </c>
      <c r="G358" s="26">
        <v>2.0</v>
      </c>
      <c r="H358" s="25" t="s">
        <v>106</v>
      </c>
      <c r="I358" s="25" t="s">
        <v>88</v>
      </c>
      <c r="J358" s="25" t="s">
        <v>98</v>
      </c>
      <c r="K358" s="25" t="s">
        <v>73</v>
      </c>
      <c r="L358" s="25" t="str">
        <f t="shared" si="1"/>
        <v>FAMILIAR</v>
      </c>
      <c r="M358" s="25">
        <f t="shared" si="2"/>
        <v>5</v>
      </c>
      <c r="N358" s="25">
        <f t="shared" si="3"/>
        <v>2023</v>
      </c>
      <c r="O358" s="27" t="str">
        <f>VLOOKUP(K358,'CA y tablas'!$B$22:$C$28,2,FALSE)</f>
        <v>AMERICANO</v>
      </c>
      <c r="P358" s="28" t="str">
        <f t="shared" si="4"/>
        <v>S1</v>
      </c>
      <c r="Q358" s="29">
        <v>2.0</v>
      </c>
      <c r="R358" s="29" t="str">
        <f t="shared" si="5"/>
        <v>Q2</v>
      </c>
    </row>
    <row r="359" ht="15.75" customHeight="1">
      <c r="A359" s="30">
        <v>45050.0</v>
      </c>
      <c r="B359" s="31">
        <v>6.778434014E9</v>
      </c>
      <c r="C359" s="32" t="s">
        <v>397</v>
      </c>
      <c r="D359" s="31">
        <v>3.170603E7</v>
      </c>
      <c r="E359" s="30">
        <v>45051.0</v>
      </c>
      <c r="F359" s="33" t="s">
        <v>76</v>
      </c>
      <c r="G359" s="34">
        <v>2.0</v>
      </c>
      <c r="H359" s="33" t="s">
        <v>106</v>
      </c>
      <c r="I359" s="33" t="s">
        <v>88</v>
      </c>
      <c r="J359" s="33" t="s">
        <v>98</v>
      </c>
      <c r="K359" s="33" t="s">
        <v>73</v>
      </c>
      <c r="L359" s="33" t="str">
        <f t="shared" si="1"/>
        <v>FAMILIAR</v>
      </c>
      <c r="M359" s="33">
        <f t="shared" si="2"/>
        <v>5</v>
      </c>
      <c r="N359" s="33">
        <f t="shared" si="3"/>
        <v>2023</v>
      </c>
      <c r="O359" s="35" t="str">
        <f>VLOOKUP(K359,'CA y tablas'!$B$22:$C$28,2,FALSE)</f>
        <v>AMERICANO</v>
      </c>
      <c r="P359" s="28" t="str">
        <f t="shared" si="4"/>
        <v>S1</v>
      </c>
      <c r="Q359" s="29">
        <v>2.0</v>
      </c>
      <c r="R359" s="29" t="str">
        <f t="shared" si="5"/>
        <v>Q2</v>
      </c>
    </row>
    <row r="360" ht="15.75" customHeight="1">
      <c r="A360" s="22">
        <v>45050.0</v>
      </c>
      <c r="B360" s="23">
        <v>2.456634213E9</v>
      </c>
      <c r="C360" s="24" t="s">
        <v>401</v>
      </c>
      <c r="D360" s="23">
        <v>3.1038055E7</v>
      </c>
      <c r="E360" s="22">
        <v>45051.0</v>
      </c>
      <c r="F360" s="25" t="s">
        <v>76</v>
      </c>
      <c r="G360" s="26">
        <v>2.0</v>
      </c>
      <c r="H360" s="25" t="s">
        <v>106</v>
      </c>
      <c r="I360" s="25" t="s">
        <v>88</v>
      </c>
      <c r="J360" s="25" t="s">
        <v>318</v>
      </c>
      <c r="K360" s="25" t="s">
        <v>73</v>
      </c>
      <c r="L360" s="25" t="str">
        <f t="shared" si="1"/>
        <v>FAMILIAR</v>
      </c>
      <c r="M360" s="25">
        <f t="shared" si="2"/>
        <v>5</v>
      </c>
      <c r="N360" s="25">
        <f t="shared" si="3"/>
        <v>2023</v>
      </c>
      <c r="O360" s="27" t="str">
        <f>VLOOKUP(K360,'CA y tablas'!$B$22:$C$28,2,FALSE)</f>
        <v>AMERICANO</v>
      </c>
      <c r="P360" s="28" t="str">
        <f t="shared" si="4"/>
        <v>S1</v>
      </c>
      <c r="Q360" s="29">
        <v>2.0</v>
      </c>
      <c r="R360" s="29" t="str">
        <f t="shared" si="5"/>
        <v>Q2</v>
      </c>
    </row>
    <row r="361" ht="15.75" customHeight="1">
      <c r="A361" s="30">
        <v>45050.0</v>
      </c>
      <c r="B361" s="31">
        <v>6.561925532E9</v>
      </c>
      <c r="C361" s="32" t="s">
        <v>402</v>
      </c>
      <c r="D361" s="31">
        <v>1.7440831E7</v>
      </c>
      <c r="E361" s="30">
        <v>45051.0</v>
      </c>
      <c r="F361" s="33" t="s">
        <v>69</v>
      </c>
      <c r="G361" s="34">
        <v>2.0</v>
      </c>
      <c r="H361" s="33" t="s">
        <v>92</v>
      </c>
      <c r="I361" s="33" t="s">
        <v>88</v>
      </c>
      <c r="J361" s="33" t="s">
        <v>318</v>
      </c>
      <c r="K361" s="33" t="s">
        <v>73</v>
      </c>
      <c r="L361" s="33" t="str">
        <f t="shared" si="1"/>
        <v>FAMILIAR</v>
      </c>
      <c r="M361" s="33">
        <f t="shared" si="2"/>
        <v>5</v>
      </c>
      <c r="N361" s="33">
        <f t="shared" si="3"/>
        <v>2023</v>
      </c>
      <c r="O361" s="35" t="str">
        <f>VLOOKUP(K361,'CA y tablas'!$B$22:$C$28,2,FALSE)</f>
        <v>AMERICANO</v>
      </c>
      <c r="P361" s="28" t="str">
        <f t="shared" si="4"/>
        <v>S1</v>
      </c>
      <c r="Q361" s="29">
        <v>2.0</v>
      </c>
      <c r="R361" s="29" t="str">
        <f t="shared" si="5"/>
        <v>Q2</v>
      </c>
    </row>
    <row r="362" ht="15.75" customHeight="1">
      <c r="A362" s="22">
        <v>45050.0</v>
      </c>
      <c r="B362" s="23">
        <v>3.52342949E9</v>
      </c>
      <c r="C362" s="24" t="s">
        <v>403</v>
      </c>
      <c r="D362" s="23">
        <v>3.7927848E7</v>
      </c>
      <c r="E362" s="22">
        <v>45051.0</v>
      </c>
      <c r="F362" s="25" t="s">
        <v>69</v>
      </c>
      <c r="G362" s="26">
        <v>3.0</v>
      </c>
      <c r="H362" s="25" t="s">
        <v>92</v>
      </c>
      <c r="I362" s="25" t="s">
        <v>88</v>
      </c>
      <c r="J362" s="25" t="s">
        <v>318</v>
      </c>
      <c r="K362" s="25" t="s">
        <v>73</v>
      </c>
      <c r="L362" s="25" t="str">
        <f t="shared" si="1"/>
        <v>FAMILIAR</v>
      </c>
      <c r="M362" s="25">
        <f t="shared" si="2"/>
        <v>5</v>
      </c>
      <c r="N362" s="25">
        <f t="shared" si="3"/>
        <v>2023</v>
      </c>
      <c r="O362" s="27" t="str">
        <f>VLOOKUP(K362,'CA y tablas'!$B$22:$C$28,2,FALSE)</f>
        <v>AMERICANO</v>
      </c>
      <c r="P362" s="28" t="str">
        <f t="shared" si="4"/>
        <v>S1</v>
      </c>
      <c r="Q362" s="29">
        <v>2.0</v>
      </c>
      <c r="R362" s="29" t="str">
        <f t="shared" si="5"/>
        <v>Q2</v>
      </c>
    </row>
    <row r="363" ht="15.75" customHeight="1">
      <c r="A363" s="30">
        <v>45050.0</v>
      </c>
      <c r="B363" s="31">
        <v>3.15795683E9</v>
      </c>
      <c r="C363" s="36" t="s">
        <v>402</v>
      </c>
      <c r="D363" s="31">
        <v>1.7440831E7</v>
      </c>
      <c r="E363" s="30">
        <v>45051.0</v>
      </c>
      <c r="F363" s="33" t="s">
        <v>69</v>
      </c>
      <c r="G363" s="34">
        <v>4.0</v>
      </c>
      <c r="H363" s="33" t="s">
        <v>92</v>
      </c>
      <c r="I363" s="33" t="s">
        <v>88</v>
      </c>
      <c r="J363" s="33" t="s">
        <v>318</v>
      </c>
      <c r="K363" s="33" t="s">
        <v>73</v>
      </c>
      <c r="L363" s="33" t="str">
        <f t="shared" si="1"/>
        <v>FAMILIAR</v>
      </c>
      <c r="M363" s="33">
        <f t="shared" si="2"/>
        <v>5</v>
      </c>
      <c r="N363" s="33">
        <f t="shared" si="3"/>
        <v>2023</v>
      </c>
      <c r="O363" s="35" t="str">
        <f>VLOOKUP(K363,'CA y tablas'!$B$22:$C$28,2,FALSE)</f>
        <v>AMERICANO</v>
      </c>
      <c r="P363" s="28" t="str">
        <f t="shared" si="4"/>
        <v>S1</v>
      </c>
      <c r="Q363" s="29">
        <v>2.0</v>
      </c>
      <c r="R363" s="29" t="str">
        <f t="shared" si="5"/>
        <v>Q2</v>
      </c>
    </row>
    <row r="364" ht="15.75" customHeight="1">
      <c r="A364" s="22">
        <v>45051.0</v>
      </c>
      <c r="B364" s="23">
        <v>3.656178761E9</v>
      </c>
      <c r="C364" s="24" t="s">
        <v>397</v>
      </c>
      <c r="D364" s="23">
        <v>3.170603E7</v>
      </c>
      <c r="E364" s="22">
        <v>45051.0</v>
      </c>
      <c r="F364" s="25" t="s">
        <v>69</v>
      </c>
      <c r="G364" s="26">
        <v>4.0</v>
      </c>
      <c r="H364" s="25" t="s">
        <v>92</v>
      </c>
      <c r="I364" s="25" t="s">
        <v>88</v>
      </c>
      <c r="J364" s="25" t="s">
        <v>318</v>
      </c>
      <c r="K364" s="25" t="s">
        <v>73</v>
      </c>
      <c r="L364" s="25" t="str">
        <f t="shared" si="1"/>
        <v>FAMILIAR</v>
      </c>
      <c r="M364" s="25">
        <f t="shared" si="2"/>
        <v>5</v>
      </c>
      <c r="N364" s="25">
        <f t="shared" si="3"/>
        <v>2023</v>
      </c>
      <c r="O364" s="27" t="str">
        <f>VLOOKUP(K364,'CA y tablas'!$B$22:$C$28,2,FALSE)</f>
        <v>AMERICANO</v>
      </c>
      <c r="P364" s="28" t="str">
        <f t="shared" si="4"/>
        <v>S1</v>
      </c>
      <c r="Q364" s="29">
        <v>2.0</v>
      </c>
      <c r="R364" s="29" t="str">
        <f t="shared" si="5"/>
        <v>Q2</v>
      </c>
    </row>
    <row r="365" ht="15.75" customHeight="1">
      <c r="A365" s="30">
        <v>45051.0</v>
      </c>
      <c r="B365" s="31">
        <v>6.691274671E9</v>
      </c>
      <c r="C365" s="32" t="s">
        <v>397</v>
      </c>
      <c r="D365" s="31">
        <v>3.170603E7</v>
      </c>
      <c r="E365" s="30">
        <v>45051.0</v>
      </c>
      <c r="F365" s="33" t="s">
        <v>69</v>
      </c>
      <c r="G365" s="34">
        <v>4.0</v>
      </c>
      <c r="H365" s="33" t="s">
        <v>106</v>
      </c>
      <c r="I365" s="33" t="s">
        <v>71</v>
      </c>
      <c r="J365" s="33" t="s">
        <v>79</v>
      </c>
      <c r="K365" s="33" t="s">
        <v>73</v>
      </c>
      <c r="L365" s="33" t="str">
        <f t="shared" si="1"/>
        <v>FAMILIAR</v>
      </c>
      <c r="M365" s="33">
        <f t="shared" si="2"/>
        <v>5</v>
      </c>
      <c r="N365" s="33">
        <f t="shared" si="3"/>
        <v>2023</v>
      </c>
      <c r="O365" s="35" t="str">
        <f>VLOOKUP(K365,'CA y tablas'!$B$22:$C$28,2,FALSE)</f>
        <v>AMERICANO</v>
      </c>
      <c r="P365" s="28" t="str">
        <f t="shared" si="4"/>
        <v>S1</v>
      </c>
      <c r="Q365" s="29">
        <v>2.0</v>
      </c>
      <c r="R365" s="29" t="str">
        <f t="shared" si="5"/>
        <v>Q2</v>
      </c>
    </row>
    <row r="366" ht="15.75" customHeight="1">
      <c r="A366" s="22">
        <v>45042.0</v>
      </c>
      <c r="B366" s="23">
        <v>1.87434877E9</v>
      </c>
      <c r="C366" s="24" t="s">
        <v>404</v>
      </c>
      <c r="D366" s="23">
        <v>4.544328E7</v>
      </c>
      <c r="E366" s="22">
        <v>45054.0</v>
      </c>
      <c r="F366" s="25" t="s">
        <v>69</v>
      </c>
      <c r="G366" s="26">
        <v>3.0</v>
      </c>
      <c r="H366" s="25" t="s">
        <v>106</v>
      </c>
      <c r="I366" s="25" t="s">
        <v>71</v>
      </c>
      <c r="J366" s="25" t="s">
        <v>79</v>
      </c>
      <c r="K366" s="25" t="s">
        <v>103</v>
      </c>
      <c r="L366" s="25" t="str">
        <f t="shared" si="1"/>
        <v>FAMILIAR</v>
      </c>
      <c r="M366" s="25">
        <f t="shared" si="2"/>
        <v>5</v>
      </c>
      <c r="N366" s="25">
        <f t="shared" si="3"/>
        <v>2023</v>
      </c>
      <c r="O366" s="27" t="str">
        <f>VLOOKUP(K366,'CA y tablas'!$B$22:$C$28,2,FALSE)</f>
        <v>EUROPEO</v>
      </c>
      <c r="P366" s="28" t="str">
        <f t="shared" si="4"/>
        <v>S1</v>
      </c>
      <c r="Q366" s="29">
        <v>2.0</v>
      </c>
      <c r="R366" s="29" t="str">
        <f t="shared" si="5"/>
        <v>Q2</v>
      </c>
    </row>
    <row r="367" ht="15.75" customHeight="1">
      <c r="A367" s="30">
        <v>45043.0</v>
      </c>
      <c r="B367" s="31">
        <v>6.303539045E9</v>
      </c>
      <c r="C367" s="32" t="s">
        <v>405</v>
      </c>
      <c r="D367" s="31">
        <v>2.2127625E7</v>
      </c>
      <c r="E367" s="30">
        <v>45054.0</v>
      </c>
      <c r="F367" s="33" t="s">
        <v>69</v>
      </c>
      <c r="G367" s="34">
        <v>2.0</v>
      </c>
      <c r="H367" s="33" t="s">
        <v>106</v>
      </c>
      <c r="I367" s="33" t="s">
        <v>71</v>
      </c>
      <c r="J367" s="33" t="s">
        <v>79</v>
      </c>
      <c r="K367" s="33" t="s">
        <v>103</v>
      </c>
      <c r="L367" s="33" t="str">
        <f t="shared" si="1"/>
        <v>FAMILIAR</v>
      </c>
      <c r="M367" s="33">
        <f t="shared" si="2"/>
        <v>5</v>
      </c>
      <c r="N367" s="33">
        <f t="shared" si="3"/>
        <v>2023</v>
      </c>
      <c r="O367" s="35" t="str">
        <f>VLOOKUP(K367,'CA y tablas'!$B$22:$C$28,2,FALSE)</f>
        <v>EUROPEO</v>
      </c>
      <c r="P367" s="28" t="str">
        <f t="shared" si="4"/>
        <v>S1</v>
      </c>
      <c r="Q367" s="29">
        <v>2.0</v>
      </c>
      <c r="R367" s="29" t="str">
        <f t="shared" si="5"/>
        <v>Q2</v>
      </c>
    </row>
    <row r="368" ht="15.75" customHeight="1">
      <c r="A368" s="22">
        <v>45044.0</v>
      </c>
      <c r="B368" s="23">
        <v>1.309740434E9</v>
      </c>
      <c r="C368" s="24" t="s">
        <v>406</v>
      </c>
      <c r="D368" s="23">
        <v>3.3416781E7</v>
      </c>
      <c r="E368" s="22">
        <v>45054.0</v>
      </c>
      <c r="F368" s="25" t="s">
        <v>69</v>
      </c>
      <c r="G368" s="26">
        <v>2.0</v>
      </c>
      <c r="H368" s="25" t="s">
        <v>106</v>
      </c>
      <c r="I368" s="25" t="s">
        <v>71</v>
      </c>
      <c r="J368" s="25" t="s">
        <v>79</v>
      </c>
      <c r="K368" s="25" t="s">
        <v>103</v>
      </c>
      <c r="L368" s="25" t="str">
        <f t="shared" si="1"/>
        <v>FAMILIAR</v>
      </c>
      <c r="M368" s="25">
        <f t="shared" si="2"/>
        <v>5</v>
      </c>
      <c r="N368" s="25">
        <f t="shared" si="3"/>
        <v>2023</v>
      </c>
      <c r="O368" s="27" t="str">
        <f>VLOOKUP(K368,'CA y tablas'!$B$22:$C$28,2,FALSE)</f>
        <v>EUROPEO</v>
      </c>
      <c r="P368" s="28" t="str">
        <f t="shared" si="4"/>
        <v>S1</v>
      </c>
      <c r="Q368" s="29">
        <v>2.0</v>
      </c>
      <c r="R368" s="29" t="str">
        <f t="shared" si="5"/>
        <v>Q2</v>
      </c>
    </row>
    <row r="369" ht="15.75" customHeight="1">
      <c r="A369" s="30">
        <v>45044.0</v>
      </c>
      <c r="B369" s="31">
        <v>5.411435293E9</v>
      </c>
      <c r="C369" s="32" t="s">
        <v>407</v>
      </c>
      <c r="D369" s="31">
        <v>3.476421E7</v>
      </c>
      <c r="E369" s="30">
        <v>45054.0</v>
      </c>
      <c r="F369" s="33" t="s">
        <v>69</v>
      </c>
      <c r="G369" s="34">
        <v>2.0</v>
      </c>
      <c r="H369" s="33" t="s">
        <v>106</v>
      </c>
      <c r="I369" s="33" t="s">
        <v>71</v>
      </c>
      <c r="J369" s="33" t="s">
        <v>79</v>
      </c>
      <c r="K369" s="33" t="s">
        <v>103</v>
      </c>
      <c r="L369" s="33" t="str">
        <f t="shared" si="1"/>
        <v>FAMILIAR</v>
      </c>
      <c r="M369" s="33">
        <f t="shared" si="2"/>
        <v>5</v>
      </c>
      <c r="N369" s="33">
        <f t="shared" si="3"/>
        <v>2023</v>
      </c>
      <c r="O369" s="35" t="str">
        <f>VLOOKUP(K369,'CA y tablas'!$B$22:$C$28,2,FALSE)</f>
        <v>EUROPEO</v>
      </c>
      <c r="P369" s="28" t="str">
        <f t="shared" si="4"/>
        <v>S1</v>
      </c>
      <c r="Q369" s="29">
        <v>2.0</v>
      </c>
      <c r="R369" s="29" t="str">
        <f t="shared" si="5"/>
        <v>Q2</v>
      </c>
    </row>
    <row r="370" ht="15.75" customHeight="1">
      <c r="A370" s="22">
        <v>45044.0</v>
      </c>
      <c r="B370" s="23">
        <v>5.559360354E9</v>
      </c>
      <c r="C370" s="24" t="s">
        <v>405</v>
      </c>
      <c r="D370" s="23">
        <v>2.2127625E7</v>
      </c>
      <c r="E370" s="22">
        <v>45054.0</v>
      </c>
      <c r="F370" s="25" t="s">
        <v>76</v>
      </c>
      <c r="G370" s="26">
        <v>2.0</v>
      </c>
      <c r="H370" s="25" t="s">
        <v>106</v>
      </c>
      <c r="I370" s="25" t="s">
        <v>71</v>
      </c>
      <c r="J370" s="25" t="s">
        <v>83</v>
      </c>
      <c r="K370" s="25" t="s">
        <v>103</v>
      </c>
      <c r="L370" s="25" t="str">
        <f t="shared" si="1"/>
        <v>FAMILIAR</v>
      </c>
      <c r="M370" s="25">
        <f t="shared" si="2"/>
        <v>5</v>
      </c>
      <c r="N370" s="25">
        <f t="shared" si="3"/>
        <v>2023</v>
      </c>
      <c r="O370" s="27" t="str">
        <f>VLOOKUP(K370,'CA y tablas'!$B$22:$C$28,2,FALSE)</f>
        <v>EUROPEO</v>
      </c>
      <c r="P370" s="28" t="str">
        <f t="shared" si="4"/>
        <v>S1</v>
      </c>
      <c r="Q370" s="29">
        <v>2.0</v>
      </c>
      <c r="R370" s="29" t="str">
        <f t="shared" si="5"/>
        <v>Q2</v>
      </c>
    </row>
    <row r="371" ht="15.75" customHeight="1">
      <c r="A371" s="30">
        <v>45050.0</v>
      </c>
      <c r="B371" s="31">
        <v>7.032016051E9</v>
      </c>
      <c r="C371" s="32" t="s">
        <v>408</v>
      </c>
      <c r="D371" s="31">
        <v>3.1001726E7</v>
      </c>
      <c r="E371" s="30">
        <v>45054.0</v>
      </c>
      <c r="F371" s="33" t="s">
        <v>69</v>
      </c>
      <c r="G371" s="34">
        <v>2.0</v>
      </c>
      <c r="H371" s="33" t="s">
        <v>106</v>
      </c>
      <c r="I371" s="33" t="s">
        <v>71</v>
      </c>
      <c r="J371" s="33" t="s">
        <v>83</v>
      </c>
      <c r="K371" s="33" t="s">
        <v>103</v>
      </c>
      <c r="L371" s="33" t="str">
        <f t="shared" si="1"/>
        <v>FAMILIAR</v>
      </c>
      <c r="M371" s="33">
        <f t="shared" si="2"/>
        <v>5</v>
      </c>
      <c r="N371" s="33">
        <f t="shared" si="3"/>
        <v>2023</v>
      </c>
      <c r="O371" s="35" t="str">
        <f>VLOOKUP(K371,'CA y tablas'!$B$22:$C$28,2,FALSE)</f>
        <v>EUROPEO</v>
      </c>
      <c r="P371" s="28" t="str">
        <f t="shared" si="4"/>
        <v>S1</v>
      </c>
      <c r="Q371" s="29">
        <v>2.0</v>
      </c>
      <c r="R371" s="29" t="str">
        <f t="shared" si="5"/>
        <v>Q2</v>
      </c>
    </row>
    <row r="372" ht="15.75" customHeight="1">
      <c r="A372" s="22">
        <v>45050.0</v>
      </c>
      <c r="B372" s="23">
        <v>7.171673692E9</v>
      </c>
      <c r="C372" s="24" t="s">
        <v>408</v>
      </c>
      <c r="D372" s="23">
        <v>3.1001726E7</v>
      </c>
      <c r="E372" s="22">
        <v>45054.0</v>
      </c>
      <c r="F372" s="25" t="s">
        <v>69</v>
      </c>
      <c r="G372" s="26">
        <v>3.0</v>
      </c>
      <c r="H372" s="25" t="s">
        <v>106</v>
      </c>
      <c r="I372" s="25" t="s">
        <v>71</v>
      </c>
      <c r="J372" s="25" t="s">
        <v>83</v>
      </c>
      <c r="K372" s="25" t="s">
        <v>103</v>
      </c>
      <c r="L372" s="25" t="str">
        <f t="shared" si="1"/>
        <v>FAMILIAR</v>
      </c>
      <c r="M372" s="25">
        <f t="shared" si="2"/>
        <v>5</v>
      </c>
      <c r="N372" s="25">
        <f t="shared" si="3"/>
        <v>2023</v>
      </c>
      <c r="O372" s="27" t="str">
        <f>VLOOKUP(K372,'CA y tablas'!$B$22:$C$28,2,FALSE)</f>
        <v>EUROPEO</v>
      </c>
      <c r="P372" s="28" t="str">
        <f t="shared" si="4"/>
        <v>S1</v>
      </c>
      <c r="Q372" s="29">
        <v>2.0</v>
      </c>
      <c r="R372" s="29" t="str">
        <f t="shared" si="5"/>
        <v>Q2</v>
      </c>
    </row>
    <row r="373" ht="15.75" customHeight="1">
      <c r="A373" s="30">
        <v>45050.0</v>
      </c>
      <c r="B373" s="31">
        <v>8.72595878E9</v>
      </c>
      <c r="C373" s="32" t="s">
        <v>409</v>
      </c>
      <c r="D373" s="31">
        <v>2.0284816E7</v>
      </c>
      <c r="E373" s="30">
        <v>45054.0</v>
      </c>
      <c r="F373" s="33" t="s">
        <v>69</v>
      </c>
      <c r="G373" s="34">
        <v>1.0</v>
      </c>
      <c r="H373" s="33" t="s">
        <v>106</v>
      </c>
      <c r="I373" s="33" t="s">
        <v>71</v>
      </c>
      <c r="J373" s="33" t="s">
        <v>83</v>
      </c>
      <c r="K373" s="33" t="s">
        <v>103</v>
      </c>
      <c r="L373" s="33" t="str">
        <f t="shared" si="1"/>
        <v>INDIVIDUAL</v>
      </c>
      <c r="M373" s="33">
        <f t="shared" si="2"/>
        <v>5</v>
      </c>
      <c r="N373" s="33">
        <f t="shared" si="3"/>
        <v>2023</v>
      </c>
      <c r="O373" s="35" t="str">
        <f>VLOOKUP(K373,'CA y tablas'!$B$22:$C$28,2,FALSE)</f>
        <v>EUROPEO</v>
      </c>
      <c r="P373" s="28" t="str">
        <f t="shared" si="4"/>
        <v>S1</v>
      </c>
      <c r="Q373" s="29">
        <v>2.0</v>
      </c>
      <c r="R373" s="29" t="str">
        <f t="shared" si="5"/>
        <v>Q2</v>
      </c>
    </row>
    <row r="374" ht="15.75" customHeight="1">
      <c r="A374" s="22">
        <v>45050.0</v>
      </c>
      <c r="B374" s="23">
        <v>6.281137004E9</v>
      </c>
      <c r="C374" s="24" t="s">
        <v>410</v>
      </c>
      <c r="D374" s="23">
        <v>2.2877086E7</v>
      </c>
      <c r="E374" s="22">
        <v>45054.0</v>
      </c>
      <c r="F374" s="25" t="s">
        <v>76</v>
      </c>
      <c r="G374" s="26">
        <v>4.0</v>
      </c>
      <c r="H374" s="25" t="s">
        <v>70</v>
      </c>
      <c r="I374" s="25" t="s">
        <v>71</v>
      </c>
      <c r="J374" s="25" t="s">
        <v>83</v>
      </c>
      <c r="K374" s="25" t="s">
        <v>103</v>
      </c>
      <c r="L374" s="25" t="str">
        <f t="shared" si="1"/>
        <v>FAMILIAR</v>
      </c>
      <c r="M374" s="25">
        <f t="shared" si="2"/>
        <v>5</v>
      </c>
      <c r="N374" s="25">
        <f t="shared" si="3"/>
        <v>2023</v>
      </c>
      <c r="O374" s="27" t="str">
        <f>VLOOKUP(K374,'CA y tablas'!$B$22:$C$28,2,FALSE)</f>
        <v>EUROPEO</v>
      </c>
      <c r="P374" s="28" t="str">
        <f t="shared" si="4"/>
        <v>S1</v>
      </c>
      <c r="Q374" s="29">
        <v>2.0</v>
      </c>
      <c r="R374" s="29" t="str">
        <f t="shared" si="5"/>
        <v>Q2</v>
      </c>
    </row>
    <row r="375" ht="15.75" customHeight="1">
      <c r="A375" s="30">
        <v>45051.0</v>
      </c>
      <c r="B375" s="31">
        <v>3.656200973E9</v>
      </c>
      <c r="C375" s="32" t="s">
        <v>408</v>
      </c>
      <c r="D375" s="31">
        <v>3.1001726E7</v>
      </c>
      <c r="E375" s="30">
        <v>45054.0</v>
      </c>
      <c r="F375" s="33" t="s">
        <v>69</v>
      </c>
      <c r="G375" s="34">
        <v>1.0</v>
      </c>
      <c r="H375" s="33" t="s">
        <v>70</v>
      </c>
      <c r="I375" s="33" t="s">
        <v>71</v>
      </c>
      <c r="J375" s="33" t="s">
        <v>83</v>
      </c>
      <c r="K375" s="33" t="s">
        <v>103</v>
      </c>
      <c r="L375" s="33" t="str">
        <f t="shared" si="1"/>
        <v>INDIVIDUAL</v>
      </c>
      <c r="M375" s="33">
        <f t="shared" si="2"/>
        <v>5</v>
      </c>
      <c r="N375" s="33">
        <f t="shared" si="3"/>
        <v>2023</v>
      </c>
      <c r="O375" s="35" t="str">
        <f>VLOOKUP(K375,'CA y tablas'!$B$22:$C$28,2,FALSE)</f>
        <v>EUROPEO</v>
      </c>
      <c r="P375" s="28" t="str">
        <f t="shared" si="4"/>
        <v>S1</v>
      </c>
      <c r="Q375" s="29">
        <v>2.0</v>
      </c>
      <c r="R375" s="29" t="str">
        <f t="shared" si="5"/>
        <v>Q2</v>
      </c>
    </row>
    <row r="376" ht="15.75" customHeight="1">
      <c r="A376" s="22">
        <v>45051.0</v>
      </c>
      <c r="B376" s="23">
        <v>9.605785803E9</v>
      </c>
      <c r="C376" s="24" t="s">
        <v>411</v>
      </c>
      <c r="D376" s="23">
        <v>3.5921491E7</v>
      </c>
      <c r="E376" s="22">
        <v>45054.0</v>
      </c>
      <c r="F376" s="25" t="s">
        <v>69</v>
      </c>
      <c r="G376" s="26">
        <v>4.0</v>
      </c>
      <c r="H376" s="25" t="s">
        <v>70</v>
      </c>
      <c r="I376" s="25" t="s">
        <v>71</v>
      </c>
      <c r="J376" s="25" t="s">
        <v>83</v>
      </c>
      <c r="K376" s="25" t="s">
        <v>90</v>
      </c>
      <c r="L376" s="25" t="str">
        <f t="shared" si="1"/>
        <v>FAMILIAR</v>
      </c>
      <c r="M376" s="25">
        <f t="shared" si="2"/>
        <v>5</v>
      </c>
      <c r="N376" s="25">
        <f t="shared" si="3"/>
        <v>2023</v>
      </c>
      <c r="O376" s="27" t="str">
        <f>VLOOKUP(K376,'CA y tablas'!$B$22:$C$28,2,FALSE)</f>
        <v>EUROPEO</v>
      </c>
      <c r="P376" s="28" t="str">
        <f t="shared" si="4"/>
        <v>S1</v>
      </c>
      <c r="Q376" s="29">
        <v>2.0</v>
      </c>
      <c r="R376" s="29" t="str">
        <f t="shared" si="5"/>
        <v>Q2</v>
      </c>
    </row>
    <row r="377" ht="15.75" customHeight="1">
      <c r="A377" s="30">
        <v>45051.0</v>
      </c>
      <c r="B377" s="31">
        <v>8.526485376E9</v>
      </c>
      <c r="C377" s="32" t="s">
        <v>412</v>
      </c>
      <c r="D377" s="31">
        <v>3.2158239E7</v>
      </c>
      <c r="E377" s="30">
        <v>45054.0</v>
      </c>
      <c r="F377" s="33" t="s">
        <v>69</v>
      </c>
      <c r="G377" s="34">
        <v>4.0</v>
      </c>
      <c r="H377" s="33" t="s">
        <v>70</v>
      </c>
      <c r="I377" s="33" t="s">
        <v>71</v>
      </c>
      <c r="J377" s="33" t="s">
        <v>83</v>
      </c>
      <c r="K377" s="33" t="s">
        <v>90</v>
      </c>
      <c r="L377" s="33" t="str">
        <f t="shared" si="1"/>
        <v>FAMILIAR</v>
      </c>
      <c r="M377" s="33">
        <f t="shared" si="2"/>
        <v>5</v>
      </c>
      <c r="N377" s="33">
        <f t="shared" si="3"/>
        <v>2023</v>
      </c>
      <c r="O377" s="35" t="str">
        <f>VLOOKUP(K377,'CA y tablas'!$B$22:$C$28,2,FALSE)</f>
        <v>EUROPEO</v>
      </c>
      <c r="P377" s="28" t="str">
        <f t="shared" si="4"/>
        <v>S1</v>
      </c>
      <c r="Q377" s="29">
        <v>2.0</v>
      </c>
      <c r="R377" s="29" t="str">
        <f t="shared" si="5"/>
        <v>Q2</v>
      </c>
    </row>
    <row r="378" ht="15.75" customHeight="1">
      <c r="A378" s="22">
        <v>45030.0</v>
      </c>
      <c r="B378" s="23">
        <v>7.702524944E9</v>
      </c>
      <c r="C378" s="24" t="s">
        <v>413</v>
      </c>
      <c r="D378" s="23">
        <v>4.5516779E7</v>
      </c>
      <c r="E378" s="22">
        <v>45055.0</v>
      </c>
      <c r="F378" s="25" t="s">
        <v>76</v>
      </c>
      <c r="G378" s="26">
        <v>4.0</v>
      </c>
      <c r="H378" s="25" t="s">
        <v>70</v>
      </c>
      <c r="I378" s="25" t="s">
        <v>71</v>
      </c>
      <c r="J378" s="25" t="s">
        <v>93</v>
      </c>
      <c r="K378" s="25" t="s">
        <v>90</v>
      </c>
      <c r="L378" s="25" t="str">
        <f t="shared" si="1"/>
        <v>FAMILIAR</v>
      </c>
      <c r="M378" s="25">
        <f t="shared" si="2"/>
        <v>5</v>
      </c>
      <c r="N378" s="25">
        <f t="shared" si="3"/>
        <v>2023</v>
      </c>
      <c r="O378" s="27" t="str">
        <f>VLOOKUP(K378,'CA y tablas'!$B$22:$C$28,2,FALSE)</f>
        <v>EUROPEO</v>
      </c>
      <c r="P378" s="28" t="str">
        <f t="shared" si="4"/>
        <v>S1</v>
      </c>
      <c r="Q378" s="29">
        <v>2.0</v>
      </c>
      <c r="R378" s="29" t="str">
        <f t="shared" si="5"/>
        <v>Q2</v>
      </c>
    </row>
    <row r="379" ht="15.75" customHeight="1">
      <c r="A379" s="30">
        <v>45051.0</v>
      </c>
      <c r="B379" s="31">
        <v>3.054754076E9</v>
      </c>
      <c r="C379" s="32" t="s">
        <v>414</v>
      </c>
      <c r="D379" s="31">
        <v>3.1487671E7</v>
      </c>
      <c r="E379" s="30">
        <v>45055.0</v>
      </c>
      <c r="F379" s="33" t="s">
        <v>69</v>
      </c>
      <c r="G379" s="34">
        <v>3.0</v>
      </c>
      <c r="H379" s="33" t="s">
        <v>70</v>
      </c>
      <c r="I379" s="33" t="s">
        <v>71</v>
      </c>
      <c r="J379" s="33" t="s">
        <v>93</v>
      </c>
      <c r="K379" s="33" t="s">
        <v>90</v>
      </c>
      <c r="L379" s="33" t="str">
        <f t="shared" si="1"/>
        <v>FAMILIAR</v>
      </c>
      <c r="M379" s="33">
        <f t="shared" si="2"/>
        <v>5</v>
      </c>
      <c r="N379" s="33">
        <f t="shared" si="3"/>
        <v>2023</v>
      </c>
      <c r="O379" s="35" t="str">
        <f>VLOOKUP(K379,'CA y tablas'!$B$22:$C$28,2,FALSE)</f>
        <v>EUROPEO</v>
      </c>
      <c r="P379" s="28" t="str">
        <f t="shared" si="4"/>
        <v>S1</v>
      </c>
      <c r="Q379" s="29">
        <v>2.0</v>
      </c>
      <c r="R379" s="29" t="str">
        <f t="shared" si="5"/>
        <v>Q2</v>
      </c>
    </row>
    <row r="380" ht="15.75" customHeight="1">
      <c r="A380" s="22">
        <v>45055.0</v>
      </c>
      <c r="B380" s="23">
        <v>2.211442866E9</v>
      </c>
      <c r="C380" s="24" t="s">
        <v>415</v>
      </c>
      <c r="D380" s="23">
        <v>4.4978092E7</v>
      </c>
      <c r="E380" s="22">
        <v>45055.0</v>
      </c>
      <c r="F380" s="25" t="s">
        <v>76</v>
      </c>
      <c r="G380" s="26">
        <v>3.0</v>
      </c>
      <c r="H380" s="25" t="s">
        <v>70</v>
      </c>
      <c r="I380" s="25" t="s">
        <v>71</v>
      </c>
      <c r="J380" s="25" t="s">
        <v>93</v>
      </c>
      <c r="K380" s="25" t="s">
        <v>90</v>
      </c>
      <c r="L380" s="25" t="str">
        <f t="shared" si="1"/>
        <v>FAMILIAR</v>
      </c>
      <c r="M380" s="25">
        <f t="shared" si="2"/>
        <v>5</v>
      </c>
      <c r="N380" s="25">
        <f t="shared" si="3"/>
        <v>2023</v>
      </c>
      <c r="O380" s="27" t="str">
        <f>VLOOKUP(K380,'CA y tablas'!$B$22:$C$28,2,FALSE)</f>
        <v>EUROPEO</v>
      </c>
      <c r="P380" s="28" t="str">
        <f t="shared" si="4"/>
        <v>S1</v>
      </c>
      <c r="Q380" s="29">
        <v>2.0</v>
      </c>
      <c r="R380" s="29" t="str">
        <f t="shared" si="5"/>
        <v>Q2</v>
      </c>
    </row>
    <row r="381" ht="15.75" customHeight="1">
      <c r="A381" s="30">
        <v>45050.0</v>
      </c>
      <c r="B381" s="31">
        <v>6.175247901E9</v>
      </c>
      <c r="C381" s="32" t="s">
        <v>416</v>
      </c>
      <c r="D381" s="31">
        <v>2.2877643E7</v>
      </c>
      <c r="E381" s="30">
        <v>45056.0</v>
      </c>
      <c r="F381" s="33" t="s">
        <v>69</v>
      </c>
      <c r="G381" s="34">
        <v>3.0</v>
      </c>
      <c r="H381" s="33" t="s">
        <v>70</v>
      </c>
      <c r="I381" s="33" t="s">
        <v>77</v>
      </c>
      <c r="J381" s="33" t="s">
        <v>93</v>
      </c>
      <c r="K381" s="33" t="s">
        <v>217</v>
      </c>
      <c r="L381" s="33" t="str">
        <f t="shared" si="1"/>
        <v>FAMILIAR</v>
      </c>
      <c r="M381" s="33">
        <f t="shared" si="2"/>
        <v>5</v>
      </c>
      <c r="N381" s="33">
        <f t="shared" si="3"/>
        <v>2023</v>
      </c>
      <c r="O381" s="35" t="str">
        <f>VLOOKUP(K381,'CA y tablas'!$B$22:$C$28,2,FALSE)</f>
        <v>ASIATICO</v>
      </c>
      <c r="P381" s="28" t="str">
        <f t="shared" si="4"/>
        <v>S1</v>
      </c>
      <c r="Q381" s="29">
        <v>2.0</v>
      </c>
      <c r="R381" s="29" t="str">
        <f t="shared" si="5"/>
        <v>Q2</v>
      </c>
    </row>
    <row r="382" ht="15.75" customHeight="1">
      <c r="A382" s="22">
        <v>45050.0</v>
      </c>
      <c r="B382" s="23">
        <v>3.899487255E9</v>
      </c>
      <c r="C382" s="24" t="s">
        <v>416</v>
      </c>
      <c r="D382" s="23">
        <v>2.2877643E7</v>
      </c>
      <c r="E382" s="22">
        <v>45056.0</v>
      </c>
      <c r="F382" s="25" t="s">
        <v>69</v>
      </c>
      <c r="G382" s="26">
        <v>3.0</v>
      </c>
      <c r="H382" s="25" t="s">
        <v>70</v>
      </c>
      <c r="I382" s="25" t="s">
        <v>77</v>
      </c>
      <c r="J382" s="25" t="s">
        <v>93</v>
      </c>
      <c r="K382" s="25" t="s">
        <v>217</v>
      </c>
      <c r="L382" s="25" t="str">
        <f t="shared" si="1"/>
        <v>FAMILIAR</v>
      </c>
      <c r="M382" s="25">
        <f t="shared" si="2"/>
        <v>5</v>
      </c>
      <c r="N382" s="25">
        <f t="shared" si="3"/>
        <v>2023</v>
      </c>
      <c r="O382" s="27" t="str">
        <f>VLOOKUP(K382,'CA y tablas'!$B$22:$C$28,2,FALSE)</f>
        <v>ASIATICO</v>
      </c>
      <c r="P382" s="28" t="str">
        <f t="shared" si="4"/>
        <v>S1</v>
      </c>
      <c r="Q382" s="29">
        <v>2.0</v>
      </c>
      <c r="R382" s="29" t="str">
        <f t="shared" si="5"/>
        <v>Q2</v>
      </c>
    </row>
    <row r="383" ht="15.75" customHeight="1">
      <c r="A383" s="30">
        <v>45050.0</v>
      </c>
      <c r="B383" s="31">
        <v>3.281732123E9</v>
      </c>
      <c r="C383" s="32" t="s">
        <v>417</v>
      </c>
      <c r="D383" s="31">
        <v>4.3648586E7</v>
      </c>
      <c r="E383" s="30">
        <v>45056.0</v>
      </c>
      <c r="F383" s="33" t="s">
        <v>76</v>
      </c>
      <c r="G383" s="34">
        <v>1.0</v>
      </c>
      <c r="H383" s="33" t="s">
        <v>70</v>
      </c>
      <c r="I383" s="33" t="s">
        <v>77</v>
      </c>
      <c r="J383" s="33" t="s">
        <v>93</v>
      </c>
      <c r="K383" s="33" t="s">
        <v>217</v>
      </c>
      <c r="L383" s="33" t="str">
        <f t="shared" si="1"/>
        <v>INDIVIDUAL</v>
      </c>
      <c r="M383" s="33">
        <f t="shared" si="2"/>
        <v>5</v>
      </c>
      <c r="N383" s="33">
        <f t="shared" si="3"/>
        <v>2023</v>
      </c>
      <c r="O383" s="35" t="str">
        <f>VLOOKUP(K383,'CA y tablas'!$B$22:$C$28,2,FALSE)</f>
        <v>ASIATICO</v>
      </c>
      <c r="P383" s="28" t="str">
        <f t="shared" si="4"/>
        <v>S1</v>
      </c>
      <c r="Q383" s="29">
        <v>2.0</v>
      </c>
      <c r="R383" s="29" t="str">
        <f t="shared" si="5"/>
        <v>Q2</v>
      </c>
    </row>
    <row r="384" ht="15.75" customHeight="1">
      <c r="A384" s="22">
        <v>45050.0</v>
      </c>
      <c r="B384" s="23">
        <v>4.172366516E9</v>
      </c>
      <c r="C384" s="24" t="s">
        <v>418</v>
      </c>
      <c r="D384" s="23">
        <v>4.5511707E7</v>
      </c>
      <c r="E384" s="22">
        <v>45056.0</v>
      </c>
      <c r="F384" s="25" t="s">
        <v>69</v>
      </c>
      <c r="G384" s="26">
        <v>2.0</v>
      </c>
      <c r="H384" s="25" t="s">
        <v>70</v>
      </c>
      <c r="I384" s="25" t="s">
        <v>77</v>
      </c>
      <c r="J384" s="25" t="s">
        <v>98</v>
      </c>
      <c r="K384" s="25" t="s">
        <v>73</v>
      </c>
      <c r="L384" s="25" t="str">
        <f t="shared" si="1"/>
        <v>FAMILIAR</v>
      </c>
      <c r="M384" s="25">
        <f t="shared" si="2"/>
        <v>5</v>
      </c>
      <c r="N384" s="25">
        <f t="shared" si="3"/>
        <v>2023</v>
      </c>
      <c r="O384" s="27" t="str">
        <f>VLOOKUP(K384,'CA y tablas'!$B$22:$C$28,2,FALSE)</f>
        <v>AMERICANO</v>
      </c>
      <c r="P384" s="28" t="str">
        <f t="shared" si="4"/>
        <v>S1</v>
      </c>
      <c r="Q384" s="29">
        <v>2.0</v>
      </c>
      <c r="R384" s="29" t="str">
        <f t="shared" si="5"/>
        <v>Q2</v>
      </c>
    </row>
    <row r="385" ht="15.75" customHeight="1">
      <c r="A385" s="30">
        <v>45050.0</v>
      </c>
      <c r="B385" s="31">
        <v>3.624617732E9</v>
      </c>
      <c r="C385" s="32" t="s">
        <v>419</v>
      </c>
      <c r="D385" s="31">
        <v>2.5740841E7</v>
      </c>
      <c r="E385" s="30">
        <v>45056.0</v>
      </c>
      <c r="F385" s="33" t="s">
        <v>69</v>
      </c>
      <c r="G385" s="34">
        <v>2.0</v>
      </c>
      <c r="H385" s="33" t="s">
        <v>70</v>
      </c>
      <c r="I385" s="33" t="s">
        <v>77</v>
      </c>
      <c r="J385" s="33" t="s">
        <v>98</v>
      </c>
      <c r="K385" s="33" t="s">
        <v>73</v>
      </c>
      <c r="L385" s="33" t="str">
        <f t="shared" si="1"/>
        <v>FAMILIAR</v>
      </c>
      <c r="M385" s="33">
        <f t="shared" si="2"/>
        <v>5</v>
      </c>
      <c r="N385" s="33">
        <f t="shared" si="3"/>
        <v>2023</v>
      </c>
      <c r="O385" s="35" t="str">
        <f>VLOOKUP(K385,'CA y tablas'!$B$22:$C$28,2,FALSE)</f>
        <v>AMERICANO</v>
      </c>
      <c r="P385" s="28" t="str">
        <f t="shared" si="4"/>
        <v>S1</v>
      </c>
      <c r="Q385" s="29">
        <v>2.0</v>
      </c>
      <c r="R385" s="29" t="str">
        <f t="shared" si="5"/>
        <v>Q2</v>
      </c>
    </row>
    <row r="386" ht="15.75" customHeight="1">
      <c r="A386" s="22">
        <v>45051.0</v>
      </c>
      <c r="B386" s="23">
        <v>4.104130623E9</v>
      </c>
      <c r="C386" s="24" t="s">
        <v>420</v>
      </c>
      <c r="D386" s="23">
        <v>3.5191835E7</v>
      </c>
      <c r="E386" s="22">
        <v>45056.0</v>
      </c>
      <c r="F386" s="25" t="s">
        <v>76</v>
      </c>
      <c r="G386" s="26">
        <v>2.0</v>
      </c>
      <c r="H386" s="25" t="s">
        <v>70</v>
      </c>
      <c r="I386" s="25" t="s">
        <v>77</v>
      </c>
      <c r="J386" s="25" t="s">
        <v>98</v>
      </c>
      <c r="K386" s="25" t="s">
        <v>73</v>
      </c>
      <c r="L386" s="25" t="str">
        <f t="shared" si="1"/>
        <v>FAMILIAR</v>
      </c>
      <c r="M386" s="25">
        <f t="shared" si="2"/>
        <v>5</v>
      </c>
      <c r="N386" s="25">
        <f t="shared" si="3"/>
        <v>2023</v>
      </c>
      <c r="O386" s="27" t="str">
        <f>VLOOKUP(K386,'CA y tablas'!$B$22:$C$28,2,FALSE)</f>
        <v>AMERICANO</v>
      </c>
      <c r="P386" s="28" t="str">
        <f t="shared" si="4"/>
        <v>S1</v>
      </c>
      <c r="Q386" s="29">
        <v>2.0</v>
      </c>
      <c r="R386" s="29" t="str">
        <f t="shared" si="5"/>
        <v>Q2</v>
      </c>
    </row>
    <row r="387" ht="15.75" customHeight="1">
      <c r="A387" s="30">
        <v>45051.0</v>
      </c>
      <c r="B387" s="31">
        <v>3.50285894E9</v>
      </c>
      <c r="C387" s="32" t="s">
        <v>421</v>
      </c>
      <c r="D387" s="31">
        <v>2.6722548E7</v>
      </c>
      <c r="E387" s="30">
        <v>45056.0</v>
      </c>
      <c r="F387" s="33" t="s">
        <v>69</v>
      </c>
      <c r="G387" s="34">
        <v>1.0</v>
      </c>
      <c r="H387" s="33" t="s">
        <v>70</v>
      </c>
      <c r="I387" s="33" t="s">
        <v>77</v>
      </c>
      <c r="J387" s="33" t="s">
        <v>98</v>
      </c>
      <c r="K387" s="33" t="s">
        <v>73</v>
      </c>
      <c r="L387" s="33" t="str">
        <f t="shared" si="1"/>
        <v>INDIVIDUAL</v>
      </c>
      <c r="M387" s="33">
        <f t="shared" si="2"/>
        <v>5</v>
      </c>
      <c r="N387" s="33">
        <f t="shared" si="3"/>
        <v>2023</v>
      </c>
      <c r="O387" s="35" t="str">
        <f>VLOOKUP(K387,'CA y tablas'!$B$22:$C$28,2,FALSE)</f>
        <v>AMERICANO</v>
      </c>
      <c r="P387" s="28" t="str">
        <f t="shared" si="4"/>
        <v>S1</v>
      </c>
      <c r="Q387" s="29">
        <v>2.0</v>
      </c>
      <c r="R387" s="29" t="str">
        <f t="shared" si="5"/>
        <v>Q2</v>
      </c>
    </row>
    <row r="388" ht="15.75" customHeight="1">
      <c r="A388" s="22">
        <v>45055.0</v>
      </c>
      <c r="B388" s="23">
        <v>4.630159446E9</v>
      </c>
      <c r="C388" s="24" t="s">
        <v>416</v>
      </c>
      <c r="D388" s="23">
        <v>2.2877643E7</v>
      </c>
      <c r="E388" s="22">
        <v>45056.0</v>
      </c>
      <c r="F388" s="25" t="s">
        <v>69</v>
      </c>
      <c r="G388" s="26">
        <v>1.0</v>
      </c>
      <c r="H388" s="25" t="s">
        <v>70</v>
      </c>
      <c r="I388" s="25" t="s">
        <v>88</v>
      </c>
      <c r="J388" s="25" t="s">
        <v>98</v>
      </c>
      <c r="K388" s="25" t="s">
        <v>73</v>
      </c>
      <c r="L388" s="25" t="str">
        <f t="shared" si="1"/>
        <v>INDIVIDUAL</v>
      </c>
      <c r="M388" s="25">
        <f t="shared" si="2"/>
        <v>5</v>
      </c>
      <c r="N388" s="25">
        <f t="shared" si="3"/>
        <v>2023</v>
      </c>
      <c r="O388" s="27" t="str">
        <f>VLOOKUP(K388,'CA y tablas'!$B$22:$C$28,2,FALSE)</f>
        <v>AMERICANO</v>
      </c>
      <c r="P388" s="28" t="str">
        <f t="shared" si="4"/>
        <v>S1</v>
      </c>
      <c r="Q388" s="29">
        <v>2.0</v>
      </c>
      <c r="R388" s="29" t="str">
        <f t="shared" si="5"/>
        <v>Q2</v>
      </c>
    </row>
    <row r="389" ht="15.75" customHeight="1">
      <c r="A389" s="30">
        <v>45055.0</v>
      </c>
      <c r="B389" s="31">
        <v>4.829475442E9</v>
      </c>
      <c r="C389" s="32" t="s">
        <v>422</v>
      </c>
      <c r="D389" s="31">
        <v>1.4225586E7</v>
      </c>
      <c r="E389" s="30">
        <v>45056.0</v>
      </c>
      <c r="F389" s="33" t="s">
        <v>69</v>
      </c>
      <c r="G389" s="34">
        <v>1.0</v>
      </c>
      <c r="H389" s="33" t="s">
        <v>70</v>
      </c>
      <c r="I389" s="33" t="s">
        <v>88</v>
      </c>
      <c r="J389" s="33" t="s">
        <v>318</v>
      </c>
      <c r="K389" s="33" t="s">
        <v>73</v>
      </c>
      <c r="L389" s="33" t="str">
        <f t="shared" si="1"/>
        <v>INDIVIDUAL</v>
      </c>
      <c r="M389" s="33">
        <f t="shared" si="2"/>
        <v>5</v>
      </c>
      <c r="N389" s="33">
        <f t="shared" si="3"/>
        <v>2023</v>
      </c>
      <c r="O389" s="35" t="str">
        <f>VLOOKUP(K389,'CA y tablas'!$B$22:$C$28,2,FALSE)</f>
        <v>AMERICANO</v>
      </c>
      <c r="P389" s="28" t="str">
        <f t="shared" si="4"/>
        <v>S1</v>
      </c>
      <c r="Q389" s="29">
        <v>2.0</v>
      </c>
      <c r="R389" s="29" t="str">
        <f t="shared" si="5"/>
        <v>Q2</v>
      </c>
    </row>
    <row r="390" ht="15.75" customHeight="1">
      <c r="A390" s="22">
        <v>45044.0</v>
      </c>
      <c r="B390" s="23">
        <v>3.782798331E9</v>
      </c>
      <c r="C390" s="24" t="s">
        <v>423</v>
      </c>
      <c r="D390" s="23">
        <v>3.9480571E7</v>
      </c>
      <c r="E390" s="22">
        <v>45057.0</v>
      </c>
      <c r="F390" s="25" t="s">
        <v>69</v>
      </c>
      <c r="G390" s="26">
        <v>1.0</v>
      </c>
      <c r="H390" s="25" t="s">
        <v>70</v>
      </c>
      <c r="I390" s="25" t="s">
        <v>88</v>
      </c>
      <c r="J390" s="25" t="s">
        <v>318</v>
      </c>
      <c r="K390" s="25" t="s">
        <v>73</v>
      </c>
      <c r="L390" s="25" t="str">
        <f t="shared" si="1"/>
        <v>INDIVIDUAL</v>
      </c>
      <c r="M390" s="25">
        <f t="shared" si="2"/>
        <v>5</v>
      </c>
      <c r="N390" s="25">
        <f t="shared" si="3"/>
        <v>2023</v>
      </c>
      <c r="O390" s="27" t="str">
        <f>VLOOKUP(K390,'CA y tablas'!$B$22:$C$28,2,FALSE)</f>
        <v>AMERICANO</v>
      </c>
      <c r="P390" s="28" t="str">
        <f t="shared" si="4"/>
        <v>S1</v>
      </c>
      <c r="Q390" s="29">
        <v>2.0</v>
      </c>
      <c r="R390" s="29" t="str">
        <f t="shared" si="5"/>
        <v>Q2</v>
      </c>
    </row>
    <row r="391" ht="15.75" customHeight="1">
      <c r="A391" s="30">
        <v>45050.0</v>
      </c>
      <c r="B391" s="31">
        <v>9.882443292E9</v>
      </c>
      <c r="C391" s="32" t="s">
        <v>424</v>
      </c>
      <c r="D391" s="31">
        <v>4.3648586E7</v>
      </c>
      <c r="E391" s="30">
        <v>45057.0</v>
      </c>
      <c r="F391" s="33" t="s">
        <v>69</v>
      </c>
      <c r="G391" s="34">
        <v>2.0</v>
      </c>
      <c r="H391" s="33" t="s">
        <v>116</v>
      </c>
      <c r="I391" s="33" t="s">
        <v>88</v>
      </c>
      <c r="J391" s="33" t="s">
        <v>318</v>
      </c>
      <c r="K391" s="33" t="s">
        <v>73</v>
      </c>
      <c r="L391" s="33" t="str">
        <f t="shared" si="1"/>
        <v>FAMILIAR</v>
      </c>
      <c r="M391" s="33">
        <f t="shared" si="2"/>
        <v>5</v>
      </c>
      <c r="N391" s="33">
        <f t="shared" si="3"/>
        <v>2023</v>
      </c>
      <c r="O391" s="35" t="str">
        <f>VLOOKUP(K391,'CA y tablas'!$B$22:$C$28,2,FALSE)</f>
        <v>AMERICANO</v>
      </c>
      <c r="P391" s="28" t="str">
        <f t="shared" si="4"/>
        <v>S1</v>
      </c>
      <c r="Q391" s="29">
        <v>2.0</v>
      </c>
      <c r="R391" s="29" t="str">
        <f t="shared" si="5"/>
        <v>Q2</v>
      </c>
    </row>
    <row r="392" ht="15.75" customHeight="1">
      <c r="A392" s="22">
        <v>45055.0</v>
      </c>
      <c r="B392" s="23">
        <v>6.18691458E9</v>
      </c>
      <c r="C392" s="24" t="s">
        <v>419</v>
      </c>
      <c r="D392" s="23">
        <v>2.5740481E7</v>
      </c>
      <c r="E392" s="22">
        <v>45057.0</v>
      </c>
      <c r="F392" s="25" t="s">
        <v>69</v>
      </c>
      <c r="G392" s="26">
        <v>2.0</v>
      </c>
      <c r="H392" s="25" t="s">
        <v>116</v>
      </c>
      <c r="I392" s="25" t="s">
        <v>71</v>
      </c>
      <c r="J392" s="25" t="s">
        <v>318</v>
      </c>
      <c r="K392" s="25" t="s">
        <v>73</v>
      </c>
      <c r="L392" s="25" t="str">
        <f t="shared" si="1"/>
        <v>FAMILIAR</v>
      </c>
      <c r="M392" s="25">
        <f t="shared" si="2"/>
        <v>5</v>
      </c>
      <c r="N392" s="25">
        <f t="shared" si="3"/>
        <v>2023</v>
      </c>
      <c r="O392" s="27" t="str">
        <f>VLOOKUP(K392,'CA y tablas'!$B$22:$C$28,2,FALSE)</f>
        <v>AMERICANO</v>
      </c>
      <c r="P392" s="28" t="str">
        <f t="shared" si="4"/>
        <v>S1</v>
      </c>
      <c r="Q392" s="29">
        <v>2.0</v>
      </c>
      <c r="R392" s="29" t="str">
        <f t="shared" si="5"/>
        <v>Q2</v>
      </c>
    </row>
    <row r="393" ht="15.75" customHeight="1">
      <c r="A393" s="30">
        <v>45055.0</v>
      </c>
      <c r="B393" s="31">
        <v>2.486733325E9</v>
      </c>
      <c r="C393" s="32" t="s">
        <v>425</v>
      </c>
      <c r="D393" s="31">
        <v>2.4059001E7</v>
      </c>
      <c r="E393" s="30">
        <v>45057.0</v>
      </c>
      <c r="F393" s="33" t="s">
        <v>69</v>
      </c>
      <c r="G393" s="34">
        <v>2.0</v>
      </c>
      <c r="H393" s="33" t="s">
        <v>116</v>
      </c>
      <c r="I393" s="33" t="s">
        <v>71</v>
      </c>
      <c r="J393" s="33" t="s">
        <v>318</v>
      </c>
      <c r="K393" s="33" t="s">
        <v>73</v>
      </c>
      <c r="L393" s="33" t="str">
        <f t="shared" si="1"/>
        <v>FAMILIAR</v>
      </c>
      <c r="M393" s="33">
        <f t="shared" si="2"/>
        <v>5</v>
      </c>
      <c r="N393" s="33">
        <f t="shared" si="3"/>
        <v>2023</v>
      </c>
      <c r="O393" s="35" t="str">
        <f>VLOOKUP(K393,'CA y tablas'!$B$22:$C$28,2,FALSE)</f>
        <v>AMERICANO</v>
      </c>
      <c r="P393" s="28" t="str">
        <f t="shared" si="4"/>
        <v>S1</v>
      </c>
      <c r="Q393" s="29">
        <v>2.0</v>
      </c>
      <c r="R393" s="29" t="str">
        <f t="shared" si="5"/>
        <v>Q2</v>
      </c>
    </row>
    <row r="394" ht="15.75" customHeight="1">
      <c r="A394" s="22">
        <v>45042.0</v>
      </c>
      <c r="B394" s="23">
        <v>7.475240382E9</v>
      </c>
      <c r="C394" s="24" t="s">
        <v>426</v>
      </c>
      <c r="D394" s="23">
        <v>2.9997572E7</v>
      </c>
      <c r="E394" s="22">
        <v>45058.0</v>
      </c>
      <c r="F394" s="25" t="s">
        <v>69</v>
      </c>
      <c r="G394" s="26">
        <v>2.0</v>
      </c>
      <c r="H394" s="25" t="s">
        <v>116</v>
      </c>
      <c r="I394" s="25" t="s">
        <v>71</v>
      </c>
      <c r="J394" s="25" t="s">
        <v>318</v>
      </c>
      <c r="K394" s="25" t="s">
        <v>73</v>
      </c>
      <c r="L394" s="25" t="str">
        <f t="shared" si="1"/>
        <v>FAMILIAR</v>
      </c>
      <c r="M394" s="25">
        <f t="shared" si="2"/>
        <v>5</v>
      </c>
      <c r="N394" s="25">
        <f t="shared" si="3"/>
        <v>2023</v>
      </c>
      <c r="O394" s="27" t="str">
        <f>VLOOKUP(K394,'CA y tablas'!$B$22:$C$28,2,FALSE)</f>
        <v>AMERICANO</v>
      </c>
      <c r="P394" s="28" t="str">
        <f t="shared" si="4"/>
        <v>S1</v>
      </c>
      <c r="Q394" s="29">
        <v>2.0</v>
      </c>
      <c r="R394" s="29" t="str">
        <f t="shared" si="5"/>
        <v>Q2</v>
      </c>
    </row>
    <row r="395" ht="15.75" customHeight="1">
      <c r="A395" s="30">
        <v>45042.0</v>
      </c>
      <c r="B395" s="31">
        <v>1.58110869E9</v>
      </c>
      <c r="C395" s="32" t="s">
        <v>426</v>
      </c>
      <c r="D395" s="31">
        <v>2.9997572E7</v>
      </c>
      <c r="E395" s="30">
        <v>45058.0</v>
      </c>
      <c r="F395" s="33" t="s">
        <v>69</v>
      </c>
      <c r="G395" s="34">
        <v>2.0</v>
      </c>
      <c r="H395" s="33" t="s">
        <v>116</v>
      </c>
      <c r="I395" s="33" t="s">
        <v>71</v>
      </c>
      <c r="J395" s="33" t="s">
        <v>318</v>
      </c>
      <c r="K395" s="33" t="s">
        <v>73</v>
      </c>
      <c r="L395" s="33" t="str">
        <f t="shared" si="1"/>
        <v>FAMILIAR</v>
      </c>
      <c r="M395" s="33">
        <f t="shared" si="2"/>
        <v>5</v>
      </c>
      <c r="N395" s="33">
        <f t="shared" si="3"/>
        <v>2023</v>
      </c>
      <c r="O395" s="35" t="str">
        <f>VLOOKUP(K395,'CA y tablas'!$B$22:$C$28,2,FALSE)</f>
        <v>AMERICANO</v>
      </c>
      <c r="P395" s="28" t="str">
        <f t="shared" si="4"/>
        <v>S1</v>
      </c>
      <c r="Q395" s="29">
        <v>2.0</v>
      </c>
      <c r="R395" s="29" t="str">
        <f t="shared" si="5"/>
        <v>Q2</v>
      </c>
    </row>
    <row r="396" ht="15.75" customHeight="1">
      <c r="A396" s="22">
        <v>45048.0</v>
      </c>
      <c r="B396" s="23">
        <v>5.771650286E9</v>
      </c>
      <c r="C396" s="24" t="s">
        <v>427</v>
      </c>
      <c r="D396" s="23">
        <v>4.3001543E7</v>
      </c>
      <c r="E396" s="22">
        <v>45058.0</v>
      </c>
      <c r="F396" s="25" t="s">
        <v>69</v>
      </c>
      <c r="G396" s="26">
        <v>1.0</v>
      </c>
      <c r="H396" s="25" t="s">
        <v>116</v>
      </c>
      <c r="I396" s="25" t="s">
        <v>71</v>
      </c>
      <c r="J396" s="25" t="s">
        <v>318</v>
      </c>
      <c r="K396" s="25" t="s">
        <v>73</v>
      </c>
      <c r="L396" s="25" t="str">
        <f t="shared" si="1"/>
        <v>INDIVIDUAL</v>
      </c>
      <c r="M396" s="25">
        <f t="shared" si="2"/>
        <v>5</v>
      </c>
      <c r="N396" s="25">
        <f t="shared" si="3"/>
        <v>2023</v>
      </c>
      <c r="O396" s="27" t="str">
        <f>VLOOKUP(K396,'CA y tablas'!$B$22:$C$28,2,FALSE)</f>
        <v>AMERICANO</v>
      </c>
      <c r="P396" s="28" t="str">
        <f t="shared" si="4"/>
        <v>S1</v>
      </c>
      <c r="Q396" s="29">
        <v>2.0</v>
      </c>
      <c r="R396" s="29" t="str">
        <f t="shared" si="5"/>
        <v>Q2</v>
      </c>
    </row>
    <row r="397" ht="15.75" customHeight="1">
      <c r="A397" s="30">
        <v>45050.0</v>
      </c>
      <c r="B397" s="31">
        <v>6.561964673E9</v>
      </c>
      <c r="C397" s="32" t="s">
        <v>428</v>
      </c>
      <c r="D397" s="31">
        <v>4.2407131E7</v>
      </c>
      <c r="E397" s="30">
        <v>45058.0</v>
      </c>
      <c r="F397" s="33" t="s">
        <v>69</v>
      </c>
      <c r="G397" s="34">
        <v>1.0</v>
      </c>
      <c r="H397" s="33" t="s">
        <v>116</v>
      </c>
      <c r="I397" s="33" t="s">
        <v>71</v>
      </c>
      <c r="J397" s="33" t="s">
        <v>318</v>
      </c>
      <c r="K397" s="33" t="s">
        <v>73</v>
      </c>
      <c r="L397" s="33" t="str">
        <f t="shared" si="1"/>
        <v>INDIVIDUAL</v>
      </c>
      <c r="M397" s="33">
        <f t="shared" si="2"/>
        <v>5</v>
      </c>
      <c r="N397" s="33">
        <f t="shared" si="3"/>
        <v>2023</v>
      </c>
      <c r="O397" s="35" t="str">
        <f>VLOOKUP(K397,'CA y tablas'!$B$22:$C$28,2,FALSE)</f>
        <v>AMERICANO</v>
      </c>
      <c r="P397" s="28" t="str">
        <f t="shared" si="4"/>
        <v>S1</v>
      </c>
      <c r="Q397" s="29">
        <v>2.0</v>
      </c>
      <c r="R397" s="29" t="str">
        <f t="shared" si="5"/>
        <v>Q2</v>
      </c>
    </row>
    <row r="398" ht="15.75" customHeight="1">
      <c r="A398" s="22">
        <v>45051.0</v>
      </c>
      <c r="B398" s="23">
        <v>3.50294952E9</v>
      </c>
      <c r="C398" s="24" t="s">
        <v>429</v>
      </c>
      <c r="D398" s="23">
        <v>3.9140888E7</v>
      </c>
      <c r="E398" s="22">
        <v>45058.0</v>
      </c>
      <c r="F398" s="25" t="s">
        <v>69</v>
      </c>
      <c r="G398" s="26">
        <v>1.0</v>
      </c>
      <c r="H398" s="25" t="s">
        <v>116</v>
      </c>
      <c r="I398" s="25" t="s">
        <v>71</v>
      </c>
      <c r="J398" s="25" t="s">
        <v>318</v>
      </c>
      <c r="K398" s="25" t="s">
        <v>73</v>
      </c>
      <c r="L398" s="25" t="str">
        <f t="shared" si="1"/>
        <v>INDIVIDUAL</v>
      </c>
      <c r="M398" s="25">
        <f t="shared" si="2"/>
        <v>5</v>
      </c>
      <c r="N398" s="25">
        <f t="shared" si="3"/>
        <v>2023</v>
      </c>
      <c r="O398" s="27" t="str">
        <f>VLOOKUP(K398,'CA y tablas'!$B$22:$C$28,2,FALSE)</f>
        <v>AMERICANO</v>
      </c>
      <c r="P398" s="28" t="str">
        <f t="shared" si="4"/>
        <v>S1</v>
      </c>
      <c r="Q398" s="29">
        <v>2.0</v>
      </c>
      <c r="R398" s="29" t="str">
        <f t="shared" si="5"/>
        <v>Q2</v>
      </c>
    </row>
    <row r="399" ht="15.75" customHeight="1">
      <c r="A399" s="30">
        <v>45055.0</v>
      </c>
      <c r="B399" s="31">
        <v>1.922231006E9</v>
      </c>
      <c r="C399" s="32" t="s">
        <v>430</v>
      </c>
      <c r="D399" s="31">
        <v>1.8186068E7</v>
      </c>
      <c r="E399" s="30">
        <v>45058.0</v>
      </c>
      <c r="F399" s="33" t="s">
        <v>76</v>
      </c>
      <c r="G399" s="34">
        <v>1.0</v>
      </c>
      <c r="H399" s="33" t="s">
        <v>116</v>
      </c>
      <c r="I399" s="33" t="s">
        <v>71</v>
      </c>
      <c r="J399" s="33" t="s">
        <v>318</v>
      </c>
      <c r="K399" s="33" t="s">
        <v>73</v>
      </c>
      <c r="L399" s="33" t="str">
        <f t="shared" si="1"/>
        <v>INDIVIDUAL</v>
      </c>
      <c r="M399" s="33">
        <f t="shared" si="2"/>
        <v>5</v>
      </c>
      <c r="N399" s="33">
        <f t="shared" si="3"/>
        <v>2023</v>
      </c>
      <c r="O399" s="35" t="str">
        <f>VLOOKUP(K399,'CA y tablas'!$B$22:$C$28,2,FALSE)</f>
        <v>AMERICANO</v>
      </c>
      <c r="P399" s="28" t="str">
        <f t="shared" si="4"/>
        <v>S1</v>
      </c>
      <c r="Q399" s="29">
        <v>2.0</v>
      </c>
      <c r="R399" s="29" t="str">
        <f t="shared" si="5"/>
        <v>Q2</v>
      </c>
    </row>
    <row r="400" ht="15.75" customHeight="1">
      <c r="A400" s="22">
        <v>45055.0</v>
      </c>
      <c r="B400" s="23">
        <v>1.274452804E9</v>
      </c>
      <c r="C400" s="24" t="s">
        <v>431</v>
      </c>
      <c r="D400" s="23">
        <v>2.5212907E7</v>
      </c>
      <c r="E400" s="22">
        <v>45058.0</v>
      </c>
      <c r="F400" s="25" t="s">
        <v>69</v>
      </c>
      <c r="G400" s="26">
        <v>1.0</v>
      </c>
      <c r="H400" s="25" t="s">
        <v>116</v>
      </c>
      <c r="I400" s="25" t="s">
        <v>71</v>
      </c>
      <c r="J400" s="25" t="s">
        <v>318</v>
      </c>
      <c r="K400" s="25" t="s">
        <v>73</v>
      </c>
      <c r="L400" s="25" t="str">
        <f t="shared" si="1"/>
        <v>INDIVIDUAL</v>
      </c>
      <c r="M400" s="25">
        <f t="shared" si="2"/>
        <v>5</v>
      </c>
      <c r="N400" s="25">
        <f t="shared" si="3"/>
        <v>2023</v>
      </c>
      <c r="O400" s="27" t="str">
        <f>VLOOKUP(K400,'CA y tablas'!$B$22:$C$28,2,FALSE)</f>
        <v>AMERICANO</v>
      </c>
      <c r="P400" s="28" t="str">
        <f t="shared" si="4"/>
        <v>S1</v>
      </c>
      <c r="Q400" s="29">
        <v>2.0</v>
      </c>
      <c r="R400" s="29" t="str">
        <f t="shared" si="5"/>
        <v>Q2</v>
      </c>
    </row>
    <row r="401" ht="15.75" customHeight="1">
      <c r="A401" s="30">
        <v>45055.0</v>
      </c>
      <c r="B401" s="31">
        <v>2.906094332E9</v>
      </c>
      <c r="C401" s="32" t="s">
        <v>432</v>
      </c>
      <c r="D401" s="31">
        <v>1.2733492E7</v>
      </c>
      <c r="E401" s="30">
        <v>45058.0</v>
      </c>
      <c r="F401" s="33" t="s">
        <v>69</v>
      </c>
      <c r="G401" s="34">
        <v>1.0</v>
      </c>
      <c r="H401" s="33" t="s">
        <v>116</v>
      </c>
      <c r="I401" s="33" t="s">
        <v>71</v>
      </c>
      <c r="J401" s="33" t="s">
        <v>72</v>
      </c>
      <c r="K401" s="33" t="s">
        <v>84</v>
      </c>
      <c r="L401" s="33" t="str">
        <f t="shared" si="1"/>
        <v>INDIVIDUAL</v>
      </c>
      <c r="M401" s="33">
        <f t="shared" si="2"/>
        <v>5</v>
      </c>
      <c r="N401" s="33">
        <f t="shared" si="3"/>
        <v>2023</v>
      </c>
      <c r="O401" s="35" t="str">
        <f>VLOOKUP(K401,'CA y tablas'!$B$22:$C$28,2,FALSE)</f>
        <v>EUROPEO</v>
      </c>
      <c r="P401" s="28" t="str">
        <f t="shared" si="4"/>
        <v>S1</v>
      </c>
      <c r="Q401" s="29">
        <v>2.0</v>
      </c>
      <c r="R401" s="29" t="str">
        <f t="shared" si="5"/>
        <v>Q2</v>
      </c>
    </row>
    <row r="402" ht="15.75" customHeight="1">
      <c r="A402" s="22">
        <v>45058.0</v>
      </c>
      <c r="B402" s="23">
        <v>9.52564795E9</v>
      </c>
      <c r="C402" s="24" t="s">
        <v>433</v>
      </c>
      <c r="D402" s="23">
        <v>1.7600371E7</v>
      </c>
      <c r="E402" s="22">
        <v>45058.0</v>
      </c>
      <c r="F402" s="25" t="s">
        <v>69</v>
      </c>
      <c r="G402" s="26">
        <v>1.0</v>
      </c>
      <c r="H402" s="25" t="s">
        <v>116</v>
      </c>
      <c r="I402" s="25" t="s">
        <v>71</v>
      </c>
      <c r="J402" s="25" t="s">
        <v>72</v>
      </c>
      <c r="K402" s="25" t="s">
        <v>84</v>
      </c>
      <c r="L402" s="25" t="str">
        <f t="shared" si="1"/>
        <v>INDIVIDUAL</v>
      </c>
      <c r="M402" s="25">
        <f t="shared" si="2"/>
        <v>5</v>
      </c>
      <c r="N402" s="25">
        <f t="shared" si="3"/>
        <v>2023</v>
      </c>
      <c r="O402" s="27" t="str">
        <f>VLOOKUP(K402,'CA y tablas'!$B$22:$C$28,2,FALSE)</f>
        <v>EUROPEO</v>
      </c>
      <c r="P402" s="28" t="str">
        <f t="shared" si="4"/>
        <v>S1</v>
      </c>
      <c r="Q402" s="29">
        <v>2.0</v>
      </c>
      <c r="R402" s="29" t="str">
        <f t="shared" si="5"/>
        <v>Q2</v>
      </c>
    </row>
    <row r="403" ht="15.75" customHeight="1">
      <c r="A403" s="30">
        <v>45050.0</v>
      </c>
      <c r="B403" s="31">
        <v>2.838790776E9</v>
      </c>
      <c r="C403" s="32" t="s">
        <v>434</v>
      </c>
      <c r="D403" s="31">
        <v>1.422532E7</v>
      </c>
      <c r="E403" s="30">
        <v>45061.0</v>
      </c>
      <c r="F403" s="33" t="s">
        <v>69</v>
      </c>
      <c r="G403" s="34">
        <v>2.0</v>
      </c>
      <c r="H403" s="33" t="s">
        <v>116</v>
      </c>
      <c r="I403" s="33" t="s">
        <v>71</v>
      </c>
      <c r="J403" s="33" t="s">
        <v>72</v>
      </c>
      <c r="K403" s="33" t="s">
        <v>84</v>
      </c>
      <c r="L403" s="33" t="str">
        <f t="shared" si="1"/>
        <v>FAMILIAR</v>
      </c>
      <c r="M403" s="33">
        <f t="shared" si="2"/>
        <v>5</v>
      </c>
      <c r="N403" s="33">
        <f t="shared" si="3"/>
        <v>2023</v>
      </c>
      <c r="O403" s="35" t="str">
        <f>VLOOKUP(K403,'CA y tablas'!$B$22:$C$28,2,FALSE)</f>
        <v>EUROPEO</v>
      </c>
      <c r="P403" s="28" t="str">
        <f t="shared" si="4"/>
        <v>S1</v>
      </c>
      <c r="Q403" s="29">
        <v>2.0</v>
      </c>
      <c r="R403" s="29" t="str">
        <f t="shared" si="5"/>
        <v>Q2</v>
      </c>
    </row>
    <row r="404" ht="15.75" customHeight="1">
      <c r="A404" s="22">
        <v>45050.0</v>
      </c>
      <c r="B404" s="23">
        <v>4.631990451E9</v>
      </c>
      <c r="C404" s="24" t="s">
        <v>435</v>
      </c>
      <c r="D404" s="23">
        <v>4.3026347E7</v>
      </c>
      <c r="E404" s="22">
        <v>45061.0</v>
      </c>
      <c r="F404" s="25" t="s">
        <v>69</v>
      </c>
      <c r="G404" s="26">
        <v>2.0</v>
      </c>
      <c r="H404" s="25" t="s">
        <v>116</v>
      </c>
      <c r="I404" s="25" t="s">
        <v>71</v>
      </c>
      <c r="J404" s="25" t="s">
        <v>72</v>
      </c>
      <c r="K404" s="25" t="s">
        <v>84</v>
      </c>
      <c r="L404" s="25" t="str">
        <f t="shared" si="1"/>
        <v>FAMILIAR</v>
      </c>
      <c r="M404" s="25">
        <f t="shared" si="2"/>
        <v>5</v>
      </c>
      <c r="N404" s="25">
        <f t="shared" si="3"/>
        <v>2023</v>
      </c>
      <c r="O404" s="27" t="str">
        <f>VLOOKUP(K404,'CA y tablas'!$B$22:$C$28,2,FALSE)</f>
        <v>EUROPEO</v>
      </c>
      <c r="P404" s="28" t="str">
        <f t="shared" si="4"/>
        <v>S1</v>
      </c>
      <c r="Q404" s="29">
        <v>2.0</v>
      </c>
      <c r="R404" s="29" t="str">
        <f t="shared" si="5"/>
        <v>Q2</v>
      </c>
    </row>
    <row r="405" ht="15.75" customHeight="1">
      <c r="A405" s="30">
        <v>45050.0</v>
      </c>
      <c r="B405" s="31">
        <v>1.00532285E9</v>
      </c>
      <c r="C405" s="32" t="s">
        <v>435</v>
      </c>
      <c r="D405" s="31">
        <v>4.3026347E7</v>
      </c>
      <c r="E405" s="30">
        <v>45061.0</v>
      </c>
      <c r="F405" s="33" t="s">
        <v>69</v>
      </c>
      <c r="G405" s="34">
        <v>2.0</v>
      </c>
      <c r="H405" s="33" t="s">
        <v>116</v>
      </c>
      <c r="I405" s="33" t="s">
        <v>71</v>
      </c>
      <c r="J405" s="33" t="s">
        <v>72</v>
      </c>
      <c r="K405" s="33" t="s">
        <v>84</v>
      </c>
      <c r="L405" s="33" t="str">
        <f t="shared" si="1"/>
        <v>FAMILIAR</v>
      </c>
      <c r="M405" s="33">
        <f t="shared" si="2"/>
        <v>5</v>
      </c>
      <c r="N405" s="33">
        <f t="shared" si="3"/>
        <v>2023</v>
      </c>
      <c r="O405" s="35" t="str">
        <f>VLOOKUP(K405,'CA y tablas'!$B$22:$C$28,2,FALSE)</f>
        <v>EUROPEO</v>
      </c>
      <c r="P405" s="28" t="str">
        <f t="shared" si="4"/>
        <v>S1</v>
      </c>
      <c r="Q405" s="29">
        <v>2.0</v>
      </c>
      <c r="R405" s="29" t="str">
        <f t="shared" si="5"/>
        <v>Q2</v>
      </c>
    </row>
    <row r="406" ht="15.75" customHeight="1">
      <c r="A406" s="22">
        <v>45051.0</v>
      </c>
      <c r="B406" s="23">
        <v>2.168635066E9</v>
      </c>
      <c r="C406" s="24" t="s">
        <v>436</v>
      </c>
      <c r="D406" s="23">
        <v>5775910.0</v>
      </c>
      <c r="E406" s="22">
        <v>45061.0</v>
      </c>
      <c r="F406" s="25" t="s">
        <v>76</v>
      </c>
      <c r="G406" s="26">
        <v>2.0</v>
      </c>
      <c r="H406" s="25" t="s">
        <v>112</v>
      </c>
      <c r="I406" s="25" t="s">
        <v>71</v>
      </c>
      <c r="J406" s="25" t="s">
        <v>72</v>
      </c>
      <c r="K406" s="25" t="s">
        <v>103</v>
      </c>
      <c r="L406" s="25" t="str">
        <f t="shared" si="1"/>
        <v>FAMILIAR</v>
      </c>
      <c r="M406" s="25">
        <f t="shared" si="2"/>
        <v>5</v>
      </c>
      <c r="N406" s="25">
        <f t="shared" si="3"/>
        <v>2023</v>
      </c>
      <c r="O406" s="27" t="str">
        <f>VLOOKUP(K406,'CA y tablas'!$B$22:$C$28,2,FALSE)</f>
        <v>EUROPEO</v>
      </c>
      <c r="P406" s="28" t="str">
        <f t="shared" si="4"/>
        <v>S1</v>
      </c>
      <c r="Q406" s="29">
        <v>2.0</v>
      </c>
      <c r="R406" s="29" t="str">
        <f t="shared" si="5"/>
        <v>Q2</v>
      </c>
    </row>
    <row r="407" ht="15.75" customHeight="1">
      <c r="A407" s="30">
        <v>45051.0</v>
      </c>
      <c r="B407" s="31">
        <v>7.13814493E9</v>
      </c>
      <c r="C407" s="32" t="s">
        <v>437</v>
      </c>
      <c r="D407" s="31">
        <v>2.9877812E7</v>
      </c>
      <c r="E407" s="30">
        <v>45061.0</v>
      </c>
      <c r="F407" s="33" t="s">
        <v>69</v>
      </c>
      <c r="G407" s="34">
        <v>3.0</v>
      </c>
      <c r="H407" s="33" t="s">
        <v>112</v>
      </c>
      <c r="I407" s="33" t="s">
        <v>71</v>
      </c>
      <c r="J407" s="33" t="s">
        <v>72</v>
      </c>
      <c r="K407" s="33" t="s">
        <v>103</v>
      </c>
      <c r="L407" s="33" t="str">
        <f t="shared" si="1"/>
        <v>FAMILIAR</v>
      </c>
      <c r="M407" s="33">
        <f t="shared" si="2"/>
        <v>5</v>
      </c>
      <c r="N407" s="33">
        <f t="shared" si="3"/>
        <v>2023</v>
      </c>
      <c r="O407" s="35" t="str">
        <f>VLOOKUP(K407,'CA y tablas'!$B$22:$C$28,2,FALSE)</f>
        <v>EUROPEO</v>
      </c>
      <c r="P407" s="28" t="str">
        <f t="shared" si="4"/>
        <v>S1</v>
      </c>
      <c r="Q407" s="29">
        <v>2.0</v>
      </c>
      <c r="R407" s="29" t="str">
        <f t="shared" si="5"/>
        <v>Q2</v>
      </c>
    </row>
    <row r="408" ht="15.75" customHeight="1">
      <c r="A408" s="22">
        <v>45055.0</v>
      </c>
      <c r="B408" s="23">
        <v>2.906088441E9</v>
      </c>
      <c r="C408" s="24" t="s">
        <v>437</v>
      </c>
      <c r="D408" s="23">
        <v>2.9877812E7</v>
      </c>
      <c r="E408" s="22">
        <v>45061.0</v>
      </c>
      <c r="F408" s="25" t="s">
        <v>69</v>
      </c>
      <c r="G408" s="26">
        <v>3.0</v>
      </c>
      <c r="H408" s="25" t="s">
        <v>112</v>
      </c>
      <c r="I408" s="25" t="s">
        <v>71</v>
      </c>
      <c r="J408" s="25" t="s">
        <v>72</v>
      </c>
      <c r="K408" s="25" t="s">
        <v>103</v>
      </c>
      <c r="L408" s="25" t="str">
        <f t="shared" si="1"/>
        <v>FAMILIAR</v>
      </c>
      <c r="M408" s="25">
        <f t="shared" si="2"/>
        <v>5</v>
      </c>
      <c r="N408" s="25">
        <f t="shared" si="3"/>
        <v>2023</v>
      </c>
      <c r="O408" s="27" t="str">
        <f>VLOOKUP(K408,'CA y tablas'!$B$22:$C$28,2,FALSE)</f>
        <v>EUROPEO</v>
      </c>
      <c r="P408" s="28" t="str">
        <f t="shared" si="4"/>
        <v>S1</v>
      </c>
      <c r="Q408" s="29">
        <v>2.0</v>
      </c>
      <c r="R408" s="29" t="str">
        <f t="shared" si="5"/>
        <v>Q2</v>
      </c>
    </row>
    <row r="409" ht="15.75" customHeight="1">
      <c r="A409" s="30">
        <v>45055.0</v>
      </c>
      <c r="B409" s="31">
        <v>5.875215393E9</v>
      </c>
      <c r="C409" s="32" t="s">
        <v>438</v>
      </c>
      <c r="D409" s="31">
        <v>3.8023859E7</v>
      </c>
      <c r="E409" s="30">
        <v>45061.0</v>
      </c>
      <c r="F409" s="33" t="s">
        <v>69</v>
      </c>
      <c r="G409" s="34">
        <v>2.0</v>
      </c>
      <c r="H409" s="33" t="s">
        <v>112</v>
      </c>
      <c r="I409" s="33" t="s">
        <v>71</v>
      </c>
      <c r="J409" s="33" t="s">
        <v>72</v>
      </c>
      <c r="K409" s="33" t="s">
        <v>99</v>
      </c>
      <c r="L409" s="33" t="str">
        <f t="shared" si="1"/>
        <v>FAMILIAR</v>
      </c>
      <c r="M409" s="33">
        <f t="shared" si="2"/>
        <v>5</v>
      </c>
      <c r="N409" s="33">
        <f t="shared" si="3"/>
        <v>2023</v>
      </c>
      <c r="O409" s="35" t="str">
        <f>VLOOKUP(K409,'CA y tablas'!$B$22:$C$28,2,FALSE)</f>
        <v>EUROPEO</v>
      </c>
      <c r="P409" s="28" t="str">
        <f t="shared" si="4"/>
        <v>S1</v>
      </c>
      <c r="Q409" s="29">
        <v>2.0</v>
      </c>
      <c r="R409" s="29" t="str">
        <f t="shared" si="5"/>
        <v>Q2</v>
      </c>
    </row>
    <row r="410" ht="15.75" customHeight="1">
      <c r="A410" s="22">
        <v>45055.0</v>
      </c>
      <c r="B410" s="23">
        <v>6.186912944E9</v>
      </c>
      <c r="C410" s="24" t="s">
        <v>439</v>
      </c>
      <c r="D410" s="23">
        <v>3.5921703E7</v>
      </c>
      <c r="E410" s="22">
        <v>45061.0</v>
      </c>
      <c r="F410" s="25" t="s">
        <v>69</v>
      </c>
      <c r="G410" s="26">
        <v>2.0</v>
      </c>
      <c r="H410" s="25" t="s">
        <v>112</v>
      </c>
      <c r="I410" s="25" t="s">
        <v>71</v>
      </c>
      <c r="J410" s="25" t="s">
        <v>72</v>
      </c>
      <c r="K410" s="25" t="s">
        <v>99</v>
      </c>
      <c r="L410" s="25" t="str">
        <f t="shared" si="1"/>
        <v>FAMILIAR</v>
      </c>
      <c r="M410" s="25">
        <f t="shared" si="2"/>
        <v>5</v>
      </c>
      <c r="N410" s="25">
        <f t="shared" si="3"/>
        <v>2023</v>
      </c>
      <c r="O410" s="27" t="str">
        <f>VLOOKUP(K410,'CA y tablas'!$B$22:$C$28,2,FALSE)</f>
        <v>EUROPEO</v>
      </c>
      <c r="P410" s="28" t="str">
        <f t="shared" si="4"/>
        <v>S1</v>
      </c>
      <c r="Q410" s="29">
        <v>2.0</v>
      </c>
      <c r="R410" s="29" t="str">
        <f t="shared" si="5"/>
        <v>Q2</v>
      </c>
    </row>
    <row r="411" ht="15.75" customHeight="1">
      <c r="A411" s="30">
        <v>45057.0</v>
      </c>
      <c r="B411" s="31">
        <v>4.160562932E9</v>
      </c>
      <c r="C411" s="32" t="s">
        <v>440</v>
      </c>
      <c r="D411" s="31">
        <v>2.5510068E7</v>
      </c>
      <c r="E411" s="30">
        <v>45061.0</v>
      </c>
      <c r="F411" s="33" t="s">
        <v>69</v>
      </c>
      <c r="G411" s="34">
        <v>2.0</v>
      </c>
      <c r="H411" s="33" t="s">
        <v>112</v>
      </c>
      <c r="I411" s="33" t="s">
        <v>71</v>
      </c>
      <c r="J411" s="33" t="s">
        <v>72</v>
      </c>
      <c r="K411" s="33" t="s">
        <v>99</v>
      </c>
      <c r="L411" s="33" t="str">
        <f t="shared" si="1"/>
        <v>FAMILIAR</v>
      </c>
      <c r="M411" s="33">
        <f t="shared" si="2"/>
        <v>5</v>
      </c>
      <c r="N411" s="33">
        <f t="shared" si="3"/>
        <v>2023</v>
      </c>
      <c r="O411" s="35" t="str">
        <f>VLOOKUP(K411,'CA y tablas'!$B$22:$C$28,2,FALSE)</f>
        <v>EUROPEO</v>
      </c>
      <c r="P411" s="28" t="str">
        <f t="shared" si="4"/>
        <v>S1</v>
      </c>
      <c r="Q411" s="29">
        <v>2.0</v>
      </c>
      <c r="R411" s="29" t="str">
        <f t="shared" si="5"/>
        <v>Q2</v>
      </c>
    </row>
    <row r="412" ht="15.75" customHeight="1">
      <c r="A412" s="22">
        <v>45058.0</v>
      </c>
      <c r="B412" s="23">
        <v>2.879824286E9</v>
      </c>
      <c r="C412" s="24" t="s">
        <v>441</v>
      </c>
      <c r="D412" s="23">
        <v>4.0727676E7</v>
      </c>
      <c r="E412" s="22">
        <v>45061.0</v>
      </c>
      <c r="F412" s="25" t="s">
        <v>69</v>
      </c>
      <c r="G412" s="26">
        <v>2.0</v>
      </c>
      <c r="H412" s="25" t="s">
        <v>112</v>
      </c>
      <c r="I412" s="25" t="s">
        <v>71</v>
      </c>
      <c r="J412" s="25" t="s">
        <v>72</v>
      </c>
      <c r="K412" s="25" t="s">
        <v>99</v>
      </c>
      <c r="L412" s="25" t="str">
        <f t="shared" si="1"/>
        <v>FAMILIAR</v>
      </c>
      <c r="M412" s="25">
        <f t="shared" si="2"/>
        <v>5</v>
      </c>
      <c r="N412" s="25">
        <f t="shared" si="3"/>
        <v>2023</v>
      </c>
      <c r="O412" s="27" t="str">
        <f>VLOOKUP(K412,'CA y tablas'!$B$22:$C$28,2,FALSE)</f>
        <v>EUROPEO</v>
      </c>
      <c r="P412" s="28" t="str">
        <f t="shared" si="4"/>
        <v>S1</v>
      </c>
      <c r="Q412" s="29">
        <v>2.0</v>
      </c>
      <c r="R412" s="29" t="str">
        <f t="shared" si="5"/>
        <v>Q2</v>
      </c>
    </row>
    <row r="413" ht="15.75" customHeight="1">
      <c r="A413" s="30">
        <v>45058.0</v>
      </c>
      <c r="B413" s="31">
        <v>1.923874525E9</v>
      </c>
      <c r="C413" s="32" t="s">
        <v>442</v>
      </c>
      <c r="D413" s="31">
        <v>5260698.0</v>
      </c>
      <c r="E413" s="30">
        <v>45061.0</v>
      </c>
      <c r="F413" s="33" t="s">
        <v>69</v>
      </c>
      <c r="G413" s="34">
        <v>3.0</v>
      </c>
      <c r="H413" s="33" t="s">
        <v>92</v>
      </c>
      <c r="I413" s="33" t="s">
        <v>71</v>
      </c>
      <c r="J413" s="33" t="s">
        <v>72</v>
      </c>
      <c r="K413" s="33" t="s">
        <v>84</v>
      </c>
      <c r="L413" s="33" t="str">
        <f t="shared" si="1"/>
        <v>FAMILIAR</v>
      </c>
      <c r="M413" s="33">
        <f t="shared" si="2"/>
        <v>5</v>
      </c>
      <c r="N413" s="33">
        <f t="shared" si="3"/>
        <v>2023</v>
      </c>
      <c r="O413" s="35" t="str">
        <f>VLOOKUP(K413,'CA y tablas'!$B$22:$C$28,2,FALSE)</f>
        <v>EUROPEO</v>
      </c>
      <c r="P413" s="28" t="str">
        <f t="shared" si="4"/>
        <v>S1</v>
      </c>
      <c r="Q413" s="29">
        <v>2.0</v>
      </c>
      <c r="R413" s="29" t="str">
        <f t="shared" si="5"/>
        <v>Q2</v>
      </c>
    </row>
    <row r="414" ht="15.75" customHeight="1">
      <c r="A414" s="22">
        <v>45042.0</v>
      </c>
      <c r="B414" s="23">
        <v>1.370198126E9</v>
      </c>
      <c r="C414" s="24" t="s">
        <v>443</v>
      </c>
      <c r="D414" s="23">
        <v>2.0219898E7</v>
      </c>
      <c r="E414" s="22">
        <v>45062.0</v>
      </c>
      <c r="F414" s="25" t="s">
        <v>69</v>
      </c>
      <c r="G414" s="26">
        <v>3.0</v>
      </c>
      <c r="H414" s="25" t="s">
        <v>92</v>
      </c>
      <c r="I414" s="25" t="s">
        <v>71</v>
      </c>
      <c r="J414" s="25" t="s">
        <v>72</v>
      </c>
      <c r="K414" s="25" t="s">
        <v>84</v>
      </c>
      <c r="L414" s="25" t="str">
        <f t="shared" si="1"/>
        <v>FAMILIAR</v>
      </c>
      <c r="M414" s="25">
        <f t="shared" si="2"/>
        <v>5</v>
      </c>
      <c r="N414" s="25">
        <f t="shared" si="3"/>
        <v>2023</v>
      </c>
      <c r="O414" s="27" t="str">
        <f>VLOOKUP(K414,'CA y tablas'!$B$22:$C$28,2,FALSE)</f>
        <v>EUROPEO</v>
      </c>
      <c r="P414" s="28" t="str">
        <f t="shared" si="4"/>
        <v>S1</v>
      </c>
      <c r="Q414" s="29">
        <v>2.0</v>
      </c>
      <c r="R414" s="29" t="str">
        <f t="shared" si="5"/>
        <v>Q2</v>
      </c>
    </row>
    <row r="415" ht="15.75" customHeight="1">
      <c r="A415" s="30">
        <v>45055.0</v>
      </c>
      <c r="B415" s="31">
        <v>1.922190885E9</v>
      </c>
      <c r="C415" s="32" t="s">
        <v>444</v>
      </c>
      <c r="D415" s="31">
        <v>3.5921491E7</v>
      </c>
      <c r="E415" s="30">
        <v>45062.0</v>
      </c>
      <c r="F415" s="33" t="s">
        <v>76</v>
      </c>
      <c r="G415" s="34">
        <v>2.0</v>
      </c>
      <c r="H415" s="33" t="s">
        <v>92</v>
      </c>
      <c r="I415" s="33" t="s">
        <v>88</v>
      </c>
      <c r="J415" s="33" t="s">
        <v>72</v>
      </c>
      <c r="K415" s="33" t="s">
        <v>84</v>
      </c>
      <c r="L415" s="33" t="str">
        <f t="shared" si="1"/>
        <v>FAMILIAR</v>
      </c>
      <c r="M415" s="33">
        <f t="shared" si="2"/>
        <v>5</v>
      </c>
      <c r="N415" s="33">
        <f t="shared" si="3"/>
        <v>2023</v>
      </c>
      <c r="O415" s="35" t="str">
        <f>VLOOKUP(K415,'CA y tablas'!$B$22:$C$28,2,FALSE)</f>
        <v>EUROPEO</v>
      </c>
      <c r="P415" s="28" t="str">
        <f t="shared" si="4"/>
        <v>S1</v>
      </c>
      <c r="Q415" s="29">
        <v>2.0</v>
      </c>
      <c r="R415" s="29" t="str">
        <f t="shared" si="5"/>
        <v>Q2</v>
      </c>
    </row>
    <row r="416" ht="15.75" customHeight="1">
      <c r="A416" s="22">
        <v>45055.0</v>
      </c>
      <c r="B416" s="23">
        <v>1.04172411E9</v>
      </c>
      <c r="C416" s="24" t="s">
        <v>444</v>
      </c>
      <c r="D416" s="23">
        <v>3.5921491E7</v>
      </c>
      <c r="E416" s="22">
        <v>45062.0</v>
      </c>
      <c r="F416" s="25" t="s">
        <v>69</v>
      </c>
      <c r="G416" s="26">
        <v>2.0</v>
      </c>
      <c r="H416" s="25" t="s">
        <v>92</v>
      </c>
      <c r="I416" s="25" t="s">
        <v>88</v>
      </c>
      <c r="J416" s="25" t="s">
        <v>83</v>
      </c>
      <c r="K416" s="25" t="s">
        <v>84</v>
      </c>
      <c r="L416" s="25" t="str">
        <f t="shared" si="1"/>
        <v>FAMILIAR</v>
      </c>
      <c r="M416" s="25">
        <f t="shared" si="2"/>
        <v>5</v>
      </c>
      <c r="N416" s="25">
        <f t="shared" si="3"/>
        <v>2023</v>
      </c>
      <c r="O416" s="27" t="str">
        <f>VLOOKUP(K416,'CA y tablas'!$B$22:$C$28,2,FALSE)</f>
        <v>EUROPEO</v>
      </c>
      <c r="P416" s="28" t="str">
        <f t="shared" si="4"/>
        <v>S1</v>
      </c>
      <c r="Q416" s="29">
        <v>2.0</v>
      </c>
      <c r="R416" s="29" t="str">
        <f t="shared" si="5"/>
        <v>Q2</v>
      </c>
    </row>
    <row r="417" ht="15.75" customHeight="1">
      <c r="A417" s="30">
        <v>45055.0</v>
      </c>
      <c r="B417" s="31">
        <v>2.906023466E9</v>
      </c>
      <c r="C417" s="32" t="s">
        <v>445</v>
      </c>
      <c r="D417" s="31">
        <v>3.3609122E7</v>
      </c>
      <c r="E417" s="30">
        <v>45062.0</v>
      </c>
      <c r="F417" s="33" t="s">
        <v>76</v>
      </c>
      <c r="G417" s="34">
        <v>1.0</v>
      </c>
      <c r="H417" s="33" t="s">
        <v>92</v>
      </c>
      <c r="I417" s="33" t="s">
        <v>88</v>
      </c>
      <c r="J417" s="33" t="s">
        <v>83</v>
      </c>
      <c r="K417" s="33" t="s">
        <v>84</v>
      </c>
      <c r="L417" s="33" t="str">
        <f t="shared" si="1"/>
        <v>INDIVIDUAL</v>
      </c>
      <c r="M417" s="33">
        <f t="shared" si="2"/>
        <v>5</v>
      </c>
      <c r="N417" s="33">
        <f t="shared" si="3"/>
        <v>2023</v>
      </c>
      <c r="O417" s="35" t="str">
        <f>VLOOKUP(K417,'CA y tablas'!$B$22:$C$28,2,FALSE)</f>
        <v>EUROPEO</v>
      </c>
      <c r="P417" s="28" t="str">
        <f t="shared" si="4"/>
        <v>S1</v>
      </c>
      <c r="Q417" s="29">
        <v>2.0</v>
      </c>
      <c r="R417" s="29" t="str">
        <f t="shared" si="5"/>
        <v>Q2</v>
      </c>
    </row>
    <row r="418" ht="15.75" customHeight="1">
      <c r="A418" s="22">
        <v>45055.0</v>
      </c>
      <c r="B418" s="23">
        <v>2.9060626E9</v>
      </c>
      <c r="C418" s="24" t="s">
        <v>446</v>
      </c>
      <c r="D418" s="23">
        <v>3.7725384E7</v>
      </c>
      <c r="E418" s="22">
        <v>45062.0</v>
      </c>
      <c r="F418" s="25" t="s">
        <v>69</v>
      </c>
      <c r="G418" s="26">
        <v>1.0</v>
      </c>
      <c r="H418" s="25" t="s">
        <v>92</v>
      </c>
      <c r="I418" s="25" t="s">
        <v>88</v>
      </c>
      <c r="J418" s="25" t="s">
        <v>83</v>
      </c>
      <c r="K418" s="25" t="s">
        <v>84</v>
      </c>
      <c r="L418" s="25" t="str">
        <f t="shared" si="1"/>
        <v>INDIVIDUAL</v>
      </c>
      <c r="M418" s="25">
        <f t="shared" si="2"/>
        <v>5</v>
      </c>
      <c r="N418" s="25">
        <f t="shared" si="3"/>
        <v>2023</v>
      </c>
      <c r="O418" s="27" t="str">
        <f>VLOOKUP(K418,'CA y tablas'!$B$22:$C$28,2,FALSE)</f>
        <v>EUROPEO</v>
      </c>
      <c r="P418" s="28" t="str">
        <f t="shared" si="4"/>
        <v>S1</v>
      </c>
      <c r="Q418" s="29">
        <v>2.0</v>
      </c>
      <c r="R418" s="29" t="str">
        <f t="shared" si="5"/>
        <v>Q2</v>
      </c>
    </row>
    <row r="419" ht="15.75" customHeight="1">
      <c r="A419" s="30">
        <v>45058.0</v>
      </c>
      <c r="B419" s="31">
        <v>4.743595964E9</v>
      </c>
      <c r="C419" s="32" t="s">
        <v>447</v>
      </c>
      <c r="D419" s="31">
        <v>2.5881767E7</v>
      </c>
      <c r="E419" s="30">
        <v>45062.0</v>
      </c>
      <c r="F419" s="33" t="s">
        <v>76</v>
      </c>
      <c r="G419" s="34">
        <v>1.0</v>
      </c>
      <c r="H419" s="33" t="s">
        <v>106</v>
      </c>
      <c r="I419" s="33" t="s">
        <v>88</v>
      </c>
      <c r="J419" s="33" t="s">
        <v>83</v>
      </c>
      <c r="K419" s="33" t="s">
        <v>84</v>
      </c>
      <c r="L419" s="33" t="str">
        <f t="shared" si="1"/>
        <v>INDIVIDUAL</v>
      </c>
      <c r="M419" s="33">
        <f t="shared" si="2"/>
        <v>5</v>
      </c>
      <c r="N419" s="33">
        <f t="shared" si="3"/>
        <v>2023</v>
      </c>
      <c r="O419" s="35" t="str">
        <f>VLOOKUP(K419,'CA y tablas'!$B$22:$C$28,2,FALSE)</f>
        <v>EUROPEO</v>
      </c>
      <c r="P419" s="28" t="str">
        <f t="shared" si="4"/>
        <v>S1</v>
      </c>
      <c r="Q419" s="29">
        <v>2.0</v>
      </c>
      <c r="R419" s="29" t="str">
        <f t="shared" si="5"/>
        <v>Q2</v>
      </c>
    </row>
    <row r="420" ht="15.75" customHeight="1">
      <c r="A420" s="22">
        <v>45058.0</v>
      </c>
      <c r="B420" s="23">
        <v>3.352797114E9</v>
      </c>
      <c r="C420" s="24" t="s">
        <v>448</v>
      </c>
      <c r="D420" s="23">
        <v>2.6137559E7</v>
      </c>
      <c r="E420" s="22">
        <v>45062.0</v>
      </c>
      <c r="F420" s="25" t="s">
        <v>76</v>
      </c>
      <c r="G420" s="26">
        <v>1.0</v>
      </c>
      <c r="H420" s="25" t="s">
        <v>106</v>
      </c>
      <c r="I420" s="25" t="s">
        <v>88</v>
      </c>
      <c r="J420" s="25" t="s">
        <v>83</v>
      </c>
      <c r="K420" s="25" t="s">
        <v>84</v>
      </c>
      <c r="L420" s="25" t="str">
        <f t="shared" si="1"/>
        <v>INDIVIDUAL</v>
      </c>
      <c r="M420" s="25">
        <f t="shared" si="2"/>
        <v>5</v>
      </c>
      <c r="N420" s="25">
        <f t="shared" si="3"/>
        <v>2023</v>
      </c>
      <c r="O420" s="27" t="str">
        <f>VLOOKUP(K420,'CA y tablas'!$B$22:$C$28,2,FALSE)</f>
        <v>EUROPEO</v>
      </c>
      <c r="P420" s="28" t="str">
        <f t="shared" si="4"/>
        <v>S1</v>
      </c>
      <c r="Q420" s="29">
        <v>2.0</v>
      </c>
      <c r="R420" s="29" t="str">
        <f t="shared" si="5"/>
        <v>Q2</v>
      </c>
    </row>
    <row r="421" ht="15.75" customHeight="1">
      <c r="A421" s="30">
        <v>45058.0</v>
      </c>
      <c r="B421" s="31">
        <v>7.19408277E9</v>
      </c>
      <c r="C421" s="32" t="s">
        <v>449</v>
      </c>
      <c r="D421" s="31">
        <v>1.6933141E7</v>
      </c>
      <c r="E421" s="30">
        <v>45062.0</v>
      </c>
      <c r="F421" s="33" t="s">
        <v>76</v>
      </c>
      <c r="G421" s="34">
        <v>1.0</v>
      </c>
      <c r="H421" s="33" t="s">
        <v>106</v>
      </c>
      <c r="I421" s="33" t="s">
        <v>88</v>
      </c>
      <c r="J421" s="33" t="s">
        <v>83</v>
      </c>
      <c r="K421" s="33" t="s">
        <v>84</v>
      </c>
      <c r="L421" s="33" t="str">
        <f t="shared" si="1"/>
        <v>INDIVIDUAL</v>
      </c>
      <c r="M421" s="33">
        <f t="shared" si="2"/>
        <v>5</v>
      </c>
      <c r="N421" s="33">
        <f t="shared" si="3"/>
        <v>2023</v>
      </c>
      <c r="O421" s="35" t="str">
        <f>VLOOKUP(K421,'CA y tablas'!$B$22:$C$28,2,FALSE)</f>
        <v>EUROPEO</v>
      </c>
      <c r="P421" s="28" t="str">
        <f t="shared" si="4"/>
        <v>S1</v>
      </c>
      <c r="Q421" s="29">
        <v>2.0</v>
      </c>
      <c r="R421" s="29" t="str">
        <f t="shared" si="5"/>
        <v>Q2</v>
      </c>
    </row>
    <row r="422" ht="15.75" customHeight="1">
      <c r="A422" s="22">
        <v>45058.0</v>
      </c>
      <c r="B422" s="23">
        <v>1.923874805E9</v>
      </c>
      <c r="C422" s="24" t="s">
        <v>450</v>
      </c>
      <c r="D422" s="23">
        <v>4.027452E7</v>
      </c>
      <c r="E422" s="22">
        <v>45062.0</v>
      </c>
      <c r="F422" s="25" t="s">
        <v>69</v>
      </c>
      <c r="G422" s="26">
        <v>2.0</v>
      </c>
      <c r="H422" s="25" t="s">
        <v>106</v>
      </c>
      <c r="I422" s="25" t="s">
        <v>71</v>
      </c>
      <c r="J422" s="25" t="s">
        <v>83</v>
      </c>
      <c r="K422" s="25" t="s">
        <v>84</v>
      </c>
      <c r="L422" s="25" t="str">
        <f t="shared" si="1"/>
        <v>FAMILIAR</v>
      </c>
      <c r="M422" s="25">
        <f t="shared" si="2"/>
        <v>5</v>
      </c>
      <c r="N422" s="25">
        <f t="shared" si="3"/>
        <v>2023</v>
      </c>
      <c r="O422" s="27" t="str">
        <f>VLOOKUP(K422,'CA y tablas'!$B$22:$C$28,2,FALSE)</f>
        <v>EUROPEO</v>
      </c>
      <c r="P422" s="28" t="str">
        <f t="shared" si="4"/>
        <v>S1</v>
      </c>
      <c r="Q422" s="29">
        <v>2.0</v>
      </c>
      <c r="R422" s="29" t="str">
        <f t="shared" si="5"/>
        <v>Q2</v>
      </c>
    </row>
    <row r="423" ht="15.75" customHeight="1">
      <c r="A423" s="30">
        <v>45062.0</v>
      </c>
      <c r="B423" s="31">
        <v>9.026856053E9</v>
      </c>
      <c r="C423" s="32" t="s">
        <v>451</v>
      </c>
      <c r="D423" s="31">
        <v>1.3338766E7</v>
      </c>
      <c r="E423" s="30">
        <v>45062.0</v>
      </c>
      <c r="F423" s="33" t="s">
        <v>76</v>
      </c>
      <c r="G423" s="34">
        <v>2.0</v>
      </c>
      <c r="H423" s="33" t="s">
        <v>112</v>
      </c>
      <c r="I423" s="33" t="s">
        <v>71</v>
      </c>
      <c r="J423" s="33" t="s">
        <v>83</v>
      </c>
      <c r="K423" s="33" t="s">
        <v>84</v>
      </c>
      <c r="L423" s="33" t="str">
        <f t="shared" si="1"/>
        <v>FAMILIAR</v>
      </c>
      <c r="M423" s="33">
        <f t="shared" si="2"/>
        <v>5</v>
      </c>
      <c r="N423" s="33">
        <f t="shared" si="3"/>
        <v>2023</v>
      </c>
      <c r="O423" s="35" t="str">
        <f>VLOOKUP(K423,'CA y tablas'!$B$22:$C$28,2,FALSE)</f>
        <v>EUROPEO</v>
      </c>
      <c r="P423" s="28" t="str">
        <f t="shared" si="4"/>
        <v>S1</v>
      </c>
      <c r="Q423" s="29">
        <v>2.0</v>
      </c>
      <c r="R423" s="29" t="str">
        <f t="shared" si="5"/>
        <v>Q2</v>
      </c>
    </row>
    <row r="424" ht="15.75" customHeight="1">
      <c r="A424" s="22">
        <v>45062.0</v>
      </c>
      <c r="B424" s="23">
        <v>2.404251916E9</v>
      </c>
      <c r="C424" s="24" t="s">
        <v>452</v>
      </c>
      <c r="D424" s="23">
        <v>3.3815883E7</v>
      </c>
      <c r="E424" s="22">
        <v>45062.0</v>
      </c>
      <c r="F424" s="25" t="s">
        <v>69</v>
      </c>
      <c r="G424" s="26">
        <v>3.0</v>
      </c>
      <c r="H424" s="25" t="s">
        <v>112</v>
      </c>
      <c r="I424" s="25" t="s">
        <v>71</v>
      </c>
      <c r="J424" s="25" t="s">
        <v>83</v>
      </c>
      <c r="K424" s="25" t="s">
        <v>73</v>
      </c>
      <c r="L424" s="25" t="str">
        <f t="shared" si="1"/>
        <v>FAMILIAR</v>
      </c>
      <c r="M424" s="25">
        <f t="shared" si="2"/>
        <v>5</v>
      </c>
      <c r="N424" s="25">
        <f t="shared" si="3"/>
        <v>2023</v>
      </c>
      <c r="O424" s="27" t="str">
        <f>VLOOKUP(K424,'CA y tablas'!$B$22:$C$28,2,FALSE)</f>
        <v>AMERICANO</v>
      </c>
      <c r="P424" s="28" t="str">
        <f t="shared" si="4"/>
        <v>S1</v>
      </c>
      <c r="Q424" s="29">
        <v>2.0</v>
      </c>
      <c r="R424" s="29" t="str">
        <f t="shared" si="5"/>
        <v>Q2</v>
      </c>
    </row>
    <row r="425" ht="15.75" customHeight="1">
      <c r="A425" s="30">
        <v>45062.0</v>
      </c>
      <c r="B425" s="31">
        <v>4.2581742E9</v>
      </c>
      <c r="C425" s="32" t="s">
        <v>453</v>
      </c>
      <c r="D425" s="31">
        <v>3.7457036E7</v>
      </c>
      <c r="E425" s="30">
        <v>45062.0</v>
      </c>
      <c r="F425" s="33" t="s">
        <v>69</v>
      </c>
      <c r="G425" s="34">
        <v>3.0</v>
      </c>
      <c r="H425" s="33" t="s">
        <v>112</v>
      </c>
      <c r="I425" s="33" t="s">
        <v>71</v>
      </c>
      <c r="J425" s="33" t="s">
        <v>83</v>
      </c>
      <c r="K425" s="33" t="s">
        <v>73</v>
      </c>
      <c r="L425" s="33" t="str">
        <f t="shared" si="1"/>
        <v>FAMILIAR</v>
      </c>
      <c r="M425" s="33">
        <f t="shared" si="2"/>
        <v>5</v>
      </c>
      <c r="N425" s="33">
        <f t="shared" si="3"/>
        <v>2023</v>
      </c>
      <c r="O425" s="35" t="str">
        <f>VLOOKUP(K425,'CA y tablas'!$B$22:$C$28,2,FALSE)</f>
        <v>AMERICANO</v>
      </c>
      <c r="P425" s="28" t="str">
        <f t="shared" si="4"/>
        <v>S1</v>
      </c>
      <c r="Q425" s="29">
        <v>2.0</v>
      </c>
      <c r="R425" s="29" t="str">
        <f t="shared" si="5"/>
        <v>Q2</v>
      </c>
    </row>
    <row r="426" ht="15.75" customHeight="1">
      <c r="A426" s="22">
        <v>45043.0</v>
      </c>
      <c r="B426" s="23">
        <v>6.303544085E9</v>
      </c>
      <c r="C426" s="24" t="s">
        <v>454</v>
      </c>
      <c r="D426" s="23">
        <v>2.5543745E7</v>
      </c>
      <c r="E426" s="22">
        <v>45063.0</v>
      </c>
      <c r="F426" s="25" t="s">
        <v>69</v>
      </c>
      <c r="G426" s="26">
        <v>1.0</v>
      </c>
      <c r="H426" s="25" t="s">
        <v>112</v>
      </c>
      <c r="I426" s="25" t="s">
        <v>71</v>
      </c>
      <c r="J426" s="25" t="s">
        <v>93</v>
      </c>
      <c r="K426" s="25" t="s">
        <v>73</v>
      </c>
      <c r="L426" s="25" t="str">
        <f t="shared" si="1"/>
        <v>INDIVIDUAL</v>
      </c>
      <c r="M426" s="25">
        <f t="shared" si="2"/>
        <v>5</v>
      </c>
      <c r="N426" s="25">
        <f t="shared" si="3"/>
        <v>2023</v>
      </c>
      <c r="O426" s="27" t="str">
        <f>VLOOKUP(K426,'CA y tablas'!$B$22:$C$28,2,FALSE)</f>
        <v>AMERICANO</v>
      </c>
      <c r="P426" s="28" t="str">
        <f t="shared" si="4"/>
        <v>S1</v>
      </c>
      <c r="Q426" s="29">
        <v>2.0</v>
      </c>
      <c r="R426" s="29" t="str">
        <f t="shared" si="5"/>
        <v>Q2</v>
      </c>
    </row>
    <row r="427" ht="15.75" customHeight="1">
      <c r="A427" s="30">
        <v>45055.0</v>
      </c>
      <c r="B427" s="31">
        <v>6.46534168E9</v>
      </c>
      <c r="C427" s="32" t="s">
        <v>455</v>
      </c>
      <c r="D427" s="31">
        <v>2.8680584E7</v>
      </c>
      <c r="E427" s="30">
        <v>45063.0</v>
      </c>
      <c r="F427" s="33" t="s">
        <v>69</v>
      </c>
      <c r="G427" s="34">
        <v>1.0</v>
      </c>
      <c r="H427" s="33" t="s">
        <v>112</v>
      </c>
      <c r="I427" s="33" t="s">
        <v>71</v>
      </c>
      <c r="J427" s="33" t="s">
        <v>93</v>
      </c>
      <c r="K427" s="33" t="s">
        <v>73</v>
      </c>
      <c r="L427" s="33" t="str">
        <f t="shared" si="1"/>
        <v>INDIVIDUAL</v>
      </c>
      <c r="M427" s="33">
        <f t="shared" si="2"/>
        <v>5</v>
      </c>
      <c r="N427" s="33">
        <f t="shared" si="3"/>
        <v>2023</v>
      </c>
      <c r="O427" s="35" t="str">
        <f>VLOOKUP(K427,'CA y tablas'!$B$22:$C$28,2,FALSE)</f>
        <v>AMERICANO</v>
      </c>
      <c r="P427" s="28" t="str">
        <f t="shared" si="4"/>
        <v>S1</v>
      </c>
      <c r="Q427" s="29">
        <v>2.0</v>
      </c>
      <c r="R427" s="29" t="str">
        <f t="shared" si="5"/>
        <v>Q2</v>
      </c>
    </row>
    <row r="428" ht="15.75" customHeight="1">
      <c r="A428" s="22">
        <v>45055.0</v>
      </c>
      <c r="B428" s="23">
        <v>8.662660985E9</v>
      </c>
      <c r="C428" s="24" t="s">
        <v>456</v>
      </c>
      <c r="D428" s="23">
        <v>2.4059389E7</v>
      </c>
      <c r="E428" s="22">
        <v>45063.0</v>
      </c>
      <c r="F428" s="25" t="s">
        <v>76</v>
      </c>
      <c r="G428" s="26">
        <v>3.0</v>
      </c>
      <c r="H428" s="25" t="s">
        <v>112</v>
      </c>
      <c r="I428" s="25" t="s">
        <v>71</v>
      </c>
      <c r="J428" s="25" t="s">
        <v>93</v>
      </c>
      <c r="K428" s="25" t="s">
        <v>73</v>
      </c>
      <c r="L428" s="25" t="str">
        <f t="shared" si="1"/>
        <v>FAMILIAR</v>
      </c>
      <c r="M428" s="25">
        <f t="shared" si="2"/>
        <v>5</v>
      </c>
      <c r="N428" s="25">
        <f t="shared" si="3"/>
        <v>2023</v>
      </c>
      <c r="O428" s="27" t="str">
        <f>VLOOKUP(K428,'CA y tablas'!$B$22:$C$28,2,FALSE)</f>
        <v>AMERICANO</v>
      </c>
      <c r="P428" s="28" t="str">
        <f t="shared" si="4"/>
        <v>S1</v>
      </c>
      <c r="Q428" s="29">
        <v>2.0</v>
      </c>
      <c r="R428" s="29" t="str">
        <f t="shared" si="5"/>
        <v>Q2</v>
      </c>
    </row>
    <row r="429" ht="15.75" customHeight="1">
      <c r="A429" s="30">
        <v>45062.0</v>
      </c>
      <c r="B429" s="31">
        <v>5.813243155E9</v>
      </c>
      <c r="C429" s="32" t="s">
        <v>457</v>
      </c>
      <c r="D429" s="31">
        <v>3.3375793E7</v>
      </c>
      <c r="E429" s="30">
        <v>45063.0</v>
      </c>
      <c r="F429" s="33" t="s">
        <v>69</v>
      </c>
      <c r="G429" s="34">
        <v>3.0</v>
      </c>
      <c r="H429" s="33" t="s">
        <v>112</v>
      </c>
      <c r="I429" s="33" t="s">
        <v>77</v>
      </c>
      <c r="J429" s="33" t="s">
        <v>93</v>
      </c>
      <c r="K429" s="33" t="s">
        <v>73</v>
      </c>
      <c r="L429" s="33" t="str">
        <f t="shared" si="1"/>
        <v>FAMILIAR</v>
      </c>
      <c r="M429" s="33">
        <f t="shared" si="2"/>
        <v>5</v>
      </c>
      <c r="N429" s="33">
        <f t="shared" si="3"/>
        <v>2023</v>
      </c>
      <c r="O429" s="35" t="str">
        <f>VLOOKUP(K429,'CA y tablas'!$B$22:$C$28,2,FALSE)</f>
        <v>AMERICANO</v>
      </c>
      <c r="P429" s="28" t="str">
        <f t="shared" si="4"/>
        <v>S1</v>
      </c>
      <c r="Q429" s="29">
        <v>2.0</v>
      </c>
      <c r="R429" s="29" t="str">
        <f t="shared" si="5"/>
        <v>Q2</v>
      </c>
    </row>
    <row r="430" ht="15.75" customHeight="1">
      <c r="A430" s="22">
        <v>45062.0</v>
      </c>
      <c r="B430" s="23">
        <v>7.515993903E9</v>
      </c>
      <c r="C430" s="24" t="s">
        <v>458</v>
      </c>
      <c r="D430" s="23">
        <v>3.1875189E7</v>
      </c>
      <c r="E430" s="22">
        <v>45063.0</v>
      </c>
      <c r="F430" s="25" t="s">
        <v>69</v>
      </c>
      <c r="G430" s="26">
        <v>2.0</v>
      </c>
      <c r="H430" s="25" t="s">
        <v>81</v>
      </c>
      <c r="I430" s="25" t="s">
        <v>77</v>
      </c>
      <c r="J430" s="25" t="s">
        <v>72</v>
      </c>
      <c r="K430" s="25" t="s">
        <v>73</v>
      </c>
      <c r="L430" s="25" t="str">
        <f t="shared" si="1"/>
        <v>FAMILIAR</v>
      </c>
      <c r="M430" s="25">
        <f t="shared" si="2"/>
        <v>5</v>
      </c>
      <c r="N430" s="25">
        <f t="shared" si="3"/>
        <v>2023</v>
      </c>
      <c r="O430" s="27" t="str">
        <f>VLOOKUP(K430,'CA y tablas'!$B$22:$C$28,2,FALSE)</f>
        <v>AMERICANO</v>
      </c>
      <c r="P430" s="28" t="str">
        <f t="shared" si="4"/>
        <v>S1</v>
      </c>
      <c r="Q430" s="29">
        <v>2.0</v>
      </c>
      <c r="R430" s="29" t="str">
        <f t="shared" si="5"/>
        <v>Q2</v>
      </c>
    </row>
    <row r="431" ht="15.75" customHeight="1">
      <c r="A431" s="30">
        <v>45062.0</v>
      </c>
      <c r="B431" s="31">
        <v>2.696953044E9</v>
      </c>
      <c r="C431" s="32" t="s">
        <v>459</v>
      </c>
      <c r="D431" s="31">
        <v>2.8680418E7</v>
      </c>
      <c r="E431" s="30">
        <v>45063.0</v>
      </c>
      <c r="F431" s="33" t="s">
        <v>69</v>
      </c>
      <c r="G431" s="34">
        <v>1.0</v>
      </c>
      <c r="H431" s="33" t="s">
        <v>81</v>
      </c>
      <c r="I431" s="33" t="s">
        <v>77</v>
      </c>
      <c r="J431" s="33" t="s">
        <v>72</v>
      </c>
      <c r="K431" s="33" t="s">
        <v>73</v>
      </c>
      <c r="L431" s="33" t="str">
        <f t="shared" si="1"/>
        <v>INDIVIDUAL</v>
      </c>
      <c r="M431" s="33">
        <f t="shared" si="2"/>
        <v>5</v>
      </c>
      <c r="N431" s="33">
        <f t="shared" si="3"/>
        <v>2023</v>
      </c>
      <c r="O431" s="35" t="str">
        <f>VLOOKUP(K431,'CA y tablas'!$B$22:$C$28,2,FALSE)</f>
        <v>AMERICANO</v>
      </c>
      <c r="P431" s="28" t="str">
        <f t="shared" si="4"/>
        <v>S1</v>
      </c>
      <c r="Q431" s="29">
        <v>2.0</v>
      </c>
      <c r="R431" s="29" t="str">
        <f t="shared" si="5"/>
        <v>Q2</v>
      </c>
    </row>
    <row r="432" ht="15.75" customHeight="1">
      <c r="A432" s="22">
        <v>45062.0</v>
      </c>
      <c r="B432" s="23">
        <v>1.454092076E9</v>
      </c>
      <c r="C432" s="24" t="s">
        <v>460</v>
      </c>
      <c r="D432" s="23">
        <v>1.6617295E7</v>
      </c>
      <c r="E432" s="22">
        <v>45063.0</v>
      </c>
      <c r="F432" s="25" t="s">
        <v>69</v>
      </c>
      <c r="G432" s="26">
        <v>1.0</v>
      </c>
      <c r="H432" s="25" t="s">
        <v>81</v>
      </c>
      <c r="I432" s="25" t="s">
        <v>77</v>
      </c>
      <c r="J432" s="25" t="s">
        <v>72</v>
      </c>
      <c r="K432" s="25" t="s">
        <v>73</v>
      </c>
      <c r="L432" s="25" t="str">
        <f t="shared" si="1"/>
        <v>INDIVIDUAL</v>
      </c>
      <c r="M432" s="25">
        <f t="shared" si="2"/>
        <v>5</v>
      </c>
      <c r="N432" s="25">
        <f t="shared" si="3"/>
        <v>2023</v>
      </c>
      <c r="O432" s="27" t="str">
        <f>VLOOKUP(K432,'CA y tablas'!$B$22:$C$28,2,FALSE)</f>
        <v>AMERICANO</v>
      </c>
      <c r="P432" s="28" t="str">
        <f t="shared" si="4"/>
        <v>S1</v>
      </c>
      <c r="Q432" s="29">
        <v>2.0</v>
      </c>
      <c r="R432" s="29" t="str">
        <f t="shared" si="5"/>
        <v>Q2</v>
      </c>
    </row>
    <row r="433" ht="15.75" customHeight="1">
      <c r="A433" s="30">
        <v>45050.0</v>
      </c>
      <c r="B433" s="31">
        <v>7.887003784E9</v>
      </c>
      <c r="C433" s="32" t="s">
        <v>461</v>
      </c>
      <c r="D433" s="31">
        <v>2.4059761E7</v>
      </c>
      <c r="E433" s="30">
        <v>45064.0</v>
      </c>
      <c r="F433" s="33" t="s">
        <v>69</v>
      </c>
      <c r="G433" s="34">
        <v>1.0</v>
      </c>
      <c r="H433" s="33" t="s">
        <v>81</v>
      </c>
      <c r="I433" s="33" t="s">
        <v>77</v>
      </c>
      <c r="J433" s="33" t="s">
        <v>79</v>
      </c>
      <c r="K433" s="33" t="s">
        <v>217</v>
      </c>
      <c r="L433" s="33" t="str">
        <f t="shared" si="1"/>
        <v>INDIVIDUAL</v>
      </c>
      <c r="M433" s="33">
        <f t="shared" si="2"/>
        <v>5</v>
      </c>
      <c r="N433" s="33">
        <f t="shared" si="3"/>
        <v>2023</v>
      </c>
      <c r="O433" s="35" t="str">
        <f>VLOOKUP(K433,'CA y tablas'!$B$22:$C$28,2,FALSE)</f>
        <v>ASIATICO</v>
      </c>
      <c r="P433" s="28" t="str">
        <f t="shared" si="4"/>
        <v>S1</v>
      </c>
      <c r="Q433" s="29">
        <v>2.0</v>
      </c>
      <c r="R433" s="29" t="str">
        <f t="shared" si="5"/>
        <v>Q2</v>
      </c>
    </row>
    <row r="434" ht="15.75" customHeight="1">
      <c r="A434" s="22">
        <v>45050.0</v>
      </c>
      <c r="B434" s="23">
        <v>7.886990252E9</v>
      </c>
      <c r="C434" s="24" t="s">
        <v>462</v>
      </c>
      <c r="D434" s="23">
        <v>3.7191253E7</v>
      </c>
      <c r="E434" s="22">
        <v>45064.0</v>
      </c>
      <c r="F434" s="25" t="s">
        <v>69</v>
      </c>
      <c r="G434" s="26">
        <v>1.0</v>
      </c>
      <c r="H434" s="25" t="s">
        <v>81</v>
      </c>
      <c r="I434" s="25" t="s">
        <v>77</v>
      </c>
      <c r="J434" s="25" t="s">
        <v>79</v>
      </c>
      <c r="K434" s="25" t="s">
        <v>217</v>
      </c>
      <c r="L434" s="25" t="str">
        <f t="shared" si="1"/>
        <v>INDIVIDUAL</v>
      </c>
      <c r="M434" s="25">
        <f t="shared" si="2"/>
        <v>5</v>
      </c>
      <c r="N434" s="25">
        <f t="shared" si="3"/>
        <v>2023</v>
      </c>
      <c r="O434" s="27" t="str">
        <f>VLOOKUP(K434,'CA y tablas'!$B$22:$C$28,2,FALSE)</f>
        <v>ASIATICO</v>
      </c>
      <c r="P434" s="28" t="str">
        <f t="shared" si="4"/>
        <v>S1</v>
      </c>
      <c r="Q434" s="29">
        <v>2.0</v>
      </c>
      <c r="R434" s="29" t="str">
        <f t="shared" si="5"/>
        <v>Q2</v>
      </c>
    </row>
    <row r="435" ht="15.75" customHeight="1">
      <c r="A435" s="30">
        <v>45050.0</v>
      </c>
      <c r="B435" s="31">
        <v>8.725961893E9</v>
      </c>
      <c r="C435" s="32" t="s">
        <v>462</v>
      </c>
      <c r="D435" s="31">
        <v>3.7191253E7</v>
      </c>
      <c r="E435" s="30">
        <v>45064.0</v>
      </c>
      <c r="F435" s="33" t="s">
        <v>76</v>
      </c>
      <c r="G435" s="34">
        <v>1.0</v>
      </c>
      <c r="H435" s="33" t="s">
        <v>81</v>
      </c>
      <c r="I435" s="33" t="s">
        <v>77</v>
      </c>
      <c r="J435" s="33" t="s">
        <v>79</v>
      </c>
      <c r="K435" s="33" t="s">
        <v>217</v>
      </c>
      <c r="L435" s="33" t="str">
        <f t="shared" si="1"/>
        <v>INDIVIDUAL</v>
      </c>
      <c r="M435" s="33">
        <f t="shared" si="2"/>
        <v>5</v>
      </c>
      <c r="N435" s="33">
        <f t="shared" si="3"/>
        <v>2023</v>
      </c>
      <c r="O435" s="35" t="str">
        <f>VLOOKUP(K435,'CA y tablas'!$B$22:$C$28,2,FALSE)</f>
        <v>ASIATICO</v>
      </c>
      <c r="P435" s="28" t="str">
        <f t="shared" si="4"/>
        <v>S1</v>
      </c>
      <c r="Q435" s="29">
        <v>2.0</v>
      </c>
      <c r="R435" s="29" t="str">
        <f t="shared" si="5"/>
        <v>Q2</v>
      </c>
    </row>
    <row r="436" ht="15.75" customHeight="1">
      <c r="A436" s="22">
        <v>45055.0</v>
      </c>
      <c r="B436" s="23">
        <v>6.186914285E9</v>
      </c>
      <c r="C436" s="24" t="s">
        <v>463</v>
      </c>
      <c r="D436" s="23">
        <v>2.1329654E7</v>
      </c>
      <c r="E436" s="22">
        <v>45064.0</v>
      </c>
      <c r="F436" s="25" t="s">
        <v>69</v>
      </c>
      <c r="G436" s="26">
        <v>1.0</v>
      </c>
      <c r="H436" s="25" t="s">
        <v>106</v>
      </c>
      <c r="I436" s="25" t="s">
        <v>77</v>
      </c>
      <c r="J436" s="25" t="s">
        <v>79</v>
      </c>
      <c r="K436" s="25" t="s">
        <v>217</v>
      </c>
      <c r="L436" s="25" t="str">
        <f t="shared" si="1"/>
        <v>INDIVIDUAL</v>
      </c>
      <c r="M436" s="25">
        <f t="shared" si="2"/>
        <v>5</v>
      </c>
      <c r="N436" s="25">
        <f t="shared" si="3"/>
        <v>2023</v>
      </c>
      <c r="O436" s="27" t="str">
        <f>VLOOKUP(K436,'CA y tablas'!$B$22:$C$28,2,FALSE)</f>
        <v>ASIATICO</v>
      </c>
      <c r="P436" s="28" t="str">
        <f t="shared" si="4"/>
        <v>S1</v>
      </c>
      <c r="Q436" s="29">
        <v>2.0</v>
      </c>
      <c r="R436" s="29" t="str">
        <f t="shared" si="5"/>
        <v>Q2</v>
      </c>
    </row>
    <row r="437" ht="15.75" customHeight="1">
      <c r="A437" s="30">
        <v>45055.0</v>
      </c>
      <c r="B437" s="31">
        <v>2.906041946E9</v>
      </c>
      <c r="C437" s="32" t="s">
        <v>464</v>
      </c>
      <c r="D437" s="31">
        <v>1.8440532E7</v>
      </c>
      <c r="E437" s="30">
        <v>45064.0</v>
      </c>
      <c r="F437" s="33" t="s">
        <v>69</v>
      </c>
      <c r="G437" s="34">
        <v>1.0</v>
      </c>
      <c r="H437" s="33" t="s">
        <v>106</v>
      </c>
      <c r="I437" s="33" t="s">
        <v>88</v>
      </c>
      <c r="J437" s="33" t="s">
        <v>79</v>
      </c>
      <c r="K437" s="33" t="s">
        <v>217</v>
      </c>
      <c r="L437" s="33" t="str">
        <f t="shared" si="1"/>
        <v>INDIVIDUAL</v>
      </c>
      <c r="M437" s="33">
        <f t="shared" si="2"/>
        <v>5</v>
      </c>
      <c r="N437" s="33">
        <f t="shared" si="3"/>
        <v>2023</v>
      </c>
      <c r="O437" s="35" t="str">
        <f>VLOOKUP(K437,'CA y tablas'!$B$22:$C$28,2,FALSE)</f>
        <v>ASIATICO</v>
      </c>
      <c r="P437" s="28" t="str">
        <f t="shared" si="4"/>
        <v>S1</v>
      </c>
      <c r="Q437" s="29">
        <v>2.0</v>
      </c>
      <c r="R437" s="29" t="str">
        <f t="shared" si="5"/>
        <v>Q2</v>
      </c>
    </row>
    <row r="438" ht="15.75" customHeight="1">
      <c r="A438" s="22">
        <v>45062.0</v>
      </c>
      <c r="B438" s="23">
        <v>3.542258661E9</v>
      </c>
      <c r="C438" s="24" t="s">
        <v>465</v>
      </c>
      <c r="D438" s="23">
        <v>4.5726584E7</v>
      </c>
      <c r="E438" s="22">
        <v>45064.0</v>
      </c>
      <c r="F438" s="25" t="s">
        <v>69</v>
      </c>
      <c r="G438" s="26">
        <v>2.0</v>
      </c>
      <c r="H438" s="25" t="s">
        <v>106</v>
      </c>
      <c r="I438" s="25" t="s">
        <v>88</v>
      </c>
      <c r="J438" s="25" t="s">
        <v>79</v>
      </c>
      <c r="K438" s="25" t="s">
        <v>73</v>
      </c>
      <c r="L438" s="25" t="str">
        <f t="shared" si="1"/>
        <v>FAMILIAR</v>
      </c>
      <c r="M438" s="25">
        <f t="shared" si="2"/>
        <v>5</v>
      </c>
      <c r="N438" s="25">
        <f t="shared" si="3"/>
        <v>2023</v>
      </c>
      <c r="O438" s="27" t="str">
        <f>VLOOKUP(K438,'CA y tablas'!$B$22:$C$28,2,FALSE)</f>
        <v>AMERICANO</v>
      </c>
      <c r="P438" s="28" t="str">
        <f t="shared" si="4"/>
        <v>S1</v>
      </c>
      <c r="Q438" s="29">
        <v>2.0</v>
      </c>
      <c r="R438" s="29" t="str">
        <f t="shared" si="5"/>
        <v>Q2</v>
      </c>
    </row>
    <row r="439" ht="15.75" customHeight="1">
      <c r="A439" s="30">
        <v>45062.0</v>
      </c>
      <c r="B439" s="31">
        <v>5.813252911E9</v>
      </c>
      <c r="C439" s="32" t="s">
        <v>466</v>
      </c>
      <c r="D439" s="31">
        <v>2.1948243E7</v>
      </c>
      <c r="E439" s="30">
        <v>45064.0</v>
      </c>
      <c r="F439" s="33" t="s">
        <v>76</v>
      </c>
      <c r="G439" s="34">
        <v>2.0</v>
      </c>
      <c r="H439" s="33" t="s">
        <v>106</v>
      </c>
      <c r="I439" s="33" t="s">
        <v>88</v>
      </c>
      <c r="J439" s="33" t="s">
        <v>79</v>
      </c>
      <c r="K439" s="33" t="s">
        <v>73</v>
      </c>
      <c r="L439" s="33" t="str">
        <f t="shared" si="1"/>
        <v>FAMILIAR</v>
      </c>
      <c r="M439" s="33">
        <f t="shared" si="2"/>
        <v>5</v>
      </c>
      <c r="N439" s="33">
        <f t="shared" si="3"/>
        <v>2023</v>
      </c>
      <c r="O439" s="35" t="str">
        <f>VLOOKUP(K439,'CA y tablas'!$B$22:$C$28,2,FALSE)</f>
        <v>AMERICANO</v>
      </c>
      <c r="P439" s="28" t="str">
        <f t="shared" si="4"/>
        <v>S1</v>
      </c>
      <c r="Q439" s="29">
        <v>2.0</v>
      </c>
      <c r="R439" s="29" t="str">
        <f t="shared" si="5"/>
        <v>Q2</v>
      </c>
    </row>
    <row r="440" ht="15.75" customHeight="1">
      <c r="A440" s="22">
        <v>45062.0</v>
      </c>
      <c r="B440" s="23">
        <v>9.026857453E9</v>
      </c>
      <c r="C440" s="24" t="s">
        <v>467</v>
      </c>
      <c r="D440" s="23">
        <v>2.0219727E7</v>
      </c>
      <c r="E440" s="22">
        <v>45064.0</v>
      </c>
      <c r="F440" s="25" t="s">
        <v>76</v>
      </c>
      <c r="G440" s="26">
        <v>3.0</v>
      </c>
      <c r="H440" s="25" t="s">
        <v>106</v>
      </c>
      <c r="I440" s="25" t="s">
        <v>88</v>
      </c>
      <c r="J440" s="25" t="s">
        <v>79</v>
      </c>
      <c r="K440" s="25" t="s">
        <v>73</v>
      </c>
      <c r="L440" s="25" t="str">
        <f t="shared" si="1"/>
        <v>FAMILIAR</v>
      </c>
      <c r="M440" s="25">
        <f t="shared" si="2"/>
        <v>5</v>
      </c>
      <c r="N440" s="25">
        <f t="shared" si="3"/>
        <v>2023</v>
      </c>
      <c r="O440" s="27" t="str">
        <f>VLOOKUP(K440,'CA y tablas'!$B$22:$C$28,2,FALSE)</f>
        <v>AMERICANO</v>
      </c>
      <c r="P440" s="28" t="str">
        <f t="shared" si="4"/>
        <v>S1</v>
      </c>
      <c r="Q440" s="29">
        <v>2.0</v>
      </c>
      <c r="R440" s="29" t="str">
        <f t="shared" si="5"/>
        <v>Q2</v>
      </c>
    </row>
    <row r="441" ht="15.75" customHeight="1">
      <c r="A441" s="30">
        <v>45064.0</v>
      </c>
      <c r="B441" s="31">
        <v>7.768400544E9</v>
      </c>
      <c r="C441" s="32" t="s">
        <v>468</v>
      </c>
      <c r="D441" s="31">
        <v>3.3139255E7</v>
      </c>
      <c r="E441" s="30">
        <v>45064.0</v>
      </c>
      <c r="F441" s="33" t="s">
        <v>76</v>
      </c>
      <c r="G441" s="34">
        <v>2.0</v>
      </c>
      <c r="H441" s="33" t="s">
        <v>106</v>
      </c>
      <c r="I441" s="33" t="s">
        <v>88</v>
      </c>
      <c r="J441" s="33" t="s">
        <v>83</v>
      </c>
      <c r="K441" s="33" t="s">
        <v>73</v>
      </c>
      <c r="L441" s="33" t="str">
        <f t="shared" si="1"/>
        <v>FAMILIAR</v>
      </c>
      <c r="M441" s="33">
        <f t="shared" si="2"/>
        <v>5</v>
      </c>
      <c r="N441" s="33">
        <f t="shared" si="3"/>
        <v>2023</v>
      </c>
      <c r="O441" s="35" t="str">
        <f>VLOOKUP(K441,'CA y tablas'!$B$22:$C$28,2,FALSE)</f>
        <v>AMERICANO</v>
      </c>
      <c r="P441" s="28" t="str">
        <f t="shared" si="4"/>
        <v>S1</v>
      </c>
      <c r="Q441" s="29">
        <v>2.0</v>
      </c>
      <c r="R441" s="29" t="str">
        <f t="shared" si="5"/>
        <v>Q2</v>
      </c>
    </row>
    <row r="442" ht="15.75" customHeight="1">
      <c r="A442" s="22">
        <v>45064.0</v>
      </c>
      <c r="B442" s="23">
        <v>6.226454146E9</v>
      </c>
      <c r="C442" s="24" t="s">
        <v>469</v>
      </c>
      <c r="D442" s="23">
        <v>1.1707875E7</v>
      </c>
      <c r="E442" s="22">
        <v>45065.0</v>
      </c>
      <c r="F442" s="25" t="s">
        <v>69</v>
      </c>
      <c r="G442" s="26">
        <v>2.0</v>
      </c>
      <c r="H442" s="25" t="s">
        <v>106</v>
      </c>
      <c r="I442" s="25" t="s">
        <v>88</v>
      </c>
      <c r="J442" s="25" t="s">
        <v>83</v>
      </c>
      <c r="K442" s="25" t="s">
        <v>73</v>
      </c>
      <c r="L442" s="25" t="str">
        <f t="shared" si="1"/>
        <v>FAMILIAR</v>
      </c>
      <c r="M442" s="25">
        <f t="shared" si="2"/>
        <v>5</v>
      </c>
      <c r="N442" s="25">
        <f t="shared" si="3"/>
        <v>2023</v>
      </c>
      <c r="O442" s="27" t="str">
        <f>VLOOKUP(K442,'CA y tablas'!$B$22:$C$28,2,FALSE)</f>
        <v>AMERICANO</v>
      </c>
      <c r="P442" s="28" t="str">
        <f t="shared" si="4"/>
        <v>S1</v>
      </c>
      <c r="Q442" s="29">
        <v>2.0</v>
      </c>
      <c r="R442" s="29" t="str">
        <f t="shared" si="5"/>
        <v>Q2</v>
      </c>
    </row>
    <row r="443" ht="15.75" customHeight="1">
      <c r="A443" s="30">
        <v>45064.0</v>
      </c>
      <c r="B443" s="31">
        <v>2.722095854E9</v>
      </c>
      <c r="C443" s="32" t="s">
        <v>470</v>
      </c>
      <c r="D443" s="31">
        <v>2.798075E7</v>
      </c>
      <c r="E443" s="30">
        <v>45065.0</v>
      </c>
      <c r="F443" s="33" t="s">
        <v>69</v>
      </c>
      <c r="G443" s="34">
        <v>1.0</v>
      </c>
      <c r="H443" s="33" t="s">
        <v>116</v>
      </c>
      <c r="I443" s="33" t="s">
        <v>71</v>
      </c>
      <c r="J443" s="33" t="s">
        <v>83</v>
      </c>
      <c r="K443" s="33" t="s">
        <v>73</v>
      </c>
      <c r="L443" s="33" t="str">
        <f t="shared" si="1"/>
        <v>INDIVIDUAL</v>
      </c>
      <c r="M443" s="33">
        <f t="shared" si="2"/>
        <v>5</v>
      </c>
      <c r="N443" s="33">
        <f t="shared" si="3"/>
        <v>2023</v>
      </c>
      <c r="O443" s="35" t="str">
        <f>VLOOKUP(K443,'CA y tablas'!$B$22:$C$28,2,FALSE)</f>
        <v>AMERICANO</v>
      </c>
      <c r="P443" s="28" t="str">
        <f t="shared" si="4"/>
        <v>S1</v>
      </c>
      <c r="Q443" s="29">
        <v>2.0</v>
      </c>
      <c r="R443" s="29" t="str">
        <f t="shared" si="5"/>
        <v>Q2</v>
      </c>
    </row>
    <row r="444" ht="15.75" customHeight="1">
      <c r="A444" s="22">
        <v>45062.0</v>
      </c>
      <c r="B444" s="23">
        <v>9.688772612E9</v>
      </c>
      <c r="C444" s="24" t="s">
        <v>425</v>
      </c>
      <c r="D444" s="23">
        <v>2.4059001E7</v>
      </c>
      <c r="E444" s="22">
        <v>45068.0</v>
      </c>
      <c r="F444" s="25" t="s">
        <v>69</v>
      </c>
      <c r="G444" s="26">
        <v>1.0</v>
      </c>
      <c r="H444" s="25" t="s">
        <v>116</v>
      </c>
      <c r="I444" s="25" t="s">
        <v>71</v>
      </c>
      <c r="J444" s="25" t="s">
        <v>83</v>
      </c>
      <c r="K444" s="25" t="s">
        <v>73</v>
      </c>
      <c r="L444" s="25" t="str">
        <f t="shared" si="1"/>
        <v>INDIVIDUAL</v>
      </c>
      <c r="M444" s="25">
        <f t="shared" si="2"/>
        <v>5</v>
      </c>
      <c r="N444" s="25">
        <f t="shared" si="3"/>
        <v>2023</v>
      </c>
      <c r="O444" s="27" t="str">
        <f>VLOOKUP(K444,'CA y tablas'!$B$22:$C$28,2,FALSE)</f>
        <v>AMERICANO</v>
      </c>
      <c r="P444" s="28" t="str">
        <f t="shared" si="4"/>
        <v>S1</v>
      </c>
      <c r="Q444" s="29">
        <v>2.0</v>
      </c>
      <c r="R444" s="29" t="str">
        <f t="shared" si="5"/>
        <v>Q2</v>
      </c>
    </row>
    <row r="445" ht="15.75" customHeight="1">
      <c r="A445" s="30">
        <v>45062.0</v>
      </c>
      <c r="B445" s="31">
        <v>9.645582752E9</v>
      </c>
      <c r="C445" s="32" t="s">
        <v>471</v>
      </c>
      <c r="D445" s="31">
        <v>2.4227917E7</v>
      </c>
      <c r="E445" s="30">
        <v>45068.0</v>
      </c>
      <c r="F445" s="33" t="s">
        <v>76</v>
      </c>
      <c r="G445" s="34">
        <v>2.0</v>
      </c>
      <c r="H445" s="33" t="s">
        <v>116</v>
      </c>
      <c r="I445" s="33" t="s">
        <v>71</v>
      </c>
      <c r="J445" s="33" t="s">
        <v>83</v>
      </c>
      <c r="K445" s="33" t="s">
        <v>73</v>
      </c>
      <c r="L445" s="33" t="str">
        <f t="shared" si="1"/>
        <v>FAMILIAR</v>
      </c>
      <c r="M445" s="33">
        <f t="shared" si="2"/>
        <v>5</v>
      </c>
      <c r="N445" s="33">
        <f t="shared" si="3"/>
        <v>2023</v>
      </c>
      <c r="O445" s="35" t="str">
        <f>VLOOKUP(K445,'CA y tablas'!$B$22:$C$28,2,FALSE)</f>
        <v>AMERICANO</v>
      </c>
      <c r="P445" s="28" t="str">
        <f t="shared" si="4"/>
        <v>S1</v>
      </c>
      <c r="Q445" s="29">
        <v>2.0</v>
      </c>
      <c r="R445" s="29" t="str">
        <f t="shared" si="5"/>
        <v>Q2</v>
      </c>
    </row>
    <row r="446" ht="15.75" customHeight="1">
      <c r="A446" s="22">
        <v>45062.0</v>
      </c>
      <c r="B446" s="23">
        <v>1.289967103E9</v>
      </c>
      <c r="C446" s="24" t="s">
        <v>472</v>
      </c>
      <c r="D446" s="23">
        <v>1.1826841E7</v>
      </c>
      <c r="E446" s="22">
        <v>45068.0</v>
      </c>
      <c r="F446" s="25" t="s">
        <v>76</v>
      </c>
      <c r="G446" s="26">
        <v>2.0</v>
      </c>
      <c r="H446" s="25" t="s">
        <v>116</v>
      </c>
      <c r="I446" s="25" t="s">
        <v>71</v>
      </c>
      <c r="J446" s="25" t="s">
        <v>83</v>
      </c>
      <c r="K446" s="25" t="s">
        <v>73</v>
      </c>
      <c r="L446" s="25" t="str">
        <f t="shared" si="1"/>
        <v>FAMILIAR</v>
      </c>
      <c r="M446" s="25">
        <f t="shared" si="2"/>
        <v>5</v>
      </c>
      <c r="N446" s="25">
        <f t="shared" si="3"/>
        <v>2023</v>
      </c>
      <c r="O446" s="27" t="str">
        <f>VLOOKUP(K446,'CA y tablas'!$B$22:$C$28,2,FALSE)</f>
        <v>AMERICANO</v>
      </c>
      <c r="P446" s="28" t="str">
        <f t="shared" si="4"/>
        <v>S1</v>
      </c>
      <c r="Q446" s="29">
        <v>2.0</v>
      </c>
      <c r="R446" s="29" t="str">
        <f t="shared" si="5"/>
        <v>Q2</v>
      </c>
    </row>
    <row r="447" ht="15.75" customHeight="1">
      <c r="A447" s="30">
        <v>45064.0</v>
      </c>
      <c r="B447" s="31">
        <v>4.018520881E9</v>
      </c>
      <c r="C447" s="32" t="s">
        <v>473</v>
      </c>
      <c r="D447" s="31">
        <v>3.7097139E7</v>
      </c>
      <c r="E447" s="30">
        <v>45068.0</v>
      </c>
      <c r="F447" s="33" t="s">
        <v>76</v>
      </c>
      <c r="G447" s="34">
        <v>3.0</v>
      </c>
      <c r="H447" s="33" t="s">
        <v>116</v>
      </c>
      <c r="I447" s="33" t="s">
        <v>71</v>
      </c>
      <c r="J447" s="33" t="s">
        <v>83</v>
      </c>
      <c r="K447" s="33" t="s">
        <v>84</v>
      </c>
      <c r="L447" s="33" t="str">
        <f t="shared" si="1"/>
        <v>FAMILIAR</v>
      </c>
      <c r="M447" s="33">
        <f t="shared" si="2"/>
        <v>5</v>
      </c>
      <c r="N447" s="33">
        <f t="shared" si="3"/>
        <v>2023</v>
      </c>
      <c r="O447" s="35" t="str">
        <f>VLOOKUP(K447,'CA y tablas'!$B$22:$C$28,2,FALSE)</f>
        <v>EUROPEO</v>
      </c>
      <c r="P447" s="28" t="str">
        <f t="shared" si="4"/>
        <v>S1</v>
      </c>
      <c r="Q447" s="29">
        <v>2.0</v>
      </c>
      <c r="R447" s="29" t="str">
        <f t="shared" si="5"/>
        <v>Q2</v>
      </c>
    </row>
    <row r="448" ht="15.75" customHeight="1">
      <c r="A448" s="22">
        <v>45065.0</v>
      </c>
      <c r="B448" s="23">
        <v>7.925380223E9</v>
      </c>
      <c r="C448" s="24" t="s">
        <v>474</v>
      </c>
      <c r="D448" s="23">
        <v>2.0433848E7</v>
      </c>
      <c r="E448" s="22">
        <v>45068.0</v>
      </c>
      <c r="F448" s="25" t="s">
        <v>69</v>
      </c>
      <c r="G448" s="26">
        <v>2.0</v>
      </c>
      <c r="H448" s="25" t="s">
        <v>116</v>
      </c>
      <c r="I448" s="25" t="s">
        <v>71</v>
      </c>
      <c r="J448" s="25" t="s">
        <v>79</v>
      </c>
      <c r="K448" s="25" t="s">
        <v>84</v>
      </c>
      <c r="L448" s="25" t="str">
        <f t="shared" si="1"/>
        <v>FAMILIAR</v>
      </c>
      <c r="M448" s="25">
        <f t="shared" si="2"/>
        <v>5</v>
      </c>
      <c r="N448" s="25">
        <f t="shared" si="3"/>
        <v>2023</v>
      </c>
      <c r="O448" s="27" t="str">
        <f>VLOOKUP(K448,'CA y tablas'!$B$22:$C$28,2,FALSE)</f>
        <v>EUROPEO</v>
      </c>
      <c r="P448" s="28" t="str">
        <f t="shared" si="4"/>
        <v>S1</v>
      </c>
      <c r="Q448" s="29">
        <v>2.0</v>
      </c>
      <c r="R448" s="29" t="str">
        <f t="shared" si="5"/>
        <v>Q2</v>
      </c>
    </row>
    <row r="449" ht="15.75" customHeight="1">
      <c r="A449" s="30">
        <v>45065.0</v>
      </c>
      <c r="B449" s="31">
        <v>2.386668863E9</v>
      </c>
      <c r="C449" s="32" t="s">
        <v>475</v>
      </c>
      <c r="D449" s="31">
        <v>4.0217298E7</v>
      </c>
      <c r="E449" s="30">
        <v>45068.0</v>
      </c>
      <c r="F449" s="33" t="s">
        <v>69</v>
      </c>
      <c r="G449" s="34">
        <v>2.0</v>
      </c>
      <c r="H449" s="33" t="s">
        <v>116</v>
      </c>
      <c r="I449" s="33" t="s">
        <v>71</v>
      </c>
      <c r="J449" s="33" t="s">
        <v>79</v>
      </c>
      <c r="K449" s="33" t="s">
        <v>84</v>
      </c>
      <c r="L449" s="33" t="str">
        <f t="shared" si="1"/>
        <v>FAMILIAR</v>
      </c>
      <c r="M449" s="33">
        <f t="shared" si="2"/>
        <v>5</v>
      </c>
      <c r="N449" s="33">
        <f t="shared" si="3"/>
        <v>2023</v>
      </c>
      <c r="O449" s="35" t="str">
        <f>VLOOKUP(K449,'CA y tablas'!$B$22:$C$28,2,FALSE)</f>
        <v>EUROPEO</v>
      </c>
      <c r="P449" s="28" t="str">
        <f t="shared" si="4"/>
        <v>S1</v>
      </c>
      <c r="Q449" s="29">
        <v>2.0</v>
      </c>
      <c r="R449" s="29" t="str">
        <f t="shared" si="5"/>
        <v>Q2</v>
      </c>
    </row>
    <row r="450" ht="15.75" customHeight="1">
      <c r="A450" s="22">
        <v>45065.0</v>
      </c>
      <c r="B450" s="23">
        <v>3.421884023E9</v>
      </c>
      <c r="C450" s="24" t="s">
        <v>476</v>
      </c>
      <c r="D450" s="23">
        <v>2.7016337E7</v>
      </c>
      <c r="E450" s="22">
        <v>45068.0</v>
      </c>
      <c r="F450" s="25" t="s">
        <v>76</v>
      </c>
      <c r="G450" s="26">
        <v>1.0</v>
      </c>
      <c r="H450" s="25" t="s">
        <v>116</v>
      </c>
      <c r="I450" s="25" t="s">
        <v>71</v>
      </c>
      <c r="J450" s="25" t="s">
        <v>79</v>
      </c>
      <c r="K450" s="25" t="s">
        <v>84</v>
      </c>
      <c r="L450" s="25" t="str">
        <f t="shared" si="1"/>
        <v>INDIVIDUAL</v>
      </c>
      <c r="M450" s="25">
        <f t="shared" si="2"/>
        <v>5</v>
      </c>
      <c r="N450" s="25">
        <f t="shared" si="3"/>
        <v>2023</v>
      </c>
      <c r="O450" s="27" t="str">
        <f>VLOOKUP(K450,'CA y tablas'!$B$22:$C$28,2,FALSE)</f>
        <v>EUROPEO</v>
      </c>
      <c r="P450" s="28" t="str">
        <f t="shared" si="4"/>
        <v>S1</v>
      </c>
      <c r="Q450" s="29">
        <v>2.0</v>
      </c>
      <c r="R450" s="29" t="str">
        <f t="shared" si="5"/>
        <v>Q2</v>
      </c>
    </row>
    <row r="451" ht="15.75" customHeight="1">
      <c r="A451" s="30">
        <v>45050.0</v>
      </c>
      <c r="B451" s="31">
        <v>9.88243158E9</v>
      </c>
      <c r="C451" s="32" t="s">
        <v>477</v>
      </c>
      <c r="D451" s="31">
        <v>4.5512226E7</v>
      </c>
      <c r="E451" s="30">
        <v>45069.0</v>
      </c>
      <c r="F451" s="33" t="s">
        <v>69</v>
      </c>
      <c r="G451" s="34">
        <v>1.0</v>
      </c>
      <c r="H451" s="33" t="s">
        <v>116</v>
      </c>
      <c r="I451" s="33" t="s">
        <v>71</v>
      </c>
      <c r="J451" s="33" t="s">
        <v>79</v>
      </c>
      <c r="K451" s="33" t="s">
        <v>84</v>
      </c>
      <c r="L451" s="33" t="str">
        <f t="shared" si="1"/>
        <v>INDIVIDUAL</v>
      </c>
      <c r="M451" s="33">
        <f t="shared" si="2"/>
        <v>5</v>
      </c>
      <c r="N451" s="33">
        <f t="shared" si="3"/>
        <v>2023</v>
      </c>
      <c r="O451" s="35" t="str">
        <f>VLOOKUP(K451,'CA y tablas'!$B$22:$C$28,2,FALSE)</f>
        <v>EUROPEO</v>
      </c>
      <c r="P451" s="28" t="str">
        <f t="shared" si="4"/>
        <v>S1</v>
      </c>
      <c r="Q451" s="29">
        <v>2.0</v>
      </c>
      <c r="R451" s="29" t="str">
        <f t="shared" si="5"/>
        <v>Q2</v>
      </c>
    </row>
    <row r="452" ht="15.75" customHeight="1">
      <c r="A452" s="22">
        <v>45055.0</v>
      </c>
      <c r="B452" s="23">
        <v>9.878487511E9</v>
      </c>
      <c r="C452" s="24" t="s">
        <v>478</v>
      </c>
      <c r="D452" s="23">
        <v>2.3584743E7</v>
      </c>
      <c r="E452" s="22">
        <v>45069.0</v>
      </c>
      <c r="F452" s="25" t="s">
        <v>69</v>
      </c>
      <c r="G452" s="26">
        <v>1.0</v>
      </c>
      <c r="H452" s="25" t="s">
        <v>116</v>
      </c>
      <c r="I452" s="25" t="s">
        <v>71</v>
      </c>
      <c r="J452" s="25" t="s">
        <v>79</v>
      </c>
      <c r="K452" s="25" t="s">
        <v>84</v>
      </c>
      <c r="L452" s="25" t="str">
        <f t="shared" si="1"/>
        <v>INDIVIDUAL</v>
      </c>
      <c r="M452" s="25">
        <f t="shared" si="2"/>
        <v>5</v>
      </c>
      <c r="N452" s="25">
        <f t="shared" si="3"/>
        <v>2023</v>
      </c>
      <c r="O452" s="27" t="str">
        <f>VLOOKUP(K452,'CA y tablas'!$B$22:$C$28,2,FALSE)</f>
        <v>EUROPEO</v>
      </c>
      <c r="P452" s="28" t="str">
        <f t="shared" si="4"/>
        <v>S1</v>
      </c>
      <c r="Q452" s="29">
        <v>2.0</v>
      </c>
      <c r="R452" s="29" t="str">
        <f t="shared" si="5"/>
        <v>Q2</v>
      </c>
    </row>
    <row r="453" ht="15.75" customHeight="1">
      <c r="A453" s="30">
        <v>45064.0</v>
      </c>
      <c r="B453" s="31">
        <v>9.247055241E9</v>
      </c>
      <c r="C453" s="32" t="s">
        <v>479</v>
      </c>
      <c r="D453" s="31">
        <v>2.097712E7</v>
      </c>
      <c r="E453" s="30">
        <v>45069.0</v>
      </c>
      <c r="F453" s="33" t="s">
        <v>69</v>
      </c>
      <c r="G453" s="34">
        <v>1.0</v>
      </c>
      <c r="H453" s="33" t="s">
        <v>116</v>
      </c>
      <c r="I453" s="33" t="s">
        <v>71</v>
      </c>
      <c r="J453" s="33" t="s">
        <v>98</v>
      </c>
      <c r="K453" s="33" t="s">
        <v>84</v>
      </c>
      <c r="L453" s="33" t="str">
        <f t="shared" si="1"/>
        <v>INDIVIDUAL</v>
      </c>
      <c r="M453" s="33">
        <f t="shared" si="2"/>
        <v>5</v>
      </c>
      <c r="N453" s="33">
        <f t="shared" si="3"/>
        <v>2023</v>
      </c>
      <c r="O453" s="35" t="str">
        <f>VLOOKUP(K453,'CA y tablas'!$B$22:$C$28,2,FALSE)</f>
        <v>EUROPEO</v>
      </c>
      <c r="P453" s="28" t="str">
        <f t="shared" si="4"/>
        <v>S1</v>
      </c>
      <c r="Q453" s="29">
        <v>2.0</v>
      </c>
      <c r="R453" s="29" t="str">
        <f t="shared" si="5"/>
        <v>Q2</v>
      </c>
    </row>
    <row r="454" ht="15.75" customHeight="1">
      <c r="A454" s="22">
        <v>45065.0</v>
      </c>
      <c r="B454" s="23">
        <v>1.08775331E9</v>
      </c>
      <c r="C454" s="24" t="s">
        <v>480</v>
      </c>
      <c r="D454" s="23">
        <v>3.2409209E7</v>
      </c>
      <c r="E454" s="22">
        <v>45069.0</v>
      </c>
      <c r="F454" s="25" t="s">
        <v>69</v>
      </c>
      <c r="G454" s="26">
        <v>2.0</v>
      </c>
      <c r="H454" s="25" t="s">
        <v>116</v>
      </c>
      <c r="I454" s="25" t="s">
        <v>71</v>
      </c>
      <c r="J454" s="25" t="s">
        <v>98</v>
      </c>
      <c r="K454" s="25" t="s">
        <v>84</v>
      </c>
      <c r="L454" s="25" t="str">
        <f t="shared" si="1"/>
        <v>FAMILIAR</v>
      </c>
      <c r="M454" s="25">
        <f t="shared" si="2"/>
        <v>5</v>
      </c>
      <c r="N454" s="25">
        <f t="shared" si="3"/>
        <v>2023</v>
      </c>
      <c r="O454" s="27" t="str">
        <f>VLOOKUP(K454,'CA y tablas'!$B$22:$C$28,2,FALSE)</f>
        <v>EUROPEO</v>
      </c>
      <c r="P454" s="28" t="str">
        <f t="shared" si="4"/>
        <v>S1</v>
      </c>
      <c r="Q454" s="29">
        <v>2.0</v>
      </c>
      <c r="R454" s="29" t="str">
        <f t="shared" si="5"/>
        <v>Q2</v>
      </c>
    </row>
    <row r="455" ht="15.75" customHeight="1">
      <c r="A455" s="30">
        <v>45068.0</v>
      </c>
      <c r="B455" s="31">
        <v>1.670953421E9</v>
      </c>
      <c r="C455" s="32" t="s">
        <v>476</v>
      </c>
      <c r="D455" s="31">
        <v>2.7016337E7</v>
      </c>
      <c r="E455" s="30">
        <v>45069.0</v>
      </c>
      <c r="F455" s="33" t="s">
        <v>76</v>
      </c>
      <c r="G455" s="34">
        <v>2.0</v>
      </c>
      <c r="H455" s="33" t="s">
        <v>116</v>
      </c>
      <c r="I455" s="33" t="s">
        <v>71</v>
      </c>
      <c r="J455" s="33" t="s">
        <v>98</v>
      </c>
      <c r="K455" s="33" t="s">
        <v>84</v>
      </c>
      <c r="L455" s="33" t="str">
        <f t="shared" si="1"/>
        <v>FAMILIAR</v>
      </c>
      <c r="M455" s="33">
        <f t="shared" si="2"/>
        <v>5</v>
      </c>
      <c r="N455" s="33">
        <f t="shared" si="3"/>
        <v>2023</v>
      </c>
      <c r="O455" s="35" t="str">
        <f>VLOOKUP(K455,'CA y tablas'!$B$22:$C$28,2,FALSE)</f>
        <v>EUROPEO</v>
      </c>
      <c r="P455" s="28" t="str">
        <f t="shared" si="4"/>
        <v>S1</v>
      </c>
      <c r="Q455" s="29">
        <v>2.0</v>
      </c>
      <c r="R455" s="29" t="str">
        <f t="shared" si="5"/>
        <v>Q2</v>
      </c>
    </row>
    <row r="456" ht="15.75" customHeight="1">
      <c r="A456" s="22">
        <v>45068.0</v>
      </c>
      <c r="B456" s="23">
        <v>3.568269725E9</v>
      </c>
      <c r="C456" s="24" t="s">
        <v>481</v>
      </c>
      <c r="D456" s="23">
        <v>3.7497985E7</v>
      </c>
      <c r="E456" s="22">
        <v>45069.0</v>
      </c>
      <c r="F456" s="25" t="s">
        <v>76</v>
      </c>
      <c r="G456" s="26">
        <v>2.0</v>
      </c>
      <c r="H456" s="25" t="s">
        <v>116</v>
      </c>
      <c r="I456" s="25" t="s">
        <v>71</v>
      </c>
      <c r="J456" s="25" t="s">
        <v>98</v>
      </c>
      <c r="K456" s="25" t="s">
        <v>84</v>
      </c>
      <c r="L456" s="25" t="str">
        <f t="shared" si="1"/>
        <v>FAMILIAR</v>
      </c>
      <c r="M456" s="25">
        <f t="shared" si="2"/>
        <v>5</v>
      </c>
      <c r="N456" s="25">
        <f t="shared" si="3"/>
        <v>2023</v>
      </c>
      <c r="O456" s="27" t="str">
        <f>VLOOKUP(K456,'CA y tablas'!$B$22:$C$28,2,FALSE)</f>
        <v>EUROPEO</v>
      </c>
      <c r="P456" s="28" t="str">
        <f t="shared" si="4"/>
        <v>S1</v>
      </c>
      <c r="Q456" s="29">
        <v>2.0</v>
      </c>
      <c r="R456" s="29" t="str">
        <f t="shared" si="5"/>
        <v>Q2</v>
      </c>
    </row>
    <row r="457" ht="15.75" customHeight="1">
      <c r="A457" s="30">
        <v>45068.0</v>
      </c>
      <c r="B457" s="31">
        <v>5.987551113E9</v>
      </c>
      <c r="C457" s="32" t="s">
        <v>482</v>
      </c>
      <c r="D457" s="31">
        <v>2.7962465E7</v>
      </c>
      <c r="E457" s="30">
        <v>45069.0</v>
      </c>
      <c r="F457" s="33" t="s">
        <v>76</v>
      </c>
      <c r="G457" s="34">
        <v>2.0</v>
      </c>
      <c r="H457" s="33" t="s">
        <v>116</v>
      </c>
      <c r="I457" s="33" t="s">
        <v>71</v>
      </c>
      <c r="J457" s="33" t="s">
        <v>98</v>
      </c>
      <c r="K457" s="33" t="s">
        <v>84</v>
      </c>
      <c r="L457" s="33" t="str">
        <f t="shared" si="1"/>
        <v>FAMILIAR</v>
      </c>
      <c r="M457" s="33">
        <f t="shared" si="2"/>
        <v>5</v>
      </c>
      <c r="N457" s="33">
        <f t="shared" si="3"/>
        <v>2023</v>
      </c>
      <c r="O457" s="35" t="str">
        <f>VLOOKUP(K457,'CA y tablas'!$B$22:$C$28,2,FALSE)</f>
        <v>EUROPEO</v>
      </c>
      <c r="P457" s="28" t="str">
        <f t="shared" si="4"/>
        <v>S1</v>
      </c>
      <c r="Q457" s="29">
        <v>2.0</v>
      </c>
      <c r="R457" s="29" t="str">
        <f t="shared" si="5"/>
        <v>Q2</v>
      </c>
    </row>
    <row r="458" ht="15.75" customHeight="1">
      <c r="A458" s="22">
        <v>45068.0</v>
      </c>
      <c r="B458" s="23">
        <v>1.267152095E9</v>
      </c>
      <c r="C458" s="24" t="s">
        <v>483</v>
      </c>
      <c r="D458" s="23">
        <v>1.6811486E7</v>
      </c>
      <c r="E458" s="22">
        <v>45069.0</v>
      </c>
      <c r="F458" s="25" t="s">
        <v>69</v>
      </c>
      <c r="G458" s="26">
        <v>2.0</v>
      </c>
      <c r="H458" s="25" t="s">
        <v>116</v>
      </c>
      <c r="I458" s="25" t="s">
        <v>71</v>
      </c>
      <c r="J458" s="25" t="s">
        <v>98</v>
      </c>
      <c r="K458" s="25" t="s">
        <v>90</v>
      </c>
      <c r="L458" s="25" t="str">
        <f t="shared" si="1"/>
        <v>FAMILIAR</v>
      </c>
      <c r="M458" s="25">
        <f t="shared" si="2"/>
        <v>5</v>
      </c>
      <c r="N458" s="25">
        <f t="shared" si="3"/>
        <v>2023</v>
      </c>
      <c r="O458" s="27" t="str">
        <f>VLOOKUP(K458,'CA y tablas'!$B$22:$C$28,2,FALSE)</f>
        <v>EUROPEO</v>
      </c>
      <c r="P458" s="28" t="str">
        <f t="shared" si="4"/>
        <v>S1</v>
      </c>
      <c r="Q458" s="29">
        <v>2.0</v>
      </c>
      <c r="R458" s="29" t="str">
        <f t="shared" si="5"/>
        <v>Q2</v>
      </c>
    </row>
    <row r="459" ht="15.75" customHeight="1">
      <c r="A459" s="30">
        <v>45069.0</v>
      </c>
      <c r="B459" s="31">
        <v>7.504825425E9</v>
      </c>
      <c r="C459" s="32" t="s">
        <v>481</v>
      </c>
      <c r="D459" s="31">
        <v>3.7497985E7</v>
      </c>
      <c r="E459" s="30">
        <v>45069.0</v>
      </c>
      <c r="F459" s="33" t="s">
        <v>69</v>
      </c>
      <c r="G459" s="34">
        <v>2.0</v>
      </c>
      <c r="H459" s="33" t="s">
        <v>116</v>
      </c>
      <c r="I459" s="33" t="s">
        <v>71</v>
      </c>
      <c r="J459" s="33" t="s">
        <v>98</v>
      </c>
      <c r="K459" s="33" t="s">
        <v>90</v>
      </c>
      <c r="L459" s="33" t="str">
        <f t="shared" si="1"/>
        <v>FAMILIAR</v>
      </c>
      <c r="M459" s="33">
        <f t="shared" si="2"/>
        <v>5</v>
      </c>
      <c r="N459" s="33">
        <f t="shared" si="3"/>
        <v>2023</v>
      </c>
      <c r="O459" s="35" t="str">
        <f>VLOOKUP(K459,'CA y tablas'!$B$22:$C$28,2,FALSE)</f>
        <v>EUROPEO</v>
      </c>
      <c r="P459" s="28" t="str">
        <f t="shared" si="4"/>
        <v>S1</v>
      </c>
      <c r="Q459" s="29">
        <v>2.0</v>
      </c>
      <c r="R459" s="29" t="str">
        <f t="shared" si="5"/>
        <v>Q2</v>
      </c>
    </row>
    <row r="460" ht="15.75" customHeight="1">
      <c r="A460" s="22">
        <v>45062.0</v>
      </c>
      <c r="B460" s="23">
        <v>8.600355072E9</v>
      </c>
      <c r="C460" s="24" t="s">
        <v>484</v>
      </c>
      <c r="D460" s="23">
        <v>2.2336753E7</v>
      </c>
      <c r="E460" s="22">
        <v>45070.0</v>
      </c>
      <c r="F460" s="25" t="s">
        <v>76</v>
      </c>
      <c r="G460" s="26">
        <v>2.0</v>
      </c>
      <c r="H460" s="25" t="s">
        <v>116</v>
      </c>
      <c r="I460" s="25" t="s">
        <v>71</v>
      </c>
      <c r="J460" s="25" t="s">
        <v>98</v>
      </c>
      <c r="K460" s="25" t="s">
        <v>90</v>
      </c>
      <c r="L460" s="25" t="str">
        <f t="shared" si="1"/>
        <v>FAMILIAR</v>
      </c>
      <c r="M460" s="25">
        <f t="shared" si="2"/>
        <v>5</v>
      </c>
      <c r="N460" s="25">
        <f t="shared" si="3"/>
        <v>2023</v>
      </c>
      <c r="O460" s="27" t="str">
        <f>VLOOKUP(K460,'CA y tablas'!$B$22:$C$28,2,FALSE)</f>
        <v>EUROPEO</v>
      </c>
      <c r="P460" s="28" t="str">
        <f t="shared" si="4"/>
        <v>S1</v>
      </c>
      <c r="Q460" s="29">
        <v>2.0</v>
      </c>
      <c r="R460" s="29" t="str">
        <f t="shared" si="5"/>
        <v>Q2</v>
      </c>
    </row>
    <row r="461" ht="15.75" customHeight="1">
      <c r="A461" s="30">
        <v>45064.0</v>
      </c>
      <c r="B461" s="31">
        <v>6.781669856E9</v>
      </c>
      <c r="C461" s="32" t="s">
        <v>485</v>
      </c>
      <c r="D461" s="31">
        <v>3.7725276E7</v>
      </c>
      <c r="E461" s="30">
        <v>45070.0</v>
      </c>
      <c r="F461" s="33" t="s">
        <v>69</v>
      </c>
      <c r="G461" s="34">
        <v>2.0</v>
      </c>
      <c r="H461" s="33" t="s">
        <v>116</v>
      </c>
      <c r="I461" s="33" t="s">
        <v>71</v>
      </c>
      <c r="J461" s="33" t="s">
        <v>318</v>
      </c>
      <c r="K461" s="33" t="s">
        <v>90</v>
      </c>
      <c r="L461" s="33" t="str">
        <f t="shared" si="1"/>
        <v>FAMILIAR</v>
      </c>
      <c r="M461" s="33">
        <f t="shared" si="2"/>
        <v>5</v>
      </c>
      <c r="N461" s="33">
        <f t="shared" si="3"/>
        <v>2023</v>
      </c>
      <c r="O461" s="35" t="str">
        <f>VLOOKUP(K461,'CA y tablas'!$B$22:$C$28,2,FALSE)</f>
        <v>EUROPEO</v>
      </c>
      <c r="P461" s="28" t="str">
        <f t="shared" si="4"/>
        <v>S1</v>
      </c>
      <c r="Q461" s="29">
        <v>2.0</v>
      </c>
      <c r="R461" s="29" t="str">
        <f t="shared" si="5"/>
        <v>Q2</v>
      </c>
    </row>
    <row r="462" ht="15.75" customHeight="1">
      <c r="A462" s="22">
        <v>45064.0</v>
      </c>
      <c r="B462" s="23">
        <v>8.474050675E9</v>
      </c>
      <c r="C462" s="24" t="s">
        <v>486</v>
      </c>
      <c r="D462" s="23">
        <v>2.1328619E7</v>
      </c>
      <c r="E462" s="22">
        <v>45070.0</v>
      </c>
      <c r="F462" s="25" t="s">
        <v>76</v>
      </c>
      <c r="G462" s="26">
        <v>2.0</v>
      </c>
      <c r="H462" s="25" t="s">
        <v>116</v>
      </c>
      <c r="I462" s="25" t="s">
        <v>71</v>
      </c>
      <c r="J462" s="25" t="s">
        <v>318</v>
      </c>
      <c r="K462" s="25" t="s">
        <v>90</v>
      </c>
      <c r="L462" s="25" t="str">
        <f t="shared" si="1"/>
        <v>FAMILIAR</v>
      </c>
      <c r="M462" s="25">
        <f t="shared" si="2"/>
        <v>5</v>
      </c>
      <c r="N462" s="25">
        <f t="shared" si="3"/>
        <v>2023</v>
      </c>
      <c r="O462" s="27" t="str">
        <f>VLOOKUP(K462,'CA y tablas'!$B$22:$C$28,2,FALSE)</f>
        <v>EUROPEO</v>
      </c>
      <c r="P462" s="28" t="str">
        <f t="shared" si="4"/>
        <v>S1</v>
      </c>
      <c r="Q462" s="29">
        <v>2.0</v>
      </c>
      <c r="R462" s="29" t="str">
        <f t="shared" si="5"/>
        <v>Q2</v>
      </c>
    </row>
    <row r="463" ht="15.75" customHeight="1">
      <c r="A463" s="30">
        <v>45064.0</v>
      </c>
      <c r="B463" s="31">
        <v>6.071611173E9</v>
      </c>
      <c r="C463" s="32" t="s">
        <v>487</v>
      </c>
      <c r="D463" s="31">
        <v>4.3707553E7</v>
      </c>
      <c r="E463" s="30">
        <v>45070.0</v>
      </c>
      <c r="F463" s="33" t="s">
        <v>69</v>
      </c>
      <c r="G463" s="34">
        <v>1.0</v>
      </c>
      <c r="H463" s="33" t="s">
        <v>92</v>
      </c>
      <c r="I463" s="33" t="s">
        <v>77</v>
      </c>
      <c r="J463" s="33" t="s">
        <v>318</v>
      </c>
      <c r="K463" s="33" t="s">
        <v>90</v>
      </c>
      <c r="L463" s="33" t="str">
        <f t="shared" si="1"/>
        <v>INDIVIDUAL</v>
      </c>
      <c r="M463" s="33">
        <f t="shared" si="2"/>
        <v>5</v>
      </c>
      <c r="N463" s="33">
        <f t="shared" si="3"/>
        <v>2023</v>
      </c>
      <c r="O463" s="35" t="str">
        <f>VLOOKUP(K463,'CA y tablas'!$B$22:$C$28,2,FALSE)</f>
        <v>EUROPEO</v>
      </c>
      <c r="P463" s="28" t="str">
        <f t="shared" si="4"/>
        <v>S1</v>
      </c>
      <c r="Q463" s="29">
        <v>2.0</v>
      </c>
      <c r="R463" s="29" t="str">
        <f t="shared" si="5"/>
        <v>Q2</v>
      </c>
    </row>
    <row r="464" ht="15.75" customHeight="1">
      <c r="A464" s="22">
        <v>45065.0</v>
      </c>
      <c r="B464" s="23">
        <v>5.554460413E9</v>
      </c>
      <c r="C464" s="24" t="s">
        <v>488</v>
      </c>
      <c r="D464" s="23">
        <v>4.127521E7</v>
      </c>
      <c r="E464" s="22">
        <v>45070.0</v>
      </c>
      <c r="F464" s="25" t="s">
        <v>69</v>
      </c>
      <c r="G464" s="26">
        <v>1.0</v>
      </c>
      <c r="H464" s="25" t="s">
        <v>92</v>
      </c>
      <c r="I464" s="25" t="s">
        <v>77</v>
      </c>
      <c r="J464" s="25" t="s">
        <v>318</v>
      </c>
      <c r="K464" s="25" t="s">
        <v>90</v>
      </c>
      <c r="L464" s="25" t="str">
        <f t="shared" si="1"/>
        <v>INDIVIDUAL</v>
      </c>
      <c r="M464" s="25">
        <f t="shared" si="2"/>
        <v>5</v>
      </c>
      <c r="N464" s="25">
        <f t="shared" si="3"/>
        <v>2023</v>
      </c>
      <c r="O464" s="27" t="str">
        <f>VLOOKUP(K464,'CA y tablas'!$B$22:$C$28,2,FALSE)</f>
        <v>EUROPEO</v>
      </c>
      <c r="P464" s="28" t="str">
        <f t="shared" si="4"/>
        <v>S1</v>
      </c>
      <c r="Q464" s="29">
        <v>2.0</v>
      </c>
      <c r="R464" s="29" t="str">
        <f t="shared" si="5"/>
        <v>Q2</v>
      </c>
    </row>
    <row r="465" ht="15.75" customHeight="1">
      <c r="A465" s="30">
        <v>45065.0</v>
      </c>
      <c r="B465" s="31">
        <v>1.821350694E9</v>
      </c>
      <c r="C465" s="32" t="s">
        <v>489</v>
      </c>
      <c r="D465" s="31">
        <v>2.7210206E7</v>
      </c>
      <c r="E465" s="30">
        <v>45070.0</v>
      </c>
      <c r="F465" s="33" t="s">
        <v>69</v>
      </c>
      <c r="G465" s="34">
        <v>1.0</v>
      </c>
      <c r="H465" s="33" t="s">
        <v>92</v>
      </c>
      <c r="I465" s="33" t="s">
        <v>77</v>
      </c>
      <c r="J465" s="33" t="s">
        <v>318</v>
      </c>
      <c r="K465" s="33" t="s">
        <v>90</v>
      </c>
      <c r="L465" s="33" t="str">
        <f t="shared" si="1"/>
        <v>INDIVIDUAL</v>
      </c>
      <c r="M465" s="33">
        <f t="shared" si="2"/>
        <v>5</v>
      </c>
      <c r="N465" s="33">
        <f t="shared" si="3"/>
        <v>2023</v>
      </c>
      <c r="O465" s="35" t="str">
        <f>VLOOKUP(K465,'CA y tablas'!$B$22:$C$28,2,FALSE)</f>
        <v>EUROPEO</v>
      </c>
      <c r="P465" s="28" t="str">
        <f t="shared" si="4"/>
        <v>S1</v>
      </c>
      <c r="Q465" s="29">
        <v>2.0</v>
      </c>
      <c r="R465" s="29" t="str">
        <f t="shared" si="5"/>
        <v>Q2</v>
      </c>
    </row>
    <row r="466" ht="15.75" customHeight="1">
      <c r="A466" s="22">
        <v>45068.0</v>
      </c>
      <c r="B466" s="23">
        <v>1.39538399E9</v>
      </c>
      <c r="C466" s="24" t="s">
        <v>489</v>
      </c>
      <c r="D466" s="23">
        <v>2.7210206E7</v>
      </c>
      <c r="E466" s="22">
        <v>45070.0</v>
      </c>
      <c r="F466" s="25" t="s">
        <v>69</v>
      </c>
      <c r="G466" s="26">
        <v>1.0</v>
      </c>
      <c r="H466" s="25" t="s">
        <v>92</v>
      </c>
      <c r="I466" s="25" t="s">
        <v>77</v>
      </c>
      <c r="J466" s="25" t="s">
        <v>318</v>
      </c>
      <c r="K466" s="25" t="s">
        <v>90</v>
      </c>
      <c r="L466" s="25" t="str">
        <f t="shared" si="1"/>
        <v>INDIVIDUAL</v>
      </c>
      <c r="M466" s="25">
        <f t="shared" si="2"/>
        <v>5</v>
      </c>
      <c r="N466" s="25">
        <f t="shared" si="3"/>
        <v>2023</v>
      </c>
      <c r="O466" s="27" t="str">
        <f>VLOOKUP(K466,'CA y tablas'!$B$22:$C$28,2,FALSE)</f>
        <v>EUROPEO</v>
      </c>
      <c r="P466" s="28" t="str">
        <f t="shared" si="4"/>
        <v>S1</v>
      </c>
      <c r="Q466" s="29">
        <v>2.0</v>
      </c>
      <c r="R466" s="29" t="str">
        <f t="shared" si="5"/>
        <v>Q2</v>
      </c>
    </row>
    <row r="467" ht="15.75" customHeight="1">
      <c r="A467" s="30">
        <v>45068.0</v>
      </c>
      <c r="B467" s="31">
        <v>4.0994359E9</v>
      </c>
      <c r="C467" s="32" t="s">
        <v>490</v>
      </c>
      <c r="D467" s="31">
        <v>3.4132896E7</v>
      </c>
      <c r="E467" s="30">
        <v>45070.0</v>
      </c>
      <c r="F467" s="33" t="s">
        <v>69</v>
      </c>
      <c r="G467" s="34">
        <v>3.0</v>
      </c>
      <c r="H467" s="33" t="s">
        <v>106</v>
      </c>
      <c r="I467" s="33" t="s">
        <v>77</v>
      </c>
      <c r="J467" s="33" t="s">
        <v>318</v>
      </c>
      <c r="K467" s="33" t="s">
        <v>90</v>
      </c>
      <c r="L467" s="33" t="str">
        <f t="shared" si="1"/>
        <v>FAMILIAR</v>
      </c>
      <c r="M467" s="33">
        <f t="shared" si="2"/>
        <v>5</v>
      </c>
      <c r="N467" s="33">
        <f t="shared" si="3"/>
        <v>2023</v>
      </c>
      <c r="O467" s="35" t="str">
        <f>VLOOKUP(K467,'CA y tablas'!$B$22:$C$28,2,FALSE)</f>
        <v>EUROPEO</v>
      </c>
      <c r="P467" s="28" t="str">
        <f t="shared" si="4"/>
        <v>S1</v>
      </c>
      <c r="Q467" s="29">
        <v>2.0</v>
      </c>
      <c r="R467" s="29" t="str">
        <f t="shared" si="5"/>
        <v>Q2</v>
      </c>
    </row>
    <row r="468" ht="15.75" customHeight="1">
      <c r="A468" s="22">
        <v>45068.0</v>
      </c>
      <c r="B468" s="23">
        <v>4.260079762E9</v>
      </c>
      <c r="C468" s="24" t="s">
        <v>491</v>
      </c>
      <c r="D468" s="23">
        <v>2.3021198E7</v>
      </c>
      <c r="E468" s="22">
        <v>45070.0</v>
      </c>
      <c r="F468" s="25" t="s">
        <v>69</v>
      </c>
      <c r="G468" s="26">
        <v>3.0</v>
      </c>
      <c r="H468" s="25" t="s">
        <v>106</v>
      </c>
      <c r="I468" s="25" t="s">
        <v>77</v>
      </c>
      <c r="J468" s="25" t="s">
        <v>318</v>
      </c>
      <c r="K468" s="25" t="s">
        <v>90</v>
      </c>
      <c r="L468" s="25" t="str">
        <f t="shared" si="1"/>
        <v>FAMILIAR</v>
      </c>
      <c r="M468" s="25">
        <f t="shared" si="2"/>
        <v>5</v>
      </c>
      <c r="N468" s="25">
        <f t="shared" si="3"/>
        <v>2023</v>
      </c>
      <c r="O468" s="27" t="str">
        <f>VLOOKUP(K468,'CA y tablas'!$B$22:$C$28,2,FALSE)</f>
        <v>EUROPEO</v>
      </c>
      <c r="P468" s="28" t="str">
        <f t="shared" si="4"/>
        <v>S1</v>
      </c>
      <c r="Q468" s="29">
        <v>2.0</v>
      </c>
      <c r="R468" s="29" t="str">
        <f t="shared" si="5"/>
        <v>Q2</v>
      </c>
    </row>
    <row r="469" ht="15.75" customHeight="1">
      <c r="A469" s="30">
        <v>45068.0</v>
      </c>
      <c r="B469" s="31">
        <v>4.099474046E9</v>
      </c>
      <c r="C469" s="32" t="s">
        <v>492</v>
      </c>
      <c r="D469" s="31">
        <v>4.3967185E7</v>
      </c>
      <c r="E469" s="30">
        <v>45070.0</v>
      </c>
      <c r="F469" s="33" t="s">
        <v>69</v>
      </c>
      <c r="G469" s="34">
        <v>3.0</v>
      </c>
      <c r="H469" s="33" t="s">
        <v>106</v>
      </c>
      <c r="I469" s="33" t="s">
        <v>77</v>
      </c>
      <c r="J469" s="33" t="s">
        <v>72</v>
      </c>
      <c r="K469" s="33" t="s">
        <v>90</v>
      </c>
      <c r="L469" s="33" t="str">
        <f t="shared" si="1"/>
        <v>FAMILIAR</v>
      </c>
      <c r="M469" s="33">
        <f t="shared" si="2"/>
        <v>5</v>
      </c>
      <c r="N469" s="33">
        <f t="shared" si="3"/>
        <v>2023</v>
      </c>
      <c r="O469" s="35" t="str">
        <f>VLOOKUP(K469,'CA y tablas'!$B$22:$C$28,2,FALSE)</f>
        <v>EUROPEO</v>
      </c>
      <c r="P469" s="28" t="str">
        <f t="shared" si="4"/>
        <v>S1</v>
      </c>
      <c r="Q469" s="29">
        <v>2.0</v>
      </c>
      <c r="R469" s="29" t="str">
        <f t="shared" si="5"/>
        <v>Q2</v>
      </c>
    </row>
    <row r="470" ht="15.75" customHeight="1">
      <c r="A470" s="22">
        <v>45069.0</v>
      </c>
      <c r="B470" s="23">
        <v>1.085397515E9</v>
      </c>
      <c r="C470" s="24" t="s">
        <v>493</v>
      </c>
      <c r="D470" s="23">
        <v>2.0366737E7</v>
      </c>
      <c r="E470" s="22">
        <v>45070.0</v>
      </c>
      <c r="F470" s="25" t="s">
        <v>69</v>
      </c>
      <c r="G470" s="26">
        <v>2.0</v>
      </c>
      <c r="H470" s="25" t="s">
        <v>106</v>
      </c>
      <c r="I470" s="25" t="s">
        <v>77</v>
      </c>
      <c r="J470" s="25" t="s">
        <v>72</v>
      </c>
      <c r="K470" s="25" t="s">
        <v>90</v>
      </c>
      <c r="L470" s="25" t="str">
        <f t="shared" si="1"/>
        <v>FAMILIAR</v>
      </c>
      <c r="M470" s="25">
        <f t="shared" si="2"/>
        <v>5</v>
      </c>
      <c r="N470" s="25">
        <f t="shared" si="3"/>
        <v>2023</v>
      </c>
      <c r="O470" s="27" t="str">
        <f>VLOOKUP(K470,'CA y tablas'!$B$22:$C$28,2,FALSE)</f>
        <v>EUROPEO</v>
      </c>
      <c r="P470" s="28" t="str">
        <f t="shared" si="4"/>
        <v>S1</v>
      </c>
      <c r="Q470" s="29">
        <v>2.0</v>
      </c>
      <c r="R470" s="29" t="str">
        <f t="shared" si="5"/>
        <v>Q2</v>
      </c>
    </row>
    <row r="471" ht="15.75" customHeight="1">
      <c r="A471" s="30">
        <v>45062.0</v>
      </c>
      <c r="B471" s="31">
        <v>3.049617723E9</v>
      </c>
      <c r="C471" s="32" t="s">
        <v>494</v>
      </c>
      <c r="D471" s="31">
        <v>5293262.0</v>
      </c>
      <c r="E471" s="30">
        <v>45075.0</v>
      </c>
      <c r="F471" s="33" t="s">
        <v>69</v>
      </c>
      <c r="G471" s="34">
        <v>1.0</v>
      </c>
      <c r="H471" s="33" t="s">
        <v>106</v>
      </c>
      <c r="I471" s="33" t="s">
        <v>77</v>
      </c>
      <c r="J471" s="33" t="s">
        <v>72</v>
      </c>
      <c r="K471" s="33" t="s">
        <v>90</v>
      </c>
      <c r="L471" s="33" t="str">
        <f t="shared" si="1"/>
        <v>INDIVIDUAL</v>
      </c>
      <c r="M471" s="33">
        <f t="shared" si="2"/>
        <v>5</v>
      </c>
      <c r="N471" s="33">
        <f t="shared" si="3"/>
        <v>2023</v>
      </c>
      <c r="O471" s="35" t="str">
        <f>VLOOKUP(K471,'CA y tablas'!$B$22:$C$28,2,FALSE)</f>
        <v>EUROPEO</v>
      </c>
      <c r="P471" s="28" t="str">
        <f t="shared" si="4"/>
        <v>S1</v>
      </c>
      <c r="Q471" s="29">
        <v>2.0</v>
      </c>
      <c r="R471" s="29" t="str">
        <f t="shared" si="5"/>
        <v>Q2</v>
      </c>
    </row>
    <row r="472" ht="15.75" customHeight="1">
      <c r="A472" s="22">
        <v>45065.0</v>
      </c>
      <c r="B472" s="23">
        <v>1.41675653E9</v>
      </c>
      <c r="C472" s="24" t="s">
        <v>495</v>
      </c>
      <c r="D472" s="23">
        <v>4.2936016E7</v>
      </c>
      <c r="E472" s="22">
        <v>45075.0</v>
      </c>
      <c r="F472" s="25" t="s">
        <v>69</v>
      </c>
      <c r="G472" s="26">
        <v>3.0</v>
      </c>
      <c r="H472" s="25" t="s">
        <v>106</v>
      </c>
      <c r="I472" s="25" t="s">
        <v>77</v>
      </c>
      <c r="J472" s="25" t="s">
        <v>72</v>
      </c>
      <c r="K472" s="25" t="s">
        <v>73</v>
      </c>
      <c r="L472" s="25" t="str">
        <f t="shared" si="1"/>
        <v>FAMILIAR</v>
      </c>
      <c r="M472" s="25">
        <f t="shared" si="2"/>
        <v>5</v>
      </c>
      <c r="N472" s="25">
        <f t="shared" si="3"/>
        <v>2023</v>
      </c>
      <c r="O472" s="27" t="str">
        <f>VLOOKUP(K472,'CA y tablas'!$B$22:$C$28,2,FALSE)</f>
        <v>AMERICANO</v>
      </c>
      <c r="P472" s="28" t="str">
        <f t="shared" si="4"/>
        <v>S1</v>
      </c>
      <c r="Q472" s="29">
        <v>2.0</v>
      </c>
      <c r="R472" s="29" t="str">
        <f t="shared" si="5"/>
        <v>Q2</v>
      </c>
    </row>
    <row r="473" ht="15.75" customHeight="1">
      <c r="A473" s="30">
        <v>45069.0</v>
      </c>
      <c r="B473" s="31">
        <v>5.014407366E9</v>
      </c>
      <c r="C473" s="32" t="s">
        <v>496</v>
      </c>
      <c r="D473" s="31">
        <v>3.418597E7</v>
      </c>
      <c r="E473" s="30">
        <v>45075.0</v>
      </c>
      <c r="F473" s="33" t="s">
        <v>76</v>
      </c>
      <c r="G473" s="34">
        <v>1.0</v>
      </c>
      <c r="H473" s="33" t="s">
        <v>106</v>
      </c>
      <c r="I473" s="33" t="s">
        <v>77</v>
      </c>
      <c r="J473" s="33" t="s">
        <v>72</v>
      </c>
      <c r="K473" s="33" t="s">
        <v>73</v>
      </c>
      <c r="L473" s="33" t="str">
        <f t="shared" si="1"/>
        <v>INDIVIDUAL</v>
      </c>
      <c r="M473" s="33">
        <f t="shared" si="2"/>
        <v>5</v>
      </c>
      <c r="N473" s="33">
        <f t="shared" si="3"/>
        <v>2023</v>
      </c>
      <c r="O473" s="35" t="str">
        <f>VLOOKUP(K473,'CA y tablas'!$B$22:$C$28,2,FALSE)</f>
        <v>AMERICANO</v>
      </c>
      <c r="P473" s="28" t="str">
        <f t="shared" si="4"/>
        <v>S1</v>
      </c>
      <c r="Q473" s="29">
        <v>2.0</v>
      </c>
      <c r="R473" s="29" t="str">
        <f t="shared" si="5"/>
        <v>Q2</v>
      </c>
    </row>
    <row r="474" ht="15.75" customHeight="1">
      <c r="A474" s="22">
        <v>45062.0</v>
      </c>
      <c r="B474" s="23">
        <v>3.049615796E9</v>
      </c>
      <c r="C474" s="24" t="s">
        <v>497</v>
      </c>
      <c r="D474" s="23">
        <v>1.2414866E7</v>
      </c>
      <c r="E474" s="22">
        <v>45076.0</v>
      </c>
      <c r="F474" s="25" t="s">
        <v>76</v>
      </c>
      <c r="G474" s="26">
        <v>1.0</v>
      </c>
      <c r="H474" s="25" t="s">
        <v>106</v>
      </c>
      <c r="I474" s="25" t="s">
        <v>77</v>
      </c>
      <c r="J474" s="25" t="s">
        <v>72</v>
      </c>
      <c r="K474" s="25" t="s">
        <v>73</v>
      </c>
      <c r="L474" s="25" t="str">
        <f t="shared" si="1"/>
        <v>INDIVIDUAL</v>
      </c>
      <c r="M474" s="25">
        <f t="shared" si="2"/>
        <v>5</v>
      </c>
      <c r="N474" s="25">
        <f t="shared" si="3"/>
        <v>2023</v>
      </c>
      <c r="O474" s="27" t="str">
        <f>VLOOKUP(K474,'CA y tablas'!$B$22:$C$28,2,FALSE)</f>
        <v>AMERICANO</v>
      </c>
      <c r="P474" s="28" t="str">
        <f t="shared" si="4"/>
        <v>S1</v>
      </c>
      <c r="Q474" s="29">
        <v>2.0</v>
      </c>
      <c r="R474" s="29" t="str">
        <f t="shared" si="5"/>
        <v>Q2</v>
      </c>
    </row>
    <row r="475" ht="15.75" customHeight="1">
      <c r="A475" s="30">
        <v>45062.0</v>
      </c>
      <c r="B475" s="31">
        <v>6.110433766E9</v>
      </c>
      <c r="C475" s="32" t="s">
        <v>497</v>
      </c>
      <c r="D475" s="31">
        <v>1.2414866E7</v>
      </c>
      <c r="E475" s="30">
        <v>45076.0</v>
      </c>
      <c r="F475" s="33" t="s">
        <v>76</v>
      </c>
      <c r="G475" s="34">
        <v>3.0</v>
      </c>
      <c r="H475" s="33" t="s">
        <v>106</v>
      </c>
      <c r="I475" s="33" t="s">
        <v>77</v>
      </c>
      <c r="J475" s="33" t="s">
        <v>72</v>
      </c>
      <c r="K475" s="33" t="s">
        <v>73</v>
      </c>
      <c r="L475" s="33" t="str">
        <f t="shared" si="1"/>
        <v>FAMILIAR</v>
      </c>
      <c r="M475" s="33">
        <f t="shared" si="2"/>
        <v>5</v>
      </c>
      <c r="N475" s="33">
        <f t="shared" si="3"/>
        <v>2023</v>
      </c>
      <c r="O475" s="35" t="str">
        <f>VLOOKUP(K475,'CA y tablas'!$B$22:$C$28,2,FALSE)</f>
        <v>AMERICANO</v>
      </c>
      <c r="P475" s="28" t="str">
        <f t="shared" si="4"/>
        <v>S1</v>
      </c>
      <c r="Q475" s="29">
        <v>2.0</v>
      </c>
      <c r="R475" s="29" t="str">
        <f t="shared" si="5"/>
        <v>Q2</v>
      </c>
    </row>
    <row r="476" ht="15.75" customHeight="1">
      <c r="A476" s="22">
        <v>45068.0</v>
      </c>
      <c r="B476" s="23">
        <v>4.099481492E9</v>
      </c>
      <c r="C476" s="24" t="s">
        <v>498</v>
      </c>
      <c r="D476" s="23">
        <v>1.8623485E7</v>
      </c>
      <c r="E476" s="22">
        <v>45076.0</v>
      </c>
      <c r="F476" s="25" t="s">
        <v>76</v>
      </c>
      <c r="G476" s="26">
        <v>4.0</v>
      </c>
      <c r="H476" s="25" t="s">
        <v>106</v>
      </c>
      <c r="I476" s="25" t="s">
        <v>77</v>
      </c>
      <c r="J476" s="25" t="s">
        <v>72</v>
      </c>
      <c r="K476" s="25" t="s">
        <v>73</v>
      </c>
      <c r="L476" s="25" t="str">
        <f t="shared" si="1"/>
        <v>FAMILIAR</v>
      </c>
      <c r="M476" s="25">
        <f t="shared" si="2"/>
        <v>5</v>
      </c>
      <c r="N476" s="25">
        <f t="shared" si="3"/>
        <v>2023</v>
      </c>
      <c r="O476" s="27" t="str">
        <f>VLOOKUP(K476,'CA y tablas'!$B$22:$C$28,2,FALSE)</f>
        <v>AMERICANO</v>
      </c>
      <c r="P476" s="28" t="str">
        <f t="shared" si="4"/>
        <v>S1</v>
      </c>
      <c r="Q476" s="29">
        <v>2.0</v>
      </c>
      <c r="R476" s="29" t="str">
        <f t="shared" si="5"/>
        <v>Q2</v>
      </c>
    </row>
    <row r="477" ht="15.75" customHeight="1">
      <c r="A477" s="30">
        <v>45076.0</v>
      </c>
      <c r="B477" s="31">
        <v>9.8647619E9</v>
      </c>
      <c r="C477" s="32" t="s">
        <v>499</v>
      </c>
      <c r="D477" s="31">
        <v>1.6314375E7</v>
      </c>
      <c r="E477" s="30">
        <v>45076.0</v>
      </c>
      <c r="F477" s="33" t="s">
        <v>76</v>
      </c>
      <c r="G477" s="34">
        <v>1.0</v>
      </c>
      <c r="H477" s="33" t="s">
        <v>106</v>
      </c>
      <c r="I477" s="33" t="s">
        <v>77</v>
      </c>
      <c r="J477" s="33" t="s">
        <v>98</v>
      </c>
      <c r="K477" s="33" t="s">
        <v>73</v>
      </c>
      <c r="L477" s="33" t="str">
        <f t="shared" si="1"/>
        <v>INDIVIDUAL</v>
      </c>
      <c r="M477" s="33">
        <f t="shared" si="2"/>
        <v>5</v>
      </c>
      <c r="N477" s="33">
        <f t="shared" si="3"/>
        <v>2023</v>
      </c>
      <c r="O477" s="35" t="str">
        <f>VLOOKUP(K477,'CA y tablas'!$B$22:$C$28,2,FALSE)</f>
        <v>AMERICANO</v>
      </c>
      <c r="P477" s="28" t="str">
        <f t="shared" si="4"/>
        <v>S1</v>
      </c>
      <c r="Q477" s="29">
        <v>2.0</v>
      </c>
      <c r="R477" s="29" t="str">
        <f t="shared" si="5"/>
        <v>Q2</v>
      </c>
    </row>
    <row r="478" ht="15.75" customHeight="1">
      <c r="A478" s="22">
        <v>45076.0</v>
      </c>
      <c r="B478" s="23">
        <v>3.795633446E9</v>
      </c>
      <c r="C478" s="24" t="s">
        <v>500</v>
      </c>
      <c r="D478" s="23">
        <v>1.1476996E7</v>
      </c>
      <c r="E478" s="22">
        <v>45076.0</v>
      </c>
      <c r="F478" s="25" t="s">
        <v>76</v>
      </c>
      <c r="G478" s="26">
        <v>6.0</v>
      </c>
      <c r="H478" s="25" t="s">
        <v>70</v>
      </c>
      <c r="I478" s="25" t="s">
        <v>77</v>
      </c>
      <c r="J478" s="25" t="s">
        <v>98</v>
      </c>
      <c r="K478" s="25" t="s">
        <v>73</v>
      </c>
      <c r="L478" s="25" t="str">
        <f t="shared" si="1"/>
        <v>FAMILIAR</v>
      </c>
      <c r="M478" s="25">
        <f t="shared" si="2"/>
        <v>5</v>
      </c>
      <c r="N478" s="25">
        <f t="shared" si="3"/>
        <v>2023</v>
      </c>
      <c r="O478" s="27" t="str">
        <f>VLOOKUP(K478,'CA y tablas'!$B$22:$C$28,2,FALSE)</f>
        <v>AMERICANO</v>
      </c>
      <c r="P478" s="28" t="str">
        <f t="shared" si="4"/>
        <v>S1</v>
      </c>
      <c r="Q478" s="29">
        <v>2.0</v>
      </c>
      <c r="R478" s="29" t="str">
        <f t="shared" si="5"/>
        <v>Q2</v>
      </c>
    </row>
    <row r="479" ht="15.75" customHeight="1">
      <c r="A479" s="30">
        <v>45062.0</v>
      </c>
      <c r="B479" s="31">
        <v>8.055641296E9</v>
      </c>
      <c r="C479" s="32" t="s">
        <v>501</v>
      </c>
      <c r="D479" s="31">
        <v>3.8225893E7</v>
      </c>
      <c r="E479" s="30">
        <v>45077.0</v>
      </c>
      <c r="F479" s="33" t="s">
        <v>76</v>
      </c>
      <c r="G479" s="34">
        <v>6.0</v>
      </c>
      <c r="H479" s="33" t="s">
        <v>70</v>
      </c>
      <c r="I479" s="33" t="s">
        <v>88</v>
      </c>
      <c r="J479" s="33" t="s">
        <v>98</v>
      </c>
      <c r="K479" s="33" t="s">
        <v>73</v>
      </c>
      <c r="L479" s="33" t="str">
        <f t="shared" si="1"/>
        <v>FAMILIAR</v>
      </c>
      <c r="M479" s="33">
        <f t="shared" si="2"/>
        <v>5</v>
      </c>
      <c r="N479" s="33">
        <f t="shared" si="3"/>
        <v>2023</v>
      </c>
      <c r="O479" s="35" t="str">
        <f>VLOOKUP(K479,'CA y tablas'!$B$22:$C$28,2,FALSE)</f>
        <v>AMERICANO</v>
      </c>
      <c r="P479" s="28" t="str">
        <f t="shared" si="4"/>
        <v>S1</v>
      </c>
      <c r="Q479" s="29">
        <v>2.0</v>
      </c>
      <c r="R479" s="29" t="str">
        <f t="shared" si="5"/>
        <v>Q2</v>
      </c>
    </row>
    <row r="480" ht="15.75" customHeight="1">
      <c r="A480" s="22">
        <v>45062.0</v>
      </c>
      <c r="B480" s="23">
        <v>4.726488255E9</v>
      </c>
      <c r="C480" s="24" t="s">
        <v>502</v>
      </c>
      <c r="D480" s="23">
        <v>2.4981243E7</v>
      </c>
      <c r="E480" s="22">
        <v>45077.0</v>
      </c>
      <c r="F480" s="25" t="s">
        <v>76</v>
      </c>
      <c r="G480" s="26">
        <v>5.0</v>
      </c>
      <c r="H480" s="25" t="s">
        <v>70</v>
      </c>
      <c r="I480" s="25" t="s">
        <v>88</v>
      </c>
      <c r="J480" s="25" t="s">
        <v>98</v>
      </c>
      <c r="K480" s="25" t="s">
        <v>73</v>
      </c>
      <c r="L480" s="25" t="str">
        <f t="shared" si="1"/>
        <v>FAMILIAR</v>
      </c>
      <c r="M480" s="25">
        <f t="shared" si="2"/>
        <v>5</v>
      </c>
      <c r="N480" s="25">
        <f t="shared" si="3"/>
        <v>2023</v>
      </c>
      <c r="O480" s="27" t="str">
        <f>VLOOKUP(K480,'CA y tablas'!$B$22:$C$28,2,FALSE)</f>
        <v>AMERICANO</v>
      </c>
      <c r="P480" s="28" t="str">
        <f t="shared" si="4"/>
        <v>S1</v>
      </c>
      <c r="Q480" s="29">
        <v>2.0</v>
      </c>
      <c r="R480" s="29" t="str">
        <f t="shared" si="5"/>
        <v>Q2</v>
      </c>
    </row>
    <row r="481" ht="15.75" customHeight="1">
      <c r="A481" s="30">
        <v>45068.0</v>
      </c>
      <c r="B481" s="31">
        <v>1.453821456E9</v>
      </c>
      <c r="C481" s="32" t="s">
        <v>503</v>
      </c>
      <c r="D481" s="31">
        <v>3.7311645E7</v>
      </c>
      <c r="E481" s="30">
        <v>45077.0</v>
      </c>
      <c r="F481" s="33" t="s">
        <v>76</v>
      </c>
      <c r="G481" s="34">
        <v>1.0</v>
      </c>
      <c r="H481" s="33" t="s">
        <v>70</v>
      </c>
      <c r="I481" s="33" t="s">
        <v>88</v>
      </c>
      <c r="J481" s="33" t="s">
        <v>98</v>
      </c>
      <c r="K481" s="33" t="s">
        <v>99</v>
      </c>
      <c r="L481" s="33" t="str">
        <f t="shared" si="1"/>
        <v>INDIVIDUAL</v>
      </c>
      <c r="M481" s="33">
        <f t="shared" si="2"/>
        <v>5</v>
      </c>
      <c r="N481" s="33">
        <f t="shared" si="3"/>
        <v>2023</v>
      </c>
      <c r="O481" s="35" t="str">
        <f>VLOOKUP(K481,'CA y tablas'!$B$22:$C$28,2,FALSE)</f>
        <v>EUROPEO</v>
      </c>
      <c r="P481" s="28" t="str">
        <f t="shared" si="4"/>
        <v>S1</v>
      </c>
      <c r="Q481" s="29">
        <v>2.0</v>
      </c>
      <c r="R481" s="29" t="str">
        <f t="shared" si="5"/>
        <v>Q2</v>
      </c>
    </row>
    <row r="482" ht="15.75" customHeight="1">
      <c r="A482" s="22">
        <v>45076.0</v>
      </c>
      <c r="B482" s="23">
        <v>3.412358902E9</v>
      </c>
      <c r="C482" s="24" t="s">
        <v>504</v>
      </c>
      <c r="D482" s="23">
        <v>1.8624787E7</v>
      </c>
      <c r="E482" s="22">
        <v>45077.0</v>
      </c>
      <c r="F482" s="25" t="s">
        <v>69</v>
      </c>
      <c r="G482" s="26">
        <v>1.0</v>
      </c>
      <c r="H482" s="25" t="s">
        <v>70</v>
      </c>
      <c r="I482" s="25" t="s">
        <v>88</v>
      </c>
      <c r="J482" s="25" t="s">
        <v>98</v>
      </c>
      <c r="K482" s="25" t="s">
        <v>99</v>
      </c>
      <c r="L482" s="25" t="str">
        <f t="shared" si="1"/>
        <v>INDIVIDUAL</v>
      </c>
      <c r="M482" s="25">
        <f t="shared" si="2"/>
        <v>5</v>
      </c>
      <c r="N482" s="25">
        <f t="shared" si="3"/>
        <v>2023</v>
      </c>
      <c r="O482" s="27" t="str">
        <f>VLOOKUP(K482,'CA y tablas'!$B$22:$C$28,2,FALSE)</f>
        <v>EUROPEO</v>
      </c>
      <c r="P482" s="28" t="str">
        <f t="shared" si="4"/>
        <v>S1</v>
      </c>
      <c r="Q482" s="29">
        <v>2.0</v>
      </c>
      <c r="R482" s="29" t="str">
        <f t="shared" si="5"/>
        <v>Q2</v>
      </c>
    </row>
    <row r="483" ht="15.75" customHeight="1">
      <c r="A483" s="30">
        <v>45076.0</v>
      </c>
      <c r="B483" s="31">
        <v>3.037995741E9</v>
      </c>
      <c r="C483" s="32" t="s">
        <v>505</v>
      </c>
      <c r="D483" s="31">
        <v>8089521.0</v>
      </c>
      <c r="E483" s="30">
        <v>45077.0</v>
      </c>
      <c r="F483" s="33" t="s">
        <v>69</v>
      </c>
      <c r="G483" s="34">
        <v>1.0</v>
      </c>
      <c r="H483" s="33" t="s">
        <v>70</v>
      </c>
      <c r="I483" s="33" t="s">
        <v>88</v>
      </c>
      <c r="J483" s="33" t="s">
        <v>93</v>
      </c>
      <c r="K483" s="33" t="s">
        <v>99</v>
      </c>
      <c r="L483" s="33" t="str">
        <f t="shared" si="1"/>
        <v>INDIVIDUAL</v>
      </c>
      <c r="M483" s="33">
        <f t="shared" si="2"/>
        <v>5</v>
      </c>
      <c r="N483" s="33">
        <f t="shared" si="3"/>
        <v>2023</v>
      </c>
      <c r="O483" s="35" t="str">
        <f>VLOOKUP(K483,'CA y tablas'!$B$22:$C$28,2,FALSE)</f>
        <v>EUROPEO</v>
      </c>
      <c r="P483" s="28" t="str">
        <f t="shared" si="4"/>
        <v>S1</v>
      </c>
      <c r="Q483" s="29">
        <v>2.0</v>
      </c>
      <c r="R483" s="29" t="str">
        <f t="shared" si="5"/>
        <v>Q2</v>
      </c>
    </row>
    <row r="484" ht="15.75" customHeight="1">
      <c r="A484" s="22">
        <v>45076.0</v>
      </c>
      <c r="B484" s="23">
        <v>3.824558441E9</v>
      </c>
      <c r="C484" s="24" t="s">
        <v>506</v>
      </c>
      <c r="D484" s="23">
        <v>1.2220632E7</v>
      </c>
      <c r="E484" s="22">
        <v>45077.0</v>
      </c>
      <c r="F484" s="25" t="s">
        <v>69</v>
      </c>
      <c r="G484" s="26">
        <v>3.0</v>
      </c>
      <c r="H484" s="25" t="s">
        <v>70</v>
      </c>
      <c r="I484" s="25" t="s">
        <v>88</v>
      </c>
      <c r="J484" s="25" t="s">
        <v>93</v>
      </c>
      <c r="K484" s="25" t="s">
        <v>99</v>
      </c>
      <c r="L484" s="25" t="str">
        <f t="shared" si="1"/>
        <v>FAMILIAR</v>
      </c>
      <c r="M484" s="25">
        <f t="shared" si="2"/>
        <v>5</v>
      </c>
      <c r="N484" s="25">
        <f t="shared" si="3"/>
        <v>2023</v>
      </c>
      <c r="O484" s="27" t="str">
        <f>VLOOKUP(K484,'CA y tablas'!$B$22:$C$28,2,FALSE)</f>
        <v>EUROPEO</v>
      </c>
      <c r="P484" s="28" t="str">
        <f t="shared" si="4"/>
        <v>S1</v>
      </c>
      <c r="Q484" s="29">
        <v>2.0</v>
      </c>
      <c r="R484" s="29" t="str">
        <f t="shared" si="5"/>
        <v>Q2</v>
      </c>
    </row>
    <row r="485" ht="15.75" customHeight="1">
      <c r="A485" s="30">
        <v>45076.0</v>
      </c>
      <c r="B485" s="31">
        <v>7.297205613E9</v>
      </c>
      <c r="C485" s="32" t="s">
        <v>505</v>
      </c>
      <c r="D485" s="31">
        <v>8089521.0</v>
      </c>
      <c r="E485" s="30">
        <v>45077.0</v>
      </c>
      <c r="F485" s="33" t="s">
        <v>69</v>
      </c>
      <c r="G485" s="34">
        <v>1.0</v>
      </c>
      <c r="H485" s="33" t="s">
        <v>70</v>
      </c>
      <c r="I485" s="33" t="s">
        <v>88</v>
      </c>
      <c r="J485" s="33" t="s">
        <v>93</v>
      </c>
      <c r="K485" s="33" t="s">
        <v>99</v>
      </c>
      <c r="L485" s="33" t="str">
        <f t="shared" si="1"/>
        <v>INDIVIDUAL</v>
      </c>
      <c r="M485" s="33">
        <f t="shared" si="2"/>
        <v>5</v>
      </c>
      <c r="N485" s="33">
        <f t="shared" si="3"/>
        <v>2023</v>
      </c>
      <c r="O485" s="35" t="str">
        <f>VLOOKUP(K485,'CA y tablas'!$B$22:$C$28,2,FALSE)</f>
        <v>EUROPEO</v>
      </c>
      <c r="P485" s="28" t="str">
        <f t="shared" si="4"/>
        <v>S1</v>
      </c>
      <c r="Q485" s="29">
        <v>2.0</v>
      </c>
      <c r="R485" s="29" t="str">
        <f t="shared" si="5"/>
        <v>Q2</v>
      </c>
    </row>
    <row r="486" ht="15.75" customHeight="1">
      <c r="A486" s="22">
        <v>45076.0</v>
      </c>
      <c r="B486" s="23">
        <v>4.90773983E9</v>
      </c>
      <c r="C486" s="24" t="s">
        <v>507</v>
      </c>
      <c r="D486" s="23">
        <v>3.1946933E7</v>
      </c>
      <c r="E486" s="22">
        <v>45077.0</v>
      </c>
      <c r="F486" s="25" t="s">
        <v>69</v>
      </c>
      <c r="G486" s="26">
        <v>4.0</v>
      </c>
      <c r="H486" s="25" t="s">
        <v>70</v>
      </c>
      <c r="I486" s="25" t="s">
        <v>88</v>
      </c>
      <c r="J486" s="25" t="s">
        <v>93</v>
      </c>
      <c r="K486" s="25" t="s">
        <v>103</v>
      </c>
      <c r="L486" s="25" t="str">
        <f t="shared" si="1"/>
        <v>FAMILIAR</v>
      </c>
      <c r="M486" s="25">
        <f t="shared" si="2"/>
        <v>5</v>
      </c>
      <c r="N486" s="25">
        <f t="shared" si="3"/>
        <v>2023</v>
      </c>
      <c r="O486" s="27" t="str">
        <f>VLOOKUP(K486,'CA y tablas'!$B$22:$C$28,2,FALSE)</f>
        <v>EUROPEO</v>
      </c>
      <c r="P486" s="28" t="str">
        <f t="shared" si="4"/>
        <v>S1</v>
      </c>
      <c r="Q486" s="29">
        <v>2.0</v>
      </c>
      <c r="R486" s="29" t="str">
        <f t="shared" si="5"/>
        <v>Q2</v>
      </c>
    </row>
    <row r="487" ht="15.75" customHeight="1">
      <c r="A487" s="30">
        <v>45076.0</v>
      </c>
      <c r="B487" s="31">
        <v>9.52021308E9</v>
      </c>
      <c r="C487" s="32" t="s">
        <v>508</v>
      </c>
      <c r="D487" s="31">
        <v>8009498.0</v>
      </c>
      <c r="E487" s="30">
        <v>45077.0</v>
      </c>
      <c r="F487" s="33" t="s">
        <v>76</v>
      </c>
      <c r="G487" s="34">
        <v>1.0</v>
      </c>
      <c r="H487" s="33" t="s">
        <v>70</v>
      </c>
      <c r="I487" s="33" t="s">
        <v>88</v>
      </c>
      <c r="J487" s="33" t="s">
        <v>93</v>
      </c>
      <c r="K487" s="33" t="s">
        <v>103</v>
      </c>
      <c r="L487" s="33" t="str">
        <f t="shared" si="1"/>
        <v>INDIVIDUAL</v>
      </c>
      <c r="M487" s="33">
        <f t="shared" si="2"/>
        <v>5</v>
      </c>
      <c r="N487" s="33">
        <f t="shared" si="3"/>
        <v>2023</v>
      </c>
      <c r="O487" s="35" t="str">
        <f>VLOOKUP(K487,'CA y tablas'!$B$22:$C$28,2,FALSE)</f>
        <v>EUROPEO</v>
      </c>
      <c r="P487" s="28" t="str">
        <f t="shared" si="4"/>
        <v>S1</v>
      </c>
      <c r="Q487" s="29">
        <v>2.0</v>
      </c>
      <c r="R487" s="29" t="str">
        <f t="shared" si="5"/>
        <v>Q2</v>
      </c>
    </row>
    <row r="488" ht="15.75" customHeight="1">
      <c r="A488" s="22">
        <v>45076.0</v>
      </c>
      <c r="B488" s="23">
        <v>4.938834876E9</v>
      </c>
      <c r="C488" s="24" t="s">
        <v>509</v>
      </c>
      <c r="D488" s="23">
        <v>3.91383E7</v>
      </c>
      <c r="E488" s="22">
        <v>45077.0</v>
      </c>
      <c r="F488" s="25" t="s">
        <v>76</v>
      </c>
      <c r="G488" s="26">
        <v>5.0</v>
      </c>
      <c r="H488" s="25" t="s">
        <v>70</v>
      </c>
      <c r="I488" s="25" t="s">
        <v>88</v>
      </c>
      <c r="J488" s="25" t="s">
        <v>93</v>
      </c>
      <c r="K488" s="25" t="s">
        <v>103</v>
      </c>
      <c r="L488" s="25" t="str">
        <f t="shared" si="1"/>
        <v>FAMILIAR</v>
      </c>
      <c r="M488" s="25">
        <f t="shared" si="2"/>
        <v>5</v>
      </c>
      <c r="N488" s="25">
        <f t="shared" si="3"/>
        <v>2023</v>
      </c>
      <c r="O488" s="27" t="str">
        <f>VLOOKUP(K488,'CA y tablas'!$B$22:$C$28,2,FALSE)</f>
        <v>EUROPEO</v>
      </c>
      <c r="P488" s="28" t="str">
        <f t="shared" si="4"/>
        <v>S1</v>
      </c>
      <c r="Q488" s="29">
        <v>2.0</v>
      </c>
      <c r="R488" s="29" t="str">
        <f t="shared" si="5"/>
        <v>Q2</v>
      </c>
    </row>
    <row r="489" ht="15.75" customHeight="1">
      <c r="A489" s="30">
        <v>45076.0</v>
      </c>
      <c r="B489" s="31">
        <v>4.113219585E9</v>
      </c>
      <c r="C489" s="32" t="s">
        <v>510</v>
      </c>
      <c r="D489" s="31">
        <v>1.7526171E7</v>
      </c>
      <c r="E489" s="30">
        <v>45077.0</v>
      </c>
      <c r="F489" s="33" t="s">
        <v>69</v>
      </c>
      <c r="G489" s="34">
        <v>2.0</v>
      </c>
      <c r="H489" s="33" t="s">
        <v>70</v>
      </c>
      <c r="I489" s="33" t="s">
        <v>88</v>
      </c>
      <c r="J489" s="33" t="s">
        <v>93</v>
      </c>
      <c r="K489" s="33" t="s">
        <v>103</v>
      </c>
      <c r="L489" s="33" t="str">
        <f t="shared" si="1"/>
        <v>FAMILIAR</v>
      </c>
      <c r="M489" s="33">
        <f t="shared" si="2"/>
        <v>5</v>
      </c>
      <c r="N489" s="33">
        <f t="shared" si="3"/>
        <v>2023</v>
      </c>
      <c r="O489" s="35" t="str">
        <f>VLOOKUP(K489,'CA y tablas'!$B$22:$C$28,2,FALSE)</f>
        <v>EUROPEO</v>
      </c>
      <c r="P489" s="28" t="str">
        <f t="shared" si="4"/>
        <v>S1</v>
      </c>
      <c r="Q489" s="29">
        <v>2.0</v>
      </c>
      <c r="R489" s="29" t="str">
        <f t="shared" si="5"/>
        <v>Q2</v>
      </c>
    </row>
    <row r="490" ht="15.75" customHeight="1">
      <c r="A490" s="22">
        <v>45076.0</v>
      </c>
      <c r="B490" s="23">
        <v>3.038014302E9</v>
      </c>
      <c r="C490" s="24" t="s">
        <v>511</v>
      </c>
      <c r="D490" s="23">
        <v>1.0012036E7</v>
      </c>
      <c r="E490" s="22">
        <v>45077.0</v>
      </c>
      <c r="F490" s="25" t="s">
        <v>69</v>
      </c>
      <c r="G490" s="26">
        <v>1.0</v>
      </c>
      <c r="H490" s="25" t="s">
        <v>70</v>
      </c>
      <c r="I490" s="25" t="s">
        <v>88</v>
      </c>
      <c r="J490" s="25" t="s">
        <v>93</v>
      </c>
      <c r="K490" s="25" t="s">
        <v>103</v>
      </c>
      <c r="L490" s="25" t="str">
        <f t="shared" si="1"/>
        <v>INDIVIDUAL</v>
      </c>
      <c r="M490" s="25">
        <f t="shared" si="2"/>
        <v>5</v>
      </c>
      <c r="N490" s="25">
        <f t="shared" si="3"/>
        <v>2023</v>
      </c>
      <c r="O490" s="27" t="str">
        <f>VLOOKUP(K490,'CA y tablas'!$B$22:$C$28,2,FALSE)</f>
        <v>EUROPEO</v>
      </c>
      <c r="P490" s="28" t="str">
        <f t="shared" si="4"/>
        <v>S1</v>
      </c>
      <c r="Q490" s="29">
        <v>2.0</v>
      </c>
      <c r="R490" s="29" t="str">
        <f t="shared" si="5"/>
        <v>Q2</v>
      </c>
    </row>
    <row r="491" ht="15.75" customHeight="1">
      <c r="A491" s="30">
        <v>45076.0</v>
      </c>
      <c r="B491" s="31">
        <v>7.72927239E9</v>
      </c>
      <c r="C491" s="32" t="s">
        <v>512</v>
      </c>
      <c r="D491" s="31">
        <v>3.3703662E7</v>
      </c>
      <c r="E491" s="30">
        <v>45077.0</v>
      </c>
      <c r="F491" s="33" t="s">
        <v>69</v>
      </c>
      <c r="G491" s="34">
        <v>1.0</v>
      </c>
      <c r="H491" s="33" t="s">
        <v>70</v>
      </c>
      <c r="I491" s="33" t="s">
        <v>88</v>
      </c>
      <c r="J491" s="33" t="s">
        <v>93</v>
      </c>
      <c r="K491" s="33" t="s">
        <v>103</v>
      </c>
      <c r="L491" s="33" t="str">
        <f t="shared" si="1"/>
        <v>INDIVIDUAL</v>
      </c>
      <c r="M491" s="33">
        <f t="shared" si="2"/>
        <v>5</v>
      </c>
      <c r="N491" s="33">
        <f t="shared" si="3"/>
        <v>2023</v>
      </c>
      <c r="O491" s="35" t="str">
        <f>VLOOKUP(K491,'CA y tablas'!$B$22:$C$28,2,FALSE)</f>
        <v>EUROPEO</v>
      </c>
      <c r="P491" s="28" t="str">
        <f t="shared" si="4"/>
        <v>S1</v>
      </c>
      <c r="Q491" s="29">
        <v>2.0</v>
      </c>
      <c r="R491" s="29" t="str">
        <f t="shared" si="5"/>
        <v>Q2</v>
      </c>
    </row>
    <row r="492" ht="15.75" customHeight="1">
      <c r="A492" s="22">
        <v>45076.0</v>
      </c>
      <c r="B492" s="23">
        <v>9.417192341E9</v>
      </c>
      <c r="C492" s="24" t="s">
        <v>513</v>
      </c>
      <c r="D492" s="23">
        <v>1.1085492E7</v>
      </c>
      <c r="E492" s="22">
        <v>45077.0</v>
      </c>
      <c r="F492" s="25" t="s">
        <v>76</v>
      </c>
      <c r="G492" s="26">
        <v>1.0</v>
      </c>
      <c r="H492" s="25" t="s">
        <v>70</v>
      </c>
      <c r="I492" s="25" t="s">
        <v>71</v>
      </c>
      <c r="J492" s="25" t="s">
        <v>93</v>
      </c>
      <c r="K492" s="25" t="s">
        <v>107</v>
      </c>
      <c r="L492" s="25" t="str">
        <f t="shared" si="1"/>
        <v>INDIVIDUAL</v>
      </c>
      <c r="M492" s="25">
        <f t="shared" si="2"/>
        <v>5</v>
      </c>
      <c r="N492" s="25">
        <f t="shared" si="3"/>
        <v>2023</v>
      </c>
      <c r="O492" s="27" t="str">
        <f>VLOOKUP(K492,'CA y tablas'!$B$22:$C$28,2,FALSE)</f>
        <v>AMERICANO</v>
      </c>
      <c r="P492" s="28" t="str">
        <f t="shared" si="4"/>
        <v>S1</v>
      </c>
      <c r="Q492" s="29">
        <v>2.0</v>
      </c>
      <c r="R492" s="29" t="str">
        <f t="shared" si="5"/>
        <v>Q2</v>
      </c>
    </row>
    <row r="493" ht="15.75" customHeight="1">
      <c r="A493" s="30">
        <v>45076.0</v>
      </c>
      <c r="B493" s="31">
        <v>3.683570726E9</v>
      </c>
      <c r="C493" s="32" t="s">
        <v>513</v>
      </c>
      <c r="D493" s="31">
        <v>1.1085492E7</v>
      </c>
      <c r="E493" s="30">
        <v>45077.0</v>
      </c>
      <c r="F493" s="33" t="s">
        <v>76</v>
      </c>
      <c r="G493" s="34">
        <v>1.0</v>
      </c>
      <c r="H493" s="33" t="s">
        <v>70</v>
      </c>
      <c r="I493" s="33" t="s">
        <v>71</v>
      </c>
      <c r="J493" s="33" t="s">
        <v>93</v>
      </c>
      <c r="K493" s="33" t="s">
        <v>107</v>
      </c>
      <c r="L493" s="33" t="str">
        <f t="shared" si="1"/>
        <v>INDIVIDUAL</v>
      </c>
      <c r="M493" s="33">
        <f t="shared" si="2"/>
        <v>5</v>
      </c>
      <c r="N493" s="33">
        <f t="shared" si="3"/>
        <v>2023</v>
      </c>
      <c r="O493" s="35" t="str">
        <f>VLOOKUP(K493,'CA y tablas'!$B$22:$C$28,2,FALSE)</f>
        <v>AMERICANO</v>
      </c>
      <c r="P493" s="28" t="str">
        <f t="shared" si="4"/>
        <v>S1</v>
      </c>
      <c r="Q493" s="29">
        <v>2.0</v>
      </c>
      <c r="R493" s="29" t="str">
        <f t="shared" si="5"/>
        <v>Q2</v>
      </c>
    </row>
    <row r="494" ht="15.75" customHeight="1">
      <c r="A494" s="22">
        <v>45076.0</v>
      </c>
      <c r="B494" s="23">
        <v>4.084592024E9</v>
      </c>
      <c r="C494" s="24" t="s">
        <v>514</v>
      </c>
      <c r="D494" s="23">
        <v>3.9358824E7</v>
      </c>
      <c r="E494" s="22">
        <v>45077.0</v>
      </c>
      <c r="F494" s="25" t="s">
        <v>76</v>
      </c>
      <c r="G494" s="26">
        <v>1.0</v>
      </c>
      <c r="H494" s="25" t="s">
        <v>70</v>
      </c>
      <c r="I494" s="25" t="s">
        <v>71</v>
      </c>
      <c r="J494" s="25" t="s">
        <v>93</v>
      </c>
      <c r="K494" s="25" t="s">
        <v>107</v>
      </c>
      <c r="L494" s="25" t="str">
        <f t="shared" si="1"/>
        <v>INDIVIDUAL</v>
      </c>
      <c r="M494" s="25">
        <f t="shared" si="2"/>
        <v>5</v>
      </c>
      <c r="N494" s="25">
        <f t="shared" si="3"/>
        <v>2023</v>
      </c>
      <c r="O494" s="27" t="str">
        <f>VLOOKUP(K494,'CA y tablas'!$B$22:$C$28,2,FALSE)</f>
        <v>AMERICANO</v>
      </c>
      <c r="P494" s="28" t="str">
        <f t="shared" si="4"/>
        <v>S1</v>
      </c>
      <c r="Q494" s="29">
        <v>2.0</v>
      </c>
      <c r="R494" s="29" t="str">
        <f t="shared" si="5"/>
        <v>Q2</v>
      </c>
    </row>
    <row r="495" ht="15.75" customHeight="1">
      <c r="A495" s="30">
        <v>45077.0</v>
      </c>
      <c r="B495" s="31">
        <v>5.014534965E9</v>
      </c>
      <c r="C495" s="32" t="s">
        <v>515</v>
      </c>
      <c r="D495" s="31">
        <v>2.4802496E7</v>
      </c>
      <c r="E495" s="30">
        <v>45077.0</v>
      </c>
      <c r="F495" s="33" t="s">
        <v>76</v>
      </c>
      <c r="G495" s="34">
        <v>1.0</v>
      </c>
      <c r="H495" s="33" t="s">
        <v>70</v>
      </c>
      <c r="I495" s="33" t="s">
        <v>71</v>
      </c>
      <c r="J495" s="33" t="s">
        <v>93</v>
      </c>
      <c r="K495" s="33" t="s">
        <v>107</v>
      </c>
      <c r="L495" s="33" t="str">
        <f t="shared" si="1"/>
        <v>INDIVIDUAL</v>
      </c>
      <c r="M495" s="33">
        <f t="shared" si="2"/>
        <v>5</v>
      </c>
      <c r="N495" s="33">
        <f t="shared" si="3"/>
        <v>2023</v>
      </c>
      <c r="O495" s="35" t="str">
        <f>VLOOKUP(K495,'CA y tablas'!$B$22:$C$28,2,FALSE)</f>
        <v>AMERICANO</v>
      </c>
      <c r="P495" s="28" t="str">
        <f t="shared" si="4"/>
        <v>S1</v>
      </c>
      <c r="Q495" s="29">
        <v>2.0</v>
      </c>
      <c r="R495" s="29" t="str">
        <f t="shared" si="5"/>
        <v>Q2</v>
      </c>
    </row>
    <row r="496" ht="15.75" customHeight="1">
      <c r="A496" s="22">
        <v>45077.0</v>
      </c>
      <c r="B496" s="23">
        <v>5.014516883E9</v>
      </c>
      <c r="C496" s="24" t="s">
        <v>510</v>
      </c>
      <c r="D496" s="23">
        <v>1.7526171E7</v>
      </c>
      <c r="E496" s="22">
        <v>45077.0</v>
      </c>
      <c r="F496" s="25" t="s">
        <v>76</v>
      </c>
      <c r="G496" s="26">
        <v>1.0</v>
      </c>
      <c r="H496" s="25" t="s">
        <v>70</v>
      </c>
      <c r="I496" s="25" t="s">
        <v>71</v>
      </c>
      <c r="J496" s="25" t="s">
        <v>93</v>
      </c>
      <c r="K496" s="25" t="s">
        <v>107</v>
      </c>
      <c r="L496" s="25" t="str">
        <f t="shared" si="1"/>
        <v>INDIVIDUAL</v>
      </c>
      <c r="M496" s="25">
        <f t="shared" si="2"/>
        <v>5</v>
      </c>
      <c r="N496" s="25">
        <f t="shared" si="3"/>
        <v>2023</v>
      </c>
      <c r="O496" s="27" t="str">
        <f>VLOOKUP(K496,'CA y tablas'!$B$22:$C$28,2,FALSE)</f>
        <v>AMERICANO</v>
      </c>
      <c r="P496" s="28" t="str">
        <f t="shared" si="4"/>
        <v>S1</v>
      </c>
      <c r="Q496" s="29">
        <v>2.0</v>
      </c>
      <c r="R496" s="29" t="str">
        <f t="shared" si="5"/>
        <v>Q2</v>
      </c>
    </row>
    <row r="497" ht="15.75" customHeight="1">
      <c r="A497" s="30">
        <v>45077.0</v>
      </c>
      <c r="B497" s="31">
        <v>6.189116916E9</v>
      </c>
      <c r="C497" s="32" t="s">
        <v>516</v>
      </c>
      <c r="D497" s="31">
        <v>3.0442449E7</v>
      </c>
      <c r="E497" s="30">
        <v>45077.0</v>
      </c>
      <c r="F497" s="33" t="s">
        <v>69</v>
      </c>
      <c r="G497" s="34">
        <v>1.0</v>
      </c>
      <c r="H497" s="33" t="s">
        <v>70</v>
      </c>
      <c r="I497" s="33" t="s">
        <v>71</v>
      </c>
      <c r="J497" s="33" t="s">
        <v>93</v>
      </c>
      <c r="K497" s="33" t="s">
        <v>107</v>
      </c>
      <c r="L497" s="33" t="str">
        <f t="shared" si="1"/>
        <v>INDIVIDUAL</v>
      </c>
      <c r="M497" s="33">
        <f t="shared" si="2"/>
        <v>5</v>
      </c>
      <c r="N497" s="33">
        <f t="shared" si="3"/>
        <v>2023</v>
      </c>
      <c r="O497" s="35" t="str">
        <f>VLOOKUP(K497,'CA y tablas'!$B$22:$C$28,2,FALSE)</f>
        <v>AMERICANO</v>
      </c>
      <c r="P497" s="28" t="str">
        <f t="shared" si="4"/>
        <v>S1</v>
      </c>
      <c r="Q497" s="29">
        <v>2.0</v>
      </c>
      <c r="R497" s="29" t="str">
        <f t="shared" si="5"/>
        <v>Q2</v>
      </c>
    </row>
    <row r="498" ht="15.75" customHeight="1">
      <c r="A498" s="22">
        <v>45076.0</v>
      </c>
      <c r="B498" s="23">
        <v>4.015549904E9</v>
      </c>
      <c r="C498" s="24" t="s">
        <v>517</v>
      </c>
      <c r="D498" s="23">
        <v>1.1238249E7</v>
      </c>
      <c r="E498" s="22">
        <v>45078.0</v>
      </c>
      <c r="F498" s="25" t="s">
        <v>69</v>
      </c>
      <c r="G498" s="26">
        <v>2.0</v>
      </c>
      <c r="H498" s="25" t="s">
        <v>70</v>
      </c>
      <c r="I498" s="25" t="s">
        <v>71</v>
      </c>
      <c r="J498" s="25" t="s">
        <v>93</v>
      </c>
      <c r="K498" s="25" t="s">
        <v>107</v>
      </c>
      <c r="L498" s="25" t="str">
        <f t="shared" si="1"/>
        <v>FAMILIAR</v>
      </c>
      <c r="M498" s="25">
        <f t="shared" si="2"/>
        <v>6</v>
      </c>
      <c r="N498" s="25">
        <f t="shared" si="3"/>
        <v>2023</v>
      </c>
      <c r="O498" s="27" t="str">
        <f>VLOOKUP(K498,'CA y tablas'!$B$22:$C$28,2,FALSE)</f>
        <v>AMERICANO</v>
      </c>
      <c r="P498" s="28" t="str">
        <f t="shared" si="4"/>
        <v>S1</v>
      </c>
      <c r="Q498" s="29">
        <v>2.0</v>
      </c>
      <c r="R498" s="29" t="str">
        <f t="shared" si="5"/>
        <v>Q2</v>
      </c>
    </row>
    <row r="499" ht="15.75" customHeight="1">
      <c r="A499" s="30">
        <v>45076.0</v>
      </c>
      <c r="B499" s="31">
        <v>7.73452799E9</v>
      </c>
      <c r="C499" s="32" t="s">
        <v>518</v>
      </c>
      <c r="D499" s="31">
        <v>3.9729342E7</v>
      </c>
      <c r="E499" s="30">
        <v>45078.0</v>
      </c>
      <c r="F499" s="33" t="s">
        <v>69</v>
      </c>
      <c r="G499" s="34">
        <v>1.0</v>
      </c>
      <c r="H499" s="33" t="s">
        <v>112</v>
      </c>
      <c r="I499" s="33" t="s">
        <v>71</v>
      </c>
      <c r="J499" s="33" t="s">
        <v>72</v>
      </c>
      <c r="K499" s="33" t="s">
        <v>107</v>
      </c>
      <c r="L499" s="33" t="str">
        <f t="shared" si="1"/>
        <v>INDIVIDUAL</v>
      </c>
      <c r="M499" s="33">
        <f t="shared" si="2"/>
        <v>6</v>
      </c>
      <c r="N499" s="33">
        <f t="shared" si="3"/>
        <v>2023</v>
      </c>
      <c r="O499" s="35" t="str">
        <f>VLOOKUP(K499,'CA y tablas'!$B$22:$C$28,2,FALSE)</f>
        <v>AMERICANO</v>
      </c>
      <c r="P499" s="28" t="str">
        <f t="shared" si="4"/>
        <v>S1</v>
      </c>
      <c r="Q499" s="29">
        <v>2.0</v>
      </c>
      <c r="R499" s="29" t="str">
        <f t="shared" si="5"/>
        <v>Q2</v>
      </c>
    </row>
    <row r="500" ht="15.75" customHeight="1">
      <c r="A500" s="22">
        <v>45076.0</v>
      </c>
      <c r="B500" s="23">
        <v>6.189184676E9</v>
      </c>
      <c r="C500" s="24" t="s">
        <v>519</v>
      </c>
      <c r="D500" s="23">
        <v>2.6506207E7</v>
      </c>
      <c r="E500" s="22">
        <v>45078.0</v>
      </c>
      <c r="F500" s="25" t="s">
        <v>76</v>
      </c>
      <c r="G500" s="26">
        <v>2.0</v>
      </c>
      <c r="H500" s="25" t="s">
        <v>112</v>
      </c>
      <c r="I500" s="25" t="s">
        <v>71</v>
      </c>
      <c r="J500" s="25" t="s">
        <v>72</v>
      </c>
      <c r="K500" s="25" t="s">
        <v>107</v>
      </c>
      <c r="L500" s="25" t="str">
        <f t="shared" si="1"/>
        <v>FAMILIAR</v>
      </c>
      <c r="M500" s="25">
        <f t="shared" si="2"/>
        <v>6</v>
      </c>
      <c r="N500" s="25">
        <f t="shared" si="3"/>
        <v>2023</v>
      </c>
      <c r="O500" s="27" t="str">
        <f>VLOOKUP(K500,'CA y tablas'!$B$22:$C$28,2,FALSE)</f>
        <v>AMERICANO</v>
      </c>
      <c r="P500" s="28" t="str">
        <f t="shared" si="4"/>
        <v>S1</v>
      </c>
      <c r="Q500" s="29">
        <v>2.0</v>
      </c>
      <c r="R500" s="29" t="str">
        <f t="shared" si="5"/>
        <v>Q2</v>
      </c>
    </row>
    <row r="501" ht="15.75" customHeight="1">
      <c r="A501" s="30">
        <v>45076.0</v>
      </c>
      <c r="B501" s="31">
        <v>4.535524652E9</v>
      </c>
      <c r="C501" s="32" t="s">
        <v>520</v>
      </c>
      <c r="D501" s="31">
        <v>1.259827E7</v>
      </c>
      <c r="E501" s="30">
        <v>45078.0</v>
      </c>
      <c r="F501" s="33" t="s">
        <v>76</v>
      </c>
      <c r="G501" s="34">
        <v>1.0</v>
      </c>
      <c r="H501" s="33" t="s">
        <v>112</v>
      </c>
      <c r="I501" s="33" t="s">
        <v>71</v>
      </c>
      <c r="J501" s="33" t="s">
        <v>72</v>
      </c>
      <c r="K501" s="33" t="s">
        <v>107</v>
      </c>
      <c r="L501" s="33" t="str">
        <f t="shared" si="1"/>
        <v>INDIVIDUAL</v>
      </c>
      <c r="M501" s="33">
        <f t="shared" si="2"/>
        <v>6</v>
      </c>
      <c r="N501" s="33">
        <f t="shared" si="3"/>
        <v>2023</v>
      </c>
      <c r="O501" s="35" t="str">
        <f>VLOOKUP(K501,'CA y tablas'!$B$22:$C$28,2,FALSE)</f>
        <v>AMERICANO</v>
      </c>
      <c r="P501" s="28" t="str">
        <f t="shared" si="4"/>
        <v>S1</v>
      </c>
      <c r="Q501" s="29">
        <v>2.0</v>
      </c>
      <c r="R501" s="29" t="str">
        <f t="shared" si="5"/>
        <v>Q2</v>
      </c>
    </row>
    <row r="502" ht="15.75" customHeight="1">
      <c r="A502" s="22">
        <v>45076.0</v>
      </c>
      <c r="B502" s="23">
        <v>3.412367291E9</v>
      </c>
      <c r="C502" s="24" t="s">
        <v>521</v>
      </c>
      <c r="D502" s="23">
        <v>2.9433747E7</v>
      </c>
      <c r="E502" s="22">
        <v>45078.0</v>
      </c>
      <c r="F502" s="25" t="s">
        <v>76</v>
      </c>
      <c r="G502" s="26">
        <v>1.0</v>
      </c>
      <c r="H502" s="25" t="s">
        <v>112</v>
      </c>
      <c r="I502" s="25" t="s">
        <v>71</v>
      </c>
      <c r="J502" s="25" t="s">
        <v>72</v>
      </c>
      <c r="K502" s="25" t="s">
        <v>73</v>
      </c>
      <c r="L502" s="25" t="str">
        <f t="shared" si="1"/>
        <v>INDIVIDUAL</v>
      </c>
      <c r="M502" s="25">
        <f t="shared" si="2"/>
        <v>6</v>
      </c>
      <c r="N502" s="25">
        <f t="shared" si="3"/>
        <v>2023</v>
      </c>
      <c r="O502" s="27" t="str">
        <f>VLOOKUP(K502,'CA y tablas'!$B$22:$C$28,2,FALSE)</f>
        <v>AMERICANO</v>
      </c>
      <c r="P502" s="28" t="str">
        <f t="shared" si="4"/>
        <v>S1</v>
      </c>
      <c r="Q502" s="29">
        <v>2.0</v>
      </c>
      <c r="R502" s="29" t="str">
        <f t="shared" si="5"/>
        <v>Q2</v>
      </c>
    </row>
    <row r="503" ht="15.75" customHeight="1">
      <c r="A503" s="30">
        <v>45076.0</v>
      </c>
      <c r="B503" s="31">
        <v>8.746401554E9</v>
      </c>
      <c r="C503" s="32" t="s">
        <v>522</v>
      </c>
      <c r="D503" s="31">
        <v>1.4226101E7</v>
      </c>
      <c r="E503" s="30">
        <v>45078.0</v>
      </c>
      <c r="F503" s="33" t="s">
        <v>76</v>
      </c>
      <c r="G503" s="34">
        <v>3.0</v>
      </c>
      <c r="H503" s="33" t="s">
        <v>112</v>
      </c>
      <c r="I503" s="33" t="s">
        <v>71</v>
      </c>
      <c r="J503" s="33" t="s">
        <v>72</v>
      </c>
      <c r="K503" s="33" t="s">
        <v>73</v>
      </c>
      <c r="L503" s="33" t="str">
        <f t="shared" si="1"/>
        <v>FAMILIAR</v>
      </c>
      <c r="M503" s="33">
        <f t="shared" si="2"/>
        <v>6</v>
      </c>
      <c r="N503" s="33">
        <f t="shared" si="3"/>
        <v>2023</v>
      </c>
      <c r="O503" s="35" t="str">
        <f>VLOOKUP(K503,'CA y tablas'!$B$22:$C$28,2,FALSE)</f>
        <v>AMERICANO</v>
      </c>
      <c r="P503" s="28" t="str">
        <f t="shared" si="4"/>
        <v>S1</v>
      </c>
      <c r="Q503" s="29">
        <v>2.0</v>
      </c>
      <c r="R503" s="29" t="str">
        <f t="shared" si="5"/>
        <v>Q2</v>
      </c>
    </row>
    <row r="504" ht="15.75" customHeight="1">
      <c r="A504" s="22">
        <v>45076.0</v>
      </c>
      <c r="B504" s="23">
        <v>1.84694342E9</v>
      </c>
      <c r="C504" s="24" t="s">
        <v>522</v>
      </c>
      <c r="D504" s="23">
        <v>1.4226101E7</v>
      </c>
      <c r="E504" s="22">
        <v>45078.0</v>
      </c>
      <c r="F504" s="25" t="s">
        <v>76</v>
      </c>
      <c r="G504" s="26">
        <v>2.0</v>
      </c>
      <c r="H504" s="25" t="s">
        <v>112</v>
      </c>
      <c r="I504" s="25" t="s">
        <v>77</v>
      </c>
      <c r="J504" s="25" t="s">
        <v>98</v>
      </c>
      <c r="K504" s="25" t="s">
        <v>73</v>
      </c>
      <c r="L504" s="25" t="str">
        <f t="shared" si="1"/>
        <v>FAMILIAR</v>
      </c>
      <c r="M504" s="25">
        <f t="shared" si="2"/>
        <v>6</v>
      </c>
      <c r="N504" s="25">
        <f t="shared" si="3"/>
        <v>2023</v>
      </c>
      <c r="O504" s="27" t="str">
        <f>VLOOKUP(K504,'CA y tablas'!$B$22:$C$28,2,FALSE)</f>
        <v>AMERICANO</v>
      </c>
      <c r="P504" s="28" t="str">
        <f t="shared" si="4"/>
        <v>S1</v>
      </c>
      <c r="Q504" s="29">
        <v>2.0</v>
      </c>
      <c r="R504" s="29" t="str">
        <f t="shared" si="5"/>
        <v>Q2</v>
      </c>
    </row>
    <row r="505" ht="15.75" customHeight="1">
      <c r="A505" s="30">
        <v>45076.0</v>
      </c>
      <c r="B505" s="31">
        <v>9.198662082E9</v>
      </c>
      <c r="C505" s="32" t="s">
        <v>522</v>
      </c>
      <c r="D505" s="31">
        <v>1.4226101E7</v>
      </c>
      <c r="E505" s="30">
        <v>45078.0</v>
      </c>
      <c r="F505" s="33" t="s">
        <v>76</v>
      </c>
      <c r="G505" s="34">
        <v>1.0</v>
      </c>
      <c r="H505" s="33" t="s">
        <v>92</v>
      </c>
      <c r="I505" s="33" t="s">
        <v>77</v>
      </c>
      <c r="J505" s="33" t="s">
        <v>98</v>
      </c>
      <c r="K505" s="33" t="s">
        <v>73</v>
      </c>
      <c r="L505" s="33" t="str">
        <f t="shared" si="1"/>
        <v>INDIVIDUAL</v>
      </c>
      <c r="M505" s="33">
        <f t="shared" si="2"/>
        <v>6</v>
      </c>
      <c r="N505" s="33">
        <f t="shared" si="3"/>
        <v>2023</v>
      </c>
      <c r="O505" s="35" t="str">
        <f>VLOOKUP(K505,'CA y tablas'!$B$22:$C$28,2,FALSE)</f>
        <v>AMERICANO</v>
      </c>
      <c r="P505" s="28" t="str">
        <f t="shared" si="4"/>
        <v>S1</v>
      </c>
      <c r="Q505" s="29">
        <v>2.0</v>
      </c>
      <c r="R505" s="29" t="str">
        <f t="shared" si="5"/>
        <v>Q2</v>
      </c>
    </row>
    <row r="506" ht="15.75" customHeight="1">
      <c r="A506" s="22">
        <v>45077.0</v>
      </c>
      <c r="B506" s="23">
        <v>7.602846893E9</v>
      </c>
      <c r="C506" s="24" t="s">
        <v>523</v>
      </c>
      <c r="D506" s="23">
        <v>2.250166E7</v>
      </c>
      <c r="E506" s="22">
        <v>45078.0</v>
      </c>
      <c r="F506" s="25" t="s">
        <v>69</v>
      </c>
      <c r="G506" s="26">
        <v>1.0</v>
      </c>
      <c r="H506" s="25" t="s">
        <v>92</v>
      </c>
      <c r="I506" s="25" t="s">
        <v>77</v>
      </c>
      <c r="J506" s="25" t="s">
        <v>98</v>
      </c>
      <c r="K506" s="25" t="s">
        <v>73</v>
      </c>
      <c r="L506" s="25" t="str">
        <f t="shared" si="1"/>
        <v>INDIVIDUAL</v>
      </c>
      <c r="M506" s="25">
        <f t="shared" si="2"/>
        <v>6</v>
      </c>
      <c r="N506" s="25">
        <f t="shared" si="3"/>
        <v>2023</v>
      </c>
      <c r="O506" s="27" t="str">
        <f>VLOOKUP(K506,'CA y tablas'!$B$22:$C$28,2,FALSE)</f>
        <v>AMERICANO</v>
      </c>
      <c r="P506" s="28" t="str">
        <f t="shared" si="4"/>
        <v>S1</v>
      </c>
      <c r="Q506" s="29">
        <v>2.0</v>
      </c>
      <c r="R506" s="29" t="str">
        <f t="shared" si="5"/>
        <v>Q2</v>
      </c>
    </row>
    <row r="507" ht="15.75" customHeight="1">
      <c r="A507" s="30">
        <v>45077.0</v>
      </c>
      <c r="B507" s="31">
        <v>6.90440317E9</v>
      </c>
      <c r="C507" s="32" t="s">
        <v>524</v>
      </c>
      <c r="D507" s="31">
        <v>1.0791657E7</v>
      </c>
      <c r="E507" s="30">
        <v>45078.0</v>
      </c>
      <c r="F507" s="33" t="s">
        <v>69</v>
      </c>
      <c r="G507" s="34">
        <v>1.0</v>
      </c>
      <c r="H507" s="33" t="s">
        <v>92</v>
      </c>
      <c r="I507" s="33" t="s">
        <v>77</v>
      </c>
      <c r="J507" s="33" t="s">
        <v>98</v>
      </c>
      <c r="K507" s="33" t="s">
        <v>73</v>
      </c>
      <c r="L507" s="33" t="str">
        <f t="shared" si="1"/>
        <v>INDIVIDUAL</v>
      </c>
      <c r="M507" s="33">
        <f t="shared" si="2"/>
        <v>6</v>
      </c>
      <c r="N507" s="33">
        <f t="shared" si="3"/>
        <v>2023</v>
      </c>
      <c r="O507" s="35" t="str">
        <f>VLOOKUP(K507,'CA y tablas'!$B$22:$C$28,2,FALSE)</f>
        <v>AMERICANO</v>
      </c>
      <c r="P507" s="28" t="str">
        <f t="shared" si="4"/>
        <v>S1</v>
      </c>
      <c r="Q507" s="29">
        <v>2.0</v>
      </c>
      <c r="R507" s="29" t="str">
        <f t="shared" si="5"/>
        <v>Q2</v>
      </c>
    </row>
    <row r="508" ht="15.75" customHeight="1">
      <c r="A508" s="22">
        <v>45041.0</v>
      </c>
      <c r="B508" s="23">
        <v>2.636440052E9</v>
      </c>
      <c r="C508" s="24" t="s">
        <v>525</v>
      </c>
      <c r="D508" s="23">
        <v>3.2460219E7</v>
      </c>
      <c r="E508" s="22">
        <v>45079.0</v>
      </c>
      <c r="F508" s="25" t="s">
        <v>69</v>
      </c>
      <c r="G508" s="26">
        <v>2.0</v>
      </c>
      <c r="H508" s="25" t="s">
        <v>92</v>
      </c>
      <c r="I508" s="25" t="s">
        <v>77</v>
      </c>
      <c r="J508" s="25" t="s">
        <v>98</v>
      </c>
      <c r="K508" s="25" t="s">
        <v>73</v>
      </c>
      <c r="L508" s="25" t="str">
        <f t="shared" si="1"/>
        <v>FAMILIAR</v>
      </c>
      <c r="M508" s="25">
        <f t="shared" si="2"/>
        <v>6</v>
      </c>
      <c r="N508" s="25">
        <f t="shared" si="3"/>
        <v>2023</v>
      </c>
      <c r="O508" s="27" t="str">
        <f>VLOOKUP(K508,'CA y tablas'!$B$22:$C$28,2,FALSE)</f>
        <v>AMERICANO</v>
      </c>
      <c r="P508" s="28" t="str">
        <f t="shared" si="4"/>
        <v>S1</v>
      </c>
      <c r="Q508" s="29">
        <v>2.0</v>
      </c>
      <c r="R508" s="29" t="str">
        <f t="shared" si="5"/>
        <v>Q2</v>
      </c>
    </row>
    <row r="509" ht="15.75" customHeight="1">
      <c r="A509" s="30">
        <v>45058.0</v>
      </c>
      <c r="B509" s="31">
        <v>5.994692631E9</v>
      </c>
      <c r="C509" s="32" t="s">
        <v>526</v>
      </c>
      <c r="D509" s="31">
        <v>2.9190306E7</v>
      </c>
      <c r="E509" s="30">
        <v>45079.0</v>
      </c>
      <c r="F509" s="33" t="s">
        <v>76</v>
      </c>
      <c r="G509" s="34">
        <v>1.0</v>
      </c>
      <c r="H509" s="33" t="s">
        <v>92</v>
      </c>
      <c r="I509" s="33" t="s">
        <v>77</v>
      </c>
      <c r="J509" s="33" t="s">
        <v>98</v>
      </c>
      <c r="K509" s="33" t="s">
        <v>73</v>
      </c>
      <c r="L509" s="33" t="str">
        <f t="shared" si="1"/>
        <v>INDIVIDUAL</v>
      </c>
      <c r="M509" s="33">
        <f t="shared" si="2"/>
        <v>6</v>
      </c>
      <c r="N509" s="33">
        <f t="shared" si="3"/>
        <v>2023</v>
      </c>
      <c r="O509" s="35" t="str">
        <f>VLOOKUP(K509,'CA y tablas'!$B$22:$C$28,2,FALSE)</f>
        <v>AMERICANO</v>
      </c>
      <c r="P509" s="28" t="str">
        <f t="shared" si="4"/>
        <v>S1</v>
      </c>
      <c r="Q509" s="29">
        <v>2.0</v>
      </c>
      <c r="R509" s="29" t="str">
        <f t="shared" si="5"/>
        <v>Q2</v>
      </c>
    </row>
    <row r="510" ht="15.75" customHeight="1">
      <c r="A510" s="22">
        <v>45069.0</v>
      </c>
      <c r="B510" s="23">
        <v>6.813128545E9</v>
      </c>
      <c r="C510" s="24" t="s">
        <v>527</v>
      </c>
      <c r="D510" s="23">
        <v>2.4981215E7</v>
      </c>
      <c r="E510" s="22">
        <v>45079.0</v>
      </c>
      <c r="F510" s="25" t="s">
        <v>76</v>
      </c>
      <c r="G510" s="26">
        <v>3.0</v>
      </c>
      <c r="H510" s="25" t="s">
        <v>70</v>
      </c>
      <c r="I510" s="25" t="s">
        <v>77</v>
      </c>
      <c r="J510" s="25" t="s">
        <v>98</v>
      </c>
      <c r="K510" s="25" t="s">
        <v>73</v>
      </c>
      <c r="L510" s="25" t="str">
        <f t="shared" si="1"/>
        <v>FAMILIAR</v>
      </c>
      <c r="M510" s="25">
        <f t="shared" si="2"/>
        <v>6</v>
      </c>
      <c r="N510" s="25">
        <f t="shared" si="3"/>
        <v>2023</v>
      </c>
      <c r="O510" s="27" t="str">
        <f>VLOOKUP(K510,'CA y tablas'!$B$22:$C$28,2,FALSE)</f>
        <v>AMERICANO</v>
      </c>
      <c r="P510" s="28" t="str">
        <f t="shared" si="4"/>
        <v>S1</v>
      </c>
      <c r="Q510" s="29">
        <v>2.0</v>
      </c>
      <c r="R510" s="29" t="str">
        <f t="shared" si="5"/>
        <v>Q2</v>
      </c>
    </row>
    <row r="511" ht="15.75" customHeight="1">
      <c r="A511" s="30">
        <v>45076.0</v>
      </c>
      <c r="B511" s="31">
        <v>9.41722355E9</v>
      </c>
      <c r="C511" s="32" t="s">
        <v>528</v>
      </c>
      <c r="D511" s="31">
        <v>3.9698563E7</v>
      </c>
      <c r="E511" s="30">
        <v>45079.0</v>
      </c>
      <c r="F511" s="33" t="s">
        <v>76</v>
      </c>
      <c r="G511" s="34">
        <v>2.0</v>
      </c>
      <c r="H511" s="33" t="s">
        <v>70</v>
      </c>
      <c r="I511" s="33" t="s">
        <v>77</v>
      </c>
      <c r="J511" s="33" t="s">
        <v>93</v>
      </c>
      <c r="K511" s="33" t="s">
        <v>73</v>
      </c>
      <c r="L511" s="33" t="str">
        <f t="shared" si="1"/>
        <v>FAMILIAR</v>
      </c>
      <c r="M511" s="33">
        <f t="shared" si="2"/>
        <v>6</v>
      </c>
      <c r="N511" s="33">
        <f t="shared" si="3"/>
        <v>2023</v>
      </c>
      <c r="O511" s="35" t="str">
        <f>VLOOKUP(K511,'CA y tablas'!$B$22:$C$28,2,FALSE)</f>
        <v>AMERICANO</v>
      </c>
      <c r="P511" s="28" t="str">
        <f t="shared" si="4"/>
        <v>S1</v>
      </c>
      <c r="Q511" s="29">
        <v>2.0</v>
      </c>
      <c r="R511" s="29" t="str">
        <f t="shared" si="5"/>
        <v>Q2</v>
      </c>
    </row>
    <row r="512" ht="15.75" customHeight="1">
      <c r="A512" s="22">
        <v>45076.0</v>
      </c>
      <c r="B512" s="23">
        <v>4.912253894E9</v>
      </c>
      <c r="C512" s="24" t="s">
        <v>529</v>
      </c>
      <c r="D512" s="23">
        <v>2.9532257E7</v>
      </c>
      <c r="E512" s="22">
        <v>45079.0</v>
      </c>
      <c r="F512" s="25" t="s">
        <v>76</v>
      </c>
      <c r="G512" s="26">
        <v>1.0</v>
      </c>
      <c r="H512" s="25" t="s">
        <v>70</v>
      </c>
      <c r="I512" s="25" t="s">
        <v>77</v>
      </c>
      <c r="J512" s="25" t="s">
        <v>93</v>
      </c>
      <c r="K512" s="25" t="s">
        <v>73</v>
      </c>
      <c r="L512" s="25" t="str">
        <f t="shared" si="1"/>
        <v>INDIVIDUAL</v>
      </c>
      <c r="M512" s="25">
        <f t="shared" si="2"/>
        <v>6</v>
      </c>
      <c r="N512" s="25">
        <f t="shared" si="3"/>
        <v>2023</v>
      </c>
      <c r="O512" s="27" t="str">
        <f>VLOOKUP(K512,'CA y tablas'!$B$22:$C$28,2,FALSE)</f>
        <v>AMERICANO</v>
      </c>
      <c r="P512" s="28" t="str">
        <f t="shared" si="4"/>
        <v>S1</v>
      </c>
      <c r="Q512" s="29">
        <v>2.0</v>
      </c>
      <c r="R512" s="29" t="str">
        <f t="shared" si="5"/>
        <v>Q2</v>
      </c>
    </row>
    <row r="513" ht="15.75" customHeight="1">
      <c r="A513" s="30">
        <v>45077.0</v>
      </c>
      <c r="B513" s="31">
        <v>7.602838331E9</v>
      </c>
      <c r="C513" s="32" t="s">
        <v>530</v>
      </c>
      <c r="D513" s="31">
        <v>1.4984794E7</v>
      </c>
      <c r="E513" s="30">
        <v>45079.0</v>
      </c>
      <c r="F513" s="33" t="s">
        <v>76</v>
      </c>
      <c r="G513" s="34">
        <v>2.0</v>
      </c>
      <c r="H513" s="33" t="s">
        <v>70</v>
      </c>
      <c r="I513" s="33" t="s">
        <v>77</v>
      </c>
      <c r="J513" s="33" t="s">
        <v>93</v>
      </c>
      <c r="K513" s="33" t="s">
        <v>73</v>
      </c>
      <c r="L513" s="33" t="str">
        <f t="shared" si="1"/>
        <v>FAMILIAR</v>
      </c>
      <c r="M513" s="33">
        <f t="shared" si="2"/>
        <v>6</v>
      </c>
      <c r="N513" s="33">
        <f t="shared" si="3"/>
        <v>2023</v>
      </c>
      <c r="O513" s="35" t="str">
        <f>VLOOKUP(K513,'CA y tablas'!$B$22:$C$28,2,FALSE)</f>
        <v>AMERICANO</v>
      </c>
      <c r="P513" s="28" t="str">
        <f t="shared" si="4"/>
        <v>S1</v>
      </c>
      <c r="Q513" s="29">
        <v>2.0</v>
      </c>
      <c r="R513" s="29" t="str">
        <f t="shared" si="5"/>
        <v>Q2</v>
      </c>
    </row>
    <row r="514" ht="15.75" customHeight="1">
      <c r="A514" s="22">
        <v>45077.0</v>
      </c>
      <c r="B514" s="23">
        <v>7.602775526E9</v>
      </c>
      <c r="C514" s="24" t="s">
        <v>531</v>
      </c>
      <c r="D514" s="23">
        <v>2.6446888E7</v>
      </c>
      <c r="E514" s="22">
        <v>45079.0</v>
      </c>
      <c r="F514" s="25" t="s">
        <v>76</v>
      </c>
      <c r="G514" s="26">
        <v>2.0</v>
      </c>
      <c r="H514" s="25" t="s">
        <v>70</v>
      </c>
      <c r="I514" s="25" t="s">
        <v>77</v>
      </c>
      <c r="J514" s="25" t="s">
        <v>93</v>
      </c>
      <c r="K514" s="25" t="s">
        <v>73</v>
      </c>
      <c r="L514" s="25" t="str">
        <f t="shared" si="1"/>
        <v>FAMILIAR</v>
      </c>
      <c r="M514" s="25">
        <f t="shared" si="2"/>
        <v>6</v>
      </c>
      <c r="N514" s="25">
        <f t="shared" si="3"/>
        <v>2023</v>
      </c>
      <c r="O514" s="27" t="str">
        <f>VLOOKUP(K514,'CA y tablas'!$B$22:$C$28,2,FALSE)</f>
        <v>AMERICANO</v>
      </c>
      <c r="P514" s="28" t="str">
        <f t="shared" si="4"/>
        <v>S1</v>
      </c>
      <c r="Q514" s="29">
        <v>2.0</v>
      </c>
      <c r="R514" s="29" t="str">
        <f t="shared" si="5"/>
        <v>Q2</v>
      </c>
    </row>
    <row r="515" ht="15.75" customHeight="1">
      <c r="A515" s="30">
        <v>45077.0</v>
      </c>
      <c r="B515" s="31">
        <v>5.988239784E9</v>
      </c>
      <c r="C515" s="32" t="s">
        <v>532</v>
      </c>
      <c r="D515" s="31">
        <v>2.212767E7</v>
      </c>
      <c r="E515" s="30">
        <v>45079.0</v>
      </c>
      <c r="F515" s="33" t="s">
        <v>69</v>
      </c>
      <c r="G515" s="34">
        <v>2.0</v>
      </c>
      <c r="H515" s="33" t="s">
        <v>70</v>
      </c>
      <c r="I515" s="33" t="s">
        <v>88</v>
      </c>
      <c r="J515" s="33" t="s">
        <v>93</v>
      </c>
      <c r="K515" s="33" t="s">
        <v>90</v>
      </c>
      <c r="L515" s="33" t="str">
        <f t="shared" si="1"/>
        <v>FAMILIAR</v>
      </c>
      <c r="M515" s="33">
        <f t="shared" si="2"/>
        <v>6</v>
      </c>
      <c r="N515" s="33">
        <f t="shared" si="3"/>
        <v>2023</v>
      </c>
      <c r="O515" s="35" t="str">
        <f>VLOOKUP(K515,'CA y tablas'!$B$22:$C$28,2,FALSE)</f>
        <v>EUROPEO</v>
      </c>
      <c r="P515" s="28" t="str">
        <f t="shared" si="4"/>
        <v>S1</v>
      </c>
      <c r="Q515" s="29">
        <v>2.0</v>
      </c>
      <c r="R515" s="29" t="str">
        <f t="shared" si="5"/>
        <v>Q2</v>
      </c>
    </row>
    <row r="516" ht="15.75" customHeight="1">
      <c r="A516" s="22">
        <v>45079.0</v>
      </c>
      <c r="B516" s="23">
        <v>4.89184241E9</v>
      </c>
      <c r="C516" s="24" t="s">
        <v>533</v>
      </c>
      <c r="D516" s="23">
        <v>4.5335005E7</v>
      </c>
      <c r="E516" s="22">
        <v>45079.0</v>
      </c>
      <c r="F516" s="25" t="s">
        <v>69</v>
      </c>
      <c r="G516" s="26">
        <v>3.0</v>
      </c>
      <c r="H516" s="25" t="s">
        <v>70</v>
      </c>
      <c r="I516" s="25" t="s">
        <v>88</v>
      </c>
      <c r="J516" s="25" t="s">
        <v>93</v>
      </c>
      <c r="K516" s="25" t="s">
        <v>90</v>
      </c>
      <c r="L516" s="25" t="str">
        <f t="shared" si="1"/>
        <v>FAMILIAR</v>
      </c>
      <c r="M516" s="25">
        <f t="shared" si="2"/>
        <v>6</v>
      </c>
      <c r="N516" s="25">
        <f t="shared" si="3"/>
        <v>2023</v>
      </c>
      <c r="O516" s="27" t="str">
        <f>VLOOKUP(K516,'CA y tablas'!$B$22:$C$28,2,FALSE)</f>
        <v>EUROPEO</v>
      </c>
      <c r="P516" s="28" t="str">
        <f t="shared" si="4"/>
        <v>S1</v>
      </c>
      <c r="Q516" s="29">
        <v>2.0</v>
      </c>
      <c r="R516" s="29" t="str">
        <f t="shared" si="5"/>
        <v>Q2</v>
      </c>
    </row>
    <row r="517" ht="15.75" customHeight="1">
      <c r="A517" s="30">
        <v>45068.0</v>
      </c>
      <c r="B517" s="31">
        <v>4.115459191E9</v>
      </c>
      <c r="C517" s="32" t="s">
        <v>534</v>
      </c>
      <c r="D517" s="31">
        <v>2.2784354E7</v>
      </c>
      <c r="E517" s="30">
        <v>45082.0</v>
      </c>
      <c r="F517" s="33" t="s">
        <v>69</v>
      </c>
      <c r="G517" s="34">
        <v>3.0</v>
      </c>
      <c r="H517" s="33" t="s">
        <v>70</v>
      </c>
      <c r="I517" s="33" t="s">
        <v>88</v>
      </c>
      <c r="J517" s="33" t="s">
        <v>93</v>
      </c>
      <c r="K517" s="33" t="s">
        <v>90</v>
      </c>
      <c r="L517" s="33" t="str">
        <f t="shared" si="1"/>
        <v>FAMILIAR</v>
      </c>
      <c r="M517" s="33">
        <f t="shared" si="2"/>
        <v>6</v>
      </c>
      <c r="N517" s="33">
        <f t="shared" si="3"/>
        <v>2023</v>
      </c>
      <c r="O517" s="35" t="str">
        <f>VLOOKUP(K517,'CA y tablas'!$B$22:$C$28,2,FALSE)</f>
        <v>EUROPEO</v>
      </c>
      <c r="P517" s="28" t="str">
        <f t="shared" si="4"/>
        <v>S1</v>
      </c>
      <c r="Q517" s="29">
        <v>2.0</v>
      </c>
      <c r="R517" s="29" t="str">
        <f t="shared" si="5"/>
        <v>Q2</v>
      </c>
    </row>
    <row r="518" ht="15.75" customHeight="1">
      <c r="A518" s="22">
        <v>45068.0</v>
      </c>
      <c r="B518" s="23">
        <v>2.967555183E9</v>
      </c>
      <c r="C518" s="24" t="s">
        <v>535</v>
      </c>
      <c r="D518" s="23">
        <v>4.2468326E7</v>
      </c>
      <c r="E518" s="22">
        <v>45082.0</v>
      </c>
      <c r="F518" s="25" t="s">
        <v>69</v>
      </c>
      <c r="G518" s="26">
        <v>2.0</v>
      </c>
      <c r="H518" s="25" t="s">
        <v>70</v>
      </c>
      <c r="I518" s="25" t="s">
        <v>88</v>
      </c>
      <c r="J518" s="25" t="s">
        <v>93</v>
      </c>
      <c r="K518" s="25" t="s">
        <v>90</v>
      </c>
      <c r="L518" s="25" t="str">
        <f t="shared" si="1"/>
        <v>FAMILIAR</v>
      </c>
      <c r="M518" s="25">
        <f t="shared" si="2"/>
        <v>6</v>
      </c>
      <c r="N518" s="25">
        <f t="shared" si="3"/>
        <v>2023</v>
      </c>
      <c r="O518" s="27" t="str">
        <f>VLOOKUP(K518,'CA y tablas'!$B$22:$C$28,2,FALSE)</f>
        <v>EUROPEO</v>
      </c>
      <c r="P518" s="28" t="str">
        <f t="shared" si="4"/>
        <v>S1</v>
      </c>
      <c r="Q518" s="29">
        <v>2.0</v>
      </c>
      <c r="R518" s="29" t="str">
        <f t="shared" si="5"/>
        <v>Q2</v>
      </c>
    </row>
    <row r="519" ht="15.75" customHeight="1">
      <c r="A519" s="30">
        <v>45076.0</v>
      </c>
      <c r="B519" s="31">
        <v>1.84692256E9</v>
      </c>
      <c r="C519" s="32" t="s">
        <v>536</v>
      </c>
      <c r="D519" s="31">
        <v>4.5416927E7</v>
      </c>
      <c r="E519" s="30">
        <v>45082.0</v>
      </c>
      <c r="F519" s="33" t="s">
        <v>69</v>
      </c>
      <c r="G519" s="34">
        <v>2.0</v>
      </c>
      <c r="H519" s="33" t="s">
        <v>70</v>
      </c>
      <c r="I519" s="33" t="s">
        <v>88</v>
      </c>
      <c r="J519" s="33" t="s">
        <v>93</v>
      </c>
      <c r="K519" s="33" t="s">
        <v>90</v>
      </c>
      <c r="L519" s="33" t="str">
        <f t="shared" si="1"/>
        <v>FAMILIAR</v>
      </c>
      <c r="M519" s="33">
        <f t="shared" si="2"/>
        <v>6</v>
      </c>
      <c r="N519" s="33">
        <f t="shared" si="3"/>
        <v>2023</v>
      </c>
      <c r="O519" s="35" t="str">
        <f>VLOOKUP(K519,'CA y tablas'!$B$22:$C$28,2,FALSE)</f>
        <v>EUROPEO</v>
      </c>
      <c r="P519" s="28" t="str">
        <f t="shared" si="4"/>
        <v>S1</v>
      </c>
      <c r="Q519" s="29">
        <v>2.0</v>
      </c>
      <c r="R519" s="29" t="str">
        <f t="shared" si="5"/>
        <v>Q2</v>
      </c>
    </row>
    <row r="520" ht="15.75" customHeight="1">
      <c r="A520" s="22">
        <v>45076.0</v>
      </c>
      <c r="B520" s="23">
        <v>3.683588871E9</v>
      </c>
      <c r="C520" s="24" t="s">
        <v>537</v>
      </c>
      <c r="D520" s="23">
        <v>3.1644114E7</v>
      </c>
      <c r="E520" s="22">
        <v>45082.0</v>
      </c>
      <c r="F520" s="25" t="s">
        <v>69</v>
      </c>
      <c r="G520" s="26">
        <v>2.0</v>
      </c>
      <c r="H520" s="25" t="s">
        <v>70</v>
      </c>
      <c r="I520" s="25" t="s">
        <v>88</v>
      </c>
      <c r="J520" s="25" t="s">
        <v>79</v>
      </c>
      <c r="K520" s="25" t="s">
        <v>90</v>
      </c>
      <c r="L520" s="25" t="str">
        <f t="shared" si="1"/>
        <v>FAMILIAR</v>
      </c>
      <c r="M520" s="25">
        <f t="shared" si="2"/>
        <v>6</v>
      </c>
      <c r="N520" s="25">
        <f t="shared" si="3"/>
        <v>2023</v>
      </c>
      <c r="O520" s="27" t="str">
        <f>VLOOKUP(K520,'CA y tablas'!$B$22:$C$28,2,FALSE)</f>
        <v>EUROPEO</v>
      </c>
      <c r="P520" s="28" t="str">
        <f t="shared" si="4"/>
        <v>S1</v>
      </c>
      <c r="Q520" s="29">
        <v>2.0</v>
      </c>
      <c r="R520" s="29" t="str">
        <f t="shared" si="5"/>
        <v>Q2</v>
      </c>
    </row>
    <row r="521" ht="15.75" customHeight="1">
      <c r="A521" s="30">
        <v>45076.0</v>
      </c>
      <c r="B521" s="31">
        <v>7.436917025E9</v>
      </c>
      <c r="C521" s="32" t="s">
        <v>538</v>
      </c>
      <c r="D521" s="31">
        <v>3.316397E7</v>
      </c>
      <c r="E521" s="30">
        <v>45082.0</v>
      </c>
      <c r="F521" s="33" t="s">
        <v>69</v>
      </c>
      <c r="G521" s="34">
        <v>2.0</v>
      </c>
      <c r="H521" s="33" t="s">
        <v>70</v>
      </c>
      <c r="I521" s="33" t="s">
        <v>88</v>
      </c>
      <c r="J521" s="33" t="s">
        <v>79</v>
      </c>
      <c r="K521" s="33" t="s">
        <v>99</v>
      </c>
      <c r="L521" s="33" t="str">
        <f t="shared" si="1"/>
        <v>FAMILIAR</v>
      </c>
      <c r="M521" s="33">
        <f t="shared" si="2"/>
        <v>6</v>
      </c>
      <c r="N521" s="33">
        <f t="shared" si="3"/>
        <v>2023</v>
      </c>
      <c r="O521" s="35" t="str">
        <f>VLOOKUP(K521,'CA y tablas'!$B$22:$C$28,2,FALSE)</f>
        <v>EUROPEO</v>
      </c>
      <c r="P521" s="28" t="str">
        <f t="shared" si="4"/>
        <v>S1</v>
      </c>
      <c r="Q521" s="29">
        <v>2.0</v>
      </c>
      <c r="R521" s="29" t="str">
        <f t="shared" si="5"/>
        <v>Q2</v>
      </c>
    </row>
    <row r="522" ht="15.75" customHeight="1">
      <c r="A522" s="22">
        <v>45076.0</v>
      </c>
      <c r="B522" s="23">
        <v>4.535509366E9</v>
      </c>
      <c r="C522" s="24" t="s">
        <v>539</v>
      </c>
      <c r="D522" s="23">
        <v>2.337659E7</v>
      </c>
      <c r="E522" s="22">
        <v>45082.0</v>
      </c>
      <c r="F522" s="25" t="s">
        <v>69</v>
      </c>
      <c r="G522" s="26">
        <v>2.0</v>
      </c>
      <c r="H522" s="25" t="s">
        <v>70</v>
      </c>
      <c r="I522" s="25" t="s">
        <v>88</v>
      </c>
      <c r="J522" s="25" t="s">
        <v>79</v>
      </c>
      <c r="K522" s="25" t="s">
        <v>99</v>
      </c>
      <c r="L522" s="25" t="str">
        <f t="shared" si="1"/>
        <v>FAMILIAR</v>
      </c>
      <c r="M522" s="25">
        <f t="shared" si="2"/>
        <v>6</v>
      </c>
      <c r="N522" s="25">
        <f t="shared" si="3"/>
        <v>2023</v>
      </c>
      <c r="O522" s="27" t="str">
        <f>VLOOKUP(K522,'CA y tablas'!$B$22:$C$28,2,FALSE)</f>
        <v>EUROPEO</v>
      </c>
      <c r="P522" s="28" t="str">
        <f t="shared" si="4"/>
        <v>S1</v>
      </c>
      <c r="Q522" s="29">
        <v>2.0</v>
      </c>
      <c r="R522" s="29" t="str">
        <f t="shared" si="5"/>
        <v>Q2</v>
      </c>
    </row>
    <row r="523" ht="15.75" customHeight="1">
      <c r="A523" s="30">
        <v>45077.0</v>
      </c>
      <c r="B523" s="31">
        <v>2.799008892E9</v>
      </c>
      <c r="C523" s="32" t="s">
        <v>540</v>
      </c>
      <c r="D523" s="31">
        <v>4.3037972E7</v>
      </c>
      <c r="E523" s="30">
        <v>45082.0</v>
      </c>
      <c r="F523" s="33" t="s">
        <v>69</v>
      </c>
      <c r="G523" s="34">
        <v>1.0</v>
      </c>
      <c r="H523" s="33" t="s">
        <v>70</v>
      </c>
      <c r="I523" s="33" t="s">
        <v>88</v>
      </c>
      <c r="J523" s="33" t="s">
        <v>79</v>
      </c>
      <c r="K523" s="33" t="s">
        <v>99</v>
      </c>
      <c r="L523" s="33" t="str">
        <f t="shared" si="1"/>
        <v>INDIVIDUAL</v>
      </c>
      <c r="M523" s="33">
        <f t="shared" si="2"/>
        <v>6</v>
      </c>
      <c r="N523" s="33">
        <f t="shared" si="3"/>
        <v>2023</v>
      </c>
      <c r="O523" s="35" t="str">
        <f>VLOOKUP(K523,'CA y tablas'!$B$22:$C$28,2,FALSE)</f>
        <v>EUROPEO</v>
      </c>
      <c r="P523" s="28" t="str">
        <f t="shared" si="4"/>
        <v>S1</v>
      </c>
      <c r="Q523" s="29">
        <v>2.0</v>
      </c>
      <c r="R523" s="29" t="str">
        <f t="shared" si="5"/>
        <v>Q2</v>
      </c>
    </row>
    <row r="524" ht="15.75" customHeight="1">
      <c r="A524" s="22">
        <v>45077.0</v>
      </c>
      <c r="B524" s="23">
        <v>6.227207394E9</v>
      </c>
      <c r="C524" s="24" t="s">
        <v>538</v>
      </c>
      <c r="D524" s="23">
        <v>3.316397E7</v>
      </c>
      <c r="E524" s="22">
        <v>45082.0</v>
      </c>
      <c r="F524" s="25" t="s">
        <v>69</v>
      </c>
      <c r="G524" s="26">
        <v>3.0</v>
      </c>
      <c r="H524" s="25" t="s">
        <v>70</v>
      </c>
      <c r="I524" s="25" t="s">
        <v>88</v>
      </c>
      <c r="J524" s="25" t="s">
        <v>79</v>
      </c>
      <c r="K524" s="25" t="s">
        <v>99</v>
      </c>
      <c r="L524" s="25" t="str">
        <f t="shared" si="1"/>
        <v>FAMILIAR</v>
      </c>
      <c r="M524" s="25">
        <f t="shared" si="2"/>
        <v>6</v>
      </c>
      <c r="N524" s="25">
        <f t="shared" si="3"/>
        <v>2023</v>
      </c>
      <c r="O524" s="27" t="str">
        <f>VLOOKUP(K524,'CA y tablas'!$B$22:$C$28,2,FALSE)</f>
        <v>EUROPEO</v>
      </c>
      <c r="P524" s="28" t="str">
        <f t="shared" si="4"/>
        <v>S1</v>
      </c>
      <c r="Q524" s="29">
        <v>2.0</v>
      </c>
      <c r="R524" s="29" t="str">
        <f t="shared" si="5"/>
        <v>Q2</v>
      </c>
    </row>
    <row r="525" ht="15.75" customHeight="1">
      <c r="A525" s="30">
        <v>45079.0</v>
      </c>
      <c r="B525" s="31">
        <v>6.767189822E9</v>
      </c>
      <c r="C525" s="32" t="s">
        <v>541</v>
      </c>
      <c r="D525" s="31">
        <v>3.7658781E7</v>
      </c>
      <c r="E525" s="30">
        <v>45082.0</v>
      </c>
      <c r="F525" s="33" t="s">
        <v>69</v>
      </c>
      <c r="G525" s="34">
        <v>3.0</v>
      </c>
      <c r="H525" s="33" t="s">
        <v>70</v>
      </c>
      <c r="I525" s="33" t="s">
        <v>88</v>
      </c>
      <c r="J525" s="33" t="s">
        <v>83</v>
      </c>
      <c r="K525" s="33" t="s">
        <v>99</v>
      </c>
      <c r="L525" s="33" t="str">
        <f t="shared" si="1"/>
        <v>FAMILIAR</v>
      </c>
      <c r="M525" s="33">
        <f t="shared" si="2"/>
        <v>6</v>
      </c>
      <c r="N525" s="33">
        <f t="shared" si="3"/>
        <v>2023</v>
      </c>
      <c r="O525" s="35" t="str">
        <f>VLOOKUP(K525,'CA y tablas'!$B$22:$C$28,2,FALSE)</f>
        <v>EUROPEO</v>
      </c>
      <c r="P525" s="28" t="str">
        <f t="shared" si="4"/>
        <v>S1</v>
      </c>
      <c r="Q525" s="29">
        <v>2.0</v>
      </c>
      <c r="R525" s="29" t="str">
        <f t="shared" si="5"/>
        <v>Q2</v>
      </c>
    </row>
    <row r="526" ht="15.75" customHeight="1">
      <c r="A526" s="22">
        <v>45079.0</v>
      </c>
      <c r="B526" s="23">
        <v>5.400888054E9</v>
      </c>
      <c r="C526" s="24" t="s">
        <v>542</v>
      </c>
      <c r="D526" s="23">
        <v>3.6838549E7</v>
      </c>
      <c r="E526" s="22">
        <v>45082.0</v>
      </c>
      <c r="F526" s="25" t="s">
        <v>69</v>
      </c>
      <c r="G526" s="26">
        <v>2.0</v>
      </c>
      <c r="H526" s="25" t="s">
        <v>70</v>
      </c>
      <c r="I526" s="25" t="s">
        <v>88</v>
      </c>
      <c r="J526" s="25" t="s">
        <v>83</v>
      </c>
      <c r="K526" s="25" t="s">
        <v>217</v>
      </c>
      <c r="L526" s="25" t="str">
        <f t="shared" si="1"/>
        <v>FAMILIAR</v>
      </c>
      <c r="M526" s="25">
        <f t="shared" si="2"/>
        <v>6</v>
      </c>
      <c r="N526" s="25">
        <f t="shared" si="3"/>
        <v>2023</v>
      </c>
      <c r="O526" s="27" t="str">
        <f>VLOOKUP(K526,'CA y tablas'!$B$22:$C$28,2,FALSE)</f>
        <v>ASIATICO</v>
      </c>
      <c r="P526" s="28" t="str">
        <f t="shared" si="4"/>
        <v>S1</v>
      </c>
      <c r="Q526" s="29">
        <v>2.0</v>
      </c>
      <c r="R526" s="29" t="str">
        <f t="shared" si="5"/>
        <v>Q2</v>
      </c>
    </row>
    <row r="527" ht="15.75" customHeight="1">
      <c r="A527" s="30">
        <v>45079.0</v>
      </c>
      <c r="B527" s="31">
        <v>5.567258502E9</v>
      </c>
      <c r="C527" s="32" t="s">
        <v>543</v>
      </c>
      <c r="D527" s="31">
        <v>5521246.0</v>
      </c>
      <c r="E527" s="30">
        <v>45082.0</v>
      </c>
      <c r="F527" s="33" t="s">
        <v>69</v>
      </c>
      <c r="G527" s="34">
        <v>1.0</v>
      </c>
      <c r="H527" s="33" t="s">
        <v>70</v>
      </c>
      <c r="I527" s="33" t="s">
        <v>71</v>
      </c>
      <c r="J527" s="33" t="s">
        <v>83</v>
      </c>
      <c r="K527" s="33" t="s">
        <v>217</v>
      </c>
      <c r="L527" s="33" t="str">
        <f t="shared" si="1"/>
        <v>INDIVIDUAL</v>
      </c>
      <c r="M527" s="33">
        <f t="shared" si="2"/>
        <v>6</v>
      </c>
      <c r="N527" s="33">
        <f t="shared" si="3"/>
        <v>2023</v>
      </c>
      <c r="O527" s="35" t="str">
        <f>VLOOKUP(K527,'CA y tablas'!$B$22:$C$28,2,FALSE)</f>
        <v>ASIATICO</v>
      </c>
      <c r="P527" s="28" t="str">
        <f t="shared" si="4"/>
        <v>S1</v>
      </c>
      <c r="Q527" s="29">
        <v>2.0</v>
      </c>
      <c r="R527" s="29" t="str">
        <f t="shared" si="5"/>
        <v>Q2</v>
      </c>
    </row>
    <row r="528" ht="15.75" customHeight="1">
      <c r="A528" s="22">
        <v>45062.0</v>
      </c>
      <c r="B528" s="23">
        <v>8.607911034E9</v>
      </c>
      <c r="C528" s="24" t="s">
        <v>544</v>
      </c>
      <c r="D528" s="23">
        <v>3.6866949E7</v>
      </c>
      <c r="E528" s="22">
        <v>45083.0</v>
      </c>
      <c r="F528" s="25" t="s">
        <v>69</v>
      </c>
      <c r="G528" s="26">
        <v>3.0</v>
      </c>
      <c r="H528" s="25" t="s">
        <v>81</v>
      </c>
      <c r="I528" s="25" t="s">
        <v>71</v>
      </c>
      <c r="J528" s="25" t="s">
        <v>83</v>
      </c>
      <c r="K528" s="25" t="s">
        <v>217</v>
      </c>
      <c r="L528" s="25" t="str">
        <f t="shared" si="1"/>
        <v>FAMILIAR</v>
      </c>
      <c r="M528" s="25">
        <f t="shared" si="2"/>
        <v>6</v>
      </c>
      <c r="N528" s="25">
        <f t="shared" si="3"/>
        <v>2023</v>
      </c>
      <c r="O528" s="27" t="str">
        <f>VLOOKUP(K528,'CA y tablas'!$B$22:$C$28,2,FALSE)</f>
        <v>ASIATICO</v>
      </c>
      <c r="P528" s="28" t="str">
        <f t="shared" si="4"/>
        <v>S1</v>
      </c>
      <c r="Q528" s="29">
        <v>2.0</v>
      </c>
      <c r="R528" s="29" t="str">
        <f t="shared" si="5"/>
        <v>Q2</v>
      </c>
    </row>
    <row r="529" ht="15.75" customHeight="1">
      <c r="A529" s="30">
        <v>45077.0</v>
      </c>
      <c r="B529" s="31">
        <v>5.271083893E9</v>
      </c>
      <c r="C529" s="32" t="s">
        <v>545</v>
      </c>
      <c r="D529" s="31">
        <v>1.8034554E7</v>
      </c>
      <c r="E529" s="30">
        <v>45083.0</v>
      </c>
      <c r="F529" s="33" t="s">
        <v>69</v>
      </c>
      <c r="G529" s="34">
        <v>1.0</v>
      </c>
      <c r="H529" s="33" t="s">
        <v>81</v>
      </c>
      <c r="I529" s="33" t="s">
        <v>71</v>
      </c>
      <c r="J529" s="33" t="s">
        <v>83</v>
      </c>
      <c r="K529" s="33" t="s">
        <v>217</v>
      </c>
      <c r="L529" s="33" t="str">
        <f t="shared" si="1"/>
        <v>INDIVIDUAL</v>
      </c>
      <c r="M529" s="33">
        <f t="shared" si="2"/>
        <v>6</v>
      </c>
      <c r="N529" s="33">
        <f t="shared" si="3"/>
        <v>2023</v>
      </c>
      <c r="O529" s="35" t="str">
        <f>VLOOKUP(K529,'CA y tablas'!$B$22:$C$28,2,FALSE)</f>
        <v>ASIATICO</v>
      </c>
      <c r="P529" s="28" t="str">
        <f t="shared" si="4"/>
        <v>S1</v>
      </c>
      <c r="Q529" s="29">
        <v>2.0</v>
      </c>
      <c r="R529" s="29" t="str">
        <f t="shared" si="5"/>
        <v>Q2</v>
      </c>
    </row>
    <row r="530" ht="15.75" customHeight="1">
      <c r="A530" s="22">
        <v>45077.0</v>
      </c>
      <c r="B530" s="23">
        <v>7.602842026E9</v>
      </c>
      <c r="C530" s="24" t="s">
        <v>546</v>
      </c>
      <c r="D530" s="23">
        <v>2.2070345E7</v>
      </c>
      <c r="E530" s="22">
        <v>45083.0</v>
      </c>
      <c r="F530" s="25" t="s">
        <v>69</v>
      </c>
      <c r="G530" s="26">
        <v>1.0</v>
      </c>
      <c r="H530" s="25" t="s">
        <v>81</v>
      </c>
      <c r="I530" s="25" t="s">
        <v>71</v>
      </c>
      <c r="J530" s="25" t="s">
        <v>83</v>
      </c>
      <c r="K530" s="25" t="s">
        <v>217</v>
      </c>
      <c r="L530" s="25" t="str">
        <f t="shared" si="1"/>
        <v>INDIVIDUAL</v>
      </c>
      <c r="M530" s="25">
        <f t="shared" si="2"/>
        <v>6</v>
      </c>
      <c r="N530" s="25">
        <f t="shared" si="3"/>
        <v>2023</v>
      </c>
      <c r="O530" s="27" t="str">
        <f>VLOOKUP(K530,'CA y tablas'!$B$22:$C$28,2,FALSE)</f>
        <v>ASIATICO</v>
      </c>
      <c r="P530" s="28" t="str">
        <f t="shared" si="4"/>
        <v>S1</v>
      </c>
      <c r="Q530" s="29">
        <v>2.0</v>
      </c>
      <c r="R530" s="29" t="str">
        <f t="shared" si="5"/>
        <v>Q2</v>
      </c>
    </row>
    <row r="531" ht="15.75" customHeight="1">
      <c r="A531" s="30">
        <v>45083.0</v>
      </c>
      <c r="B531" s="31">
        <v>7.214092594E9</v>
      </c>
      <c r="C531" s="32" t="s">
        <v>547</v>
      </c>
      <c r="D531" s="31">
        <v>2.644709E7</v>
      </c>
      <c r="E531" s="30">
        <v>45083.0</v>
      </c>
      <c r="F531" s="33" t="s">
        <v>69</v>
      </c>
      <c r="G531" s="34">
        <v>2.0</v>
      </c>
      <c r="H531" s="33" t="s">
        <v>81</v>
      </c>
      <c r="I531" s="33" t="s">
        <v>71</v>
      </c>
      <c r="J531" s="33" t="s">
        <v>83</v>
      </c>
      <c r="K531" s="33" t="s">
        <v>217</v>
      </c>
      <c r="L531" s="33" t="str">
        <f t="shared" si="1"/>
        <v>FAMILIAR</v>
      </c>
      <c r="M531" s="33">
        <f t="shared" si="2"/>
        <v>6</v>
      </c>
      <c r="N531" s="33">
        <f t="shared" si="3"/>
        <v>2023</v>
      </c>
      <c r="O531" s="35" t="str">
        <f>VLOOKUP(K531,'CA y tablas'!$B$22:$C$28,2,FALSE)</f>
        <v>ASIATICO</v>
      </c>
      <c r="P531" s="28" t="str">
        <f t="shared" si="4"/>
        <v>S1</v>
      </c>
      <c r="Q531" s="29">
        <v>2.0</v>
      </c>
      <c r="R531" s="29" t="str">
        <f t="shared" si="5"/>
        <v>Q2</v>
      </c>
    </row>
    <row r="532" ht="15.75" customHeight="1">
      <c r="A532" s="22">
        <v>45083.0</v>
      </c>
      <c r="B532" s="23">
        <v>2.483169135E9</v>
      </c>
      <c r="C532" s="24" t="s">
        <v>548</v>
      </c>
      <c r="D532" s="23">
        <v>3.7725853E7</v>
      </c>
      <c r="E532" s="22">
        <v>45083.0</v>
      </c>
      <c r="F532" s="25" t="s">
        <v>69</v>
      </c>
      <c r="G532" s="26">
        <v>2.0</v>
      </c>
      <c r="H532" s="25" t="s">
        <v>106</v>
      </c>
      <c r="I532" s="25" t="s">
        <v>71</v>
      </c>
      <c r="J532" s="25" t="s">
        <v>83</v>
      </c>
      <c r="K532" s="25" t="s">
        <v>99</v>
      </c>
      <c r="L532" s="25" t="str">
        <f t="shared" si="1"/>
        <v>FAMILIAR</v>
      </c>
      <c r="M532" s="25">
        <f t="shared" si="2"/>
        <v>6</v>
      </c>
      <c r="N532" s="25">
        <f t="shared" si="3"/>
        <v>2023</v>
      </c>
      <c r="O532" s="27" t="str">
        <f>VLOOKUP(K532,'CA y tablas'!$B$22:$C$28,2,FALSE)</f>
        <v>EUROPEO</v>
      </c>
      <c r="P532" s="28" t="str">
        <f t="shared" si="4"/>
        <v>S1</v>
      </c>
      <c r="Q532" s="29">
        <v>2.0</v>
      </c>
      <c r="R532" s="29" t="str">
        <f t="shared" si="5"/>
        <v>Q2</v>
      </c>
    </row>
    <row r="533" ht="15.75" customHeight="1">
      <c r="A533" s="30">
        <v>45083.0</v>
      </c>
      <c r="B533" s="31">
        <v>3.322882485E9</v>
      </c>
      <c r="C533" s="32" t="s">
        <v>549</v>
      </c>
      <c r="D533" s="31">
        <v>3.9481279E7</v>
      </c>
      <c r="E533" s="30">
        <v>45083.0</v>
      </c>
      <c r="F533" s="33" t="s">
        <v>69</v>
      </c>
      <c r="G533" s="34">
        <v>3.0</v>
      </c>
      <c r="H533" s="33" t="s">
        <v>106</v>
      </c>
      <c r="I533" s="33" t="s">
        <v>71</v>
      </c>
      <c r="J533" s="33" t="s">
        <v>98</v>
      </c>
      <c r="K533" s="33" t="s">
        <v>99</v>
      </c>
      <c r="L533" s="33" t="str">
        <f t="shared" si="1"/>
        <v>FAMILIAR</v>
      </c>
      <c r="M533" s="33">
        <f t="shared" si="2"/>
        <v>6</v>
      </c>
      <c r="N533" s="33">
        <f t="shared" si="3"/>
        <v>2023</v>
      </c>
      <c r="O533" s="35" t="str">
        <f>VLOOKUP(K533,'CA y tablas'!$B$22:$C$28,2,FALSE)</f>
        <v>EUROPEO</v>
      </c>
      <c r="P533" s="28" t="str">
        <f t="shared" si="4"/>
        <v>S1</v>
      </c>
      <c r="Q533" s="29">
        <v>2.0</v>
      </c>
      <c r="R533" s="29" t="str">
        <f t="shared" si="5"/>
        <v>Q2</v>
      </c>
    </row>
    <row r="534" ht="15.75" customHeight="1">
      <c r="A534" s="22">
        <v>45079.0</v>
      </c>
      <c r="B534" s="23">
        <v>9.787795264E9</v>
      </c>
      <c r="C534" s="24" t="s">
        <v>550</v>
      </c>
      <c r="D534" s="23">
        <v>2.2073509E7</v>
      </c>
      <c r="E534" s="22">
        <v>45084.0</v>
      </c>
      <c r="F534" s="25" t="s">
        <v>69</v>
      </c>
      <c r="G534" s="26">
        <v>3.0</v>
      </c>
      <c r="H534" s="25" t="s">
        <v>106</v>
      </c>
      <c r="I534" s="25" t="s">
        <v>71</v>
      </c>
      <c r="J534" s="25" t="s">
        <v>98</v>
      </c>
      <c r="K534" s="25" t="s">
        <v>99</v>
      </c>
      <c r="L534" s="25" t="str">
        <f t="shared" si="1"/>
        <v>FAMILIAR</v>
      </c>
      <c r="M534" s="25">
        <f t="shared" si="2"/>
        <v>6</v>
      </c>
      <c r="N534" s="25">
        <f t="shared" si="3"/>
        <v>2023</v>
      </c>
      <c r="O534" s="27" t="str">
        <f>VLOOKUP(K534,'CA y tablas'!$B$22:$C$28,2,FALSE)</f>
        <v>EUROPEO</v>
      </c>
      <c r="P534" s="28" t="str">
        <f t="shared" si="4"/>
        <v>S1</v>
      </c>
      <c r="Q534" s="29">
        <v>2.0</v>
      </c>
      <c r="R534" s="29" t="str">
        <f t="shared" si="5"/>
        <v>Q2</v>
      </c>
    </row>
    <row r="535" ht="15.75" customHeight="1">
      <c r="A535" s="30">
        <v>45079.0</v>
      </c>
      <c r="B535" s="31">
        <v>5.753278226E9</v>
      </c>
      <c r="C535" s="32" t="s">
        <v>551</v>
      </c>
      <c r="D535" s="31">
        <v>1.3847543E7</v>
      </c>
      <c r="E535" s="30">
        <v>45084.0</v>
      </c>
      <c r="F535" s="33" t="s">
        <v>69</v>
      </c>
      <c r="G535" s="34">
        <v>5.0</v>
      </c>
      <c r="H535" s="33" t="s">
        <v>106</v>
      </c>
      <c r="I535" s="33" t="s">
        <v>71</v>
      </c>
      <c r="J535" s="33" t="s">
        <v>98</v>
      </c>
      <c r="K535" s="33" t="s">
        <v>99</v>
      </c>
      <c r="L535" s="33" t="str">
        <f t="shared" si="1"/>
        <v>FAMILIAR</v>
      </c>
      <c r="M535" s="33">
        <f t="shared" si="2"/>
        <v>6</v>
      </c>
      <c r="N535" s="33">
        <f t="shared" si="3"/>
        <v>2023</v>
      </c>
      <c r="O535" s="35" t="str">
        <f>VLOOKUP(K535,'CA y tablas'!$B$22:$C$28,2,FALSE)</f>
        <v>EUROPEO</v>
      </c>
      <c r="P535" s="28" t="str">
        <f t="shared" si="4"/>
        <v>S1</v>
      </c>
      <c r="Q535" s="29">
        <v>2.0</v>
      </c>
      <c r="R535" s="29" t="str">
        <f t="shared" si="5"/>
        <v>Q2</v>
      </c>
    </row>
    <row r="536" ht="15.75" customHeight="1">
      <c r="A536" s="22">
        <v>45079.0</v>
      </c>
      <c r="B536" s="23">
        <v>2.186366663E9</v>
      </c>
      <c r="C536" s="24" t="s">
        <v>552</v>
      </c>
      <c r="D536" s="23">
        <v>1.422671E7</v>
      </c>
      <c r="E536" s="22">
        <v>45084.0</v>
      </c>
      <c r="F536" s="25" t="s">
        <v>69</v>
      </c>
      <c r="G536" s="26">
        <v>2.0</v>
      </c>
      <c r="H536" s="25" t="s">
        <v>106</v>
      </c>
      <c r="I536" s="25" t="s">
        <v>71</v>
      </c>
      <c r="J536" s="25" t="s">
        <v>98</v>
      </c>
      <c r="K536" s="25" t="s">
        <v>99</v>
      </c>
      <c r="L536" s="25" t="str">
        <f t="shared" si="1"/>
        <v>FAMILIAR</v>
      </c>
      <c r="M536" s="25">
        <f t="shared" si="2"/>
        <v>6</v>
      </c>
      <c r="N536" s="25">
        <f t="shared" si="3"/>
        <v>2023</v>
      </c>
      <c r="O536" s="27" t="str">
        <f>VLOOKUP(K536,'CA y tablas'!$B$22:$C$28,2,FALSE)</f>
        <v>EUROPEO</v>
      </c>
      <c r="P536" s="28" t="str">
        <f t="shared" si="4"/>
        <v>S1</v>
      </c>
      <c r="Q536" s="29">
        <v>2.0</v>
      </c>
      <c r="R536" s="29" t="str">
        <f t="shared" si="5"/>
        <v>Q2</v>
      </c>
    </row>
    <row r="537" ht="15.75" customHeight="1">
      <c r="A537" s="30">
        <v>45083.0</v>
      </c>
      <c r="B537" s="31">
        <v>2.563332321E9</v>
      </c>
      <c r="C537" s="32" t="s">
        <v>553</v>
      </c>
      <c r="D537" s="31">
        <v>3.5921818E7</v>
      </c>
      <c r="E537" s="30">
        <v>45084.0</v>
      </c>
      <c r="F537" s="33" t="s">
        <v>76</v>
      </c>
      <c r="G537" s="34">
        <v>6.0</v>
      </c>
      <c r="H537" s="33" t="s">
        <v>112</v>
      </c>
      <c r="I537" s="33" t="s">
        <v>71</v>
      </c>
      <c r="J537" s="33" t="s">
        <v>98</v>
      </c>
      <c r="K537" s="33" t="s">
        <v>99</v>
      </c>
      <c r="L537" s="33" t="str">
        <f t="shared" si="1"/>
        <v>FAMILIAR</v>
      </c>
      <c r="M537" s="33">
        <f t="shared" si="2"/>
        <v>6</v>
      </c>
      <c r="N537" s="33">
        <f t="shared" si="3"/>
        <v>2023</v>
      </c>
      <c r="O537" s="35" t="str">
        <f>VLOOKUP(K537,'CA y tablas'!$B$22:$C$28,2,FALSE)</f>
        <v>EUROPEO</v>
      </c>
      <c r="P537" s="28" t="str">
        <f t="shared" si="4"/>
        <v>S1</v>
      </c>
      <c r="Q537" s="29">
        <v>2.0</v>
      </c>
      <c r="R537" s="29" t="str">
        <f t="shared" si="5"/>
        <v>Q2</v>
      </c>
    </row>
    <row r="538" ht="15.75" customHeight="1">
      <c r="A538" s="22">
        <v>45083.0</v>
      </c>
      <c r="B538" s="23">
        <v>2.651037115E9</v>
      </c>
      <c r="C538" s="24" t="s">
        <v>554</v>
      </c>
      <c r="D538" s="23">
        <v>2.6534906E7</v>
      </c>
      <c r="E538" s="22">
        <v>45084.0</v>
      </c>
      <c r="F538" s="25" t="s">
        <v>76</v>
      </c>
      <c r="G538" s="26">
        <v>6.0</v>
      </c>
      <c r="H538" s="25" t="s">
        <v>112</v>
      </c>
      <c r="I538" s="25" t="s">
        <v>71</v>
      </c>
      <c r="J538" s="25" t="s">
        <v>98</v>
      </c>
      <c r="K538" s="25" t="s">
        <v>99</v>
      </c>
      <c r="L538" s="25" t="str">
        <f t="shared" si="1"/>
        <v>FAMILIAR</v>
      </c>
      <c r="M538" s="25">
        <f t="shared" si="2"/>
        <v>6</v>
      </c>
      <c r="N538" s="25">
        <f t="shared" si="3"/>
        <v>2023</v>
      </c>
      <c r="O538" s="27" t="str">
        <f>VLOOKUP(K538,'CA y tablas'!$B$22:$C$28,2,FALSE)</f>
        <v>EUROPEO</v>
      </c>
      <c r="P538" s="28" t="str">
        <f t="shared" si="4"/>
        <v>S1</v>
      </c>
      <c r="Q538" s="29">
        <v>2.0</v>
      </c>
      <c r="R538" s="29" t="str">
        <f t="shared" si="5"/>
        <v>Q2</v>
      </c>
    </row>
    <row r="539" ht="15.75" customHeight="1">
      <c r="A539" s="30">
        <v>45083.0</v>
      </c>
      <c r="B539" s="31">
        <v>6.180658853E9</v>
      </c>
      <c r="C539" s="32" t="s">
        <v>555</v>
      </c>
      <c r="D539" s="31">
        <v>4.1446172E7</v>
      </c>
      <c r="E539" s="30">
        <v>45084.0</v>
      </c>
      <c r="F539" s="33" t="s">
        <v>69</v>
      </c>
      <c r="G539" s="34">
        <v>1.0</v>
      </c>
      <c r="H539" s="33" t="s">
        <v>112</v>
      </c>
      <c r="I539" s="33" t="s">
        <v>71</v>
      </c>
      <c r="J539" s="33" t="s">
        <v>98</v>
      </c>
      <c r="K539" s="33" t="s">
        <v>99</v>
      </c>
      <c r="L539" s="33" t="str">
        <f t="shared" si="1"/>
        <v>INDIVIDUAL</v>
      </c>
      <c r="M539" s="33">
        <f t="shared" si="2"/>
        <v>6</v>
      </c>
      <c r="N539" s="33">
        <f t="shared" si="3"/>
        <v>2023</v>
      </c>
      <c r="O539" s="35" t="str">
        <f>VLOOKUP(K539,'CA y tablas'!$B$22:$C$28,2,FALSE)</f>
        <v>EUROPEO</v>
      </c>
      <c r="P539" s="28" t="str">
        <f t="shared" si="4"/>
        <v>S1</v>
      </c>
      <c r="Q539" s="29">
        <v>2.0</v>
      </c>
      <c r="R539" s="29" t="str">
        <f t="shared" si="5"/>
        <v>Q2</v>
      </c>
    </row>
    <row r="540" ht="15.75" customHeight="1">
      <c r="A540" s="22">
        <v>45083.0</v>
      </c>
      <c r="B540" s="23">
        <v>9.108303175E9</v>
      </c>
      <c r="C540" s="24" t="s">
        <v>556</v>
      </c>
      <c r="D540" s="23">
        <v>3.8755162E7</v>
      </c>
      <c r="E540" s="22">
        <v>45084.0</v>
      </c>
      <c r="F540" s="25" t="s">
        <v>69</v>
      </c>
      <c r="G540" s="26">
        <v>1.0</v>
      </c>
      <c r="H540" s="25" t="s">
        <v>112</v>
      </c>
      <c r="I540" s="25" t="s">
        <v>71</v>
      </c>
      <c r="J540" s="25" t="s">
        <v>98</v>
      </c>
      <c r="K540" s="25" t="s">
        <v>84</v>
      </c>
      <c r="L540" s="25" t="str">
        <f t="shared" si="1"/>
        <v>INDIVIDUAL</v>
      </c>
      <c r="M540" s="25">
        <f t="shared" si="2"/>
        <v>6</v>
      </c>
      <c r="N540" s="25">
        <f t="shared" si="3"/>
        <v>2023</v>
      </c>
      <c r="O540" s="27" t="str">
        <f>VLOOKUP(K540,'CA y tablas'!$B$22:$C$28,2,FALSE)</f>
        <v>EUROPEO</v>
      </c>
      <c r="P540" s="28" t="str">
        <f t="shared" si="4"/>
        <v>S1</v>
      </c>
      <c r="Q540" s="29">
        <v>2.0</v>
      </c>
      <c r="R540" s="29" t="str">
        <f t="shared" si="5"/>
        <v>Q2</v>
      </c>
    </row>
    <row r="541" ht="15.75" customHeight="1">
      <c r="A541" s="30">
        <v>45083.0</v>
      </c>
      <c r="B541" s="31">
        <v>4.148398914E9</v>
      </c>
      <c r="C541" s="32" t="s">
        <v>557</v>
      </c>
      <c r="D541" s="31">
        <v>3.4604914E7</v>
      </c>
      <c r="E541" s="30">
        <v>45084.0</v>
      </c>
      <c r="F541" s="33" t="s">
        <v>76</v>
      </c>
      <c r="G541" s="34">
        <v>1.0</v>
      </c>
      <c r="H541" s="33" t="s">
        <v>112</v>
      </c>
      <c r="I541" s="33" t="s">
        <v>77</v>
      </c>
      <c r="J541" s="33" t="s">
        <v>98</v>
      </c>
      <c r="K541" s="33" t="s">
        <v>84</v>
      </c>
      <c r="L541" s="33" t="str">
        <f t="shared" si="1"/>
        <v>INDIVIDUAL</v>
      </c>
      <c r="M541" s="33">
        <f t="shared" si="2"/>
        <v>6</v>
      </c>
      <c r="N541" s="33">
        <f t="shared" si="3"/>
        <v>2023</v>
      </c>
      <c r="O541" s="35" t="str">
        <f>VLOOKUP(K541,'CA y tablas'!$B$22:$C$28,2,FALSE)</f>
        <v>EUROPEO</v>
      </c>
      <c r="P541" s="28" t="str">
        <f t="shared" si="4"/>
        <v>S1</v>
      </c>
      <c r="Q541" s="29">
        <v>2.0</v>
      </c>
      <c r="R541" s="29" t="str">
        <f t="shared" si="5"/>
        <v>Q2</v>
      </c>
    </row>
    <row r="542" ht="15.75" customHeight="1">
      <c r="A542" s="22">
        <v>45083.0</v>
      </c>
      <c r="B542" s="23">
        <v>9.108300784E9</v>
      </c>
      <c r="C542" s="24" t="s">
        <v>558</v>
      </c>
      <c r="D542" s="23">
        <v>3.9977103E7</v>
      </c>
      <c r="E542" s="22">
        <v>45084.0</v>
      </c>
      <c r="F542" s="25" t="s">
        <v>69</v>
      </c>
      <c r="G542" s="26">
        <v>1.0</v>
      </c>
      <c r="H542" s="25" t="s">
        <v>112</v>
      </c>
      <c r="I542" s="25" t="s">
        <v>77</v>
      </c>
      <c r="J542" s="25" t="s">
        <v>98</v>
      </c>
      <c r="K542" s="25" t="s">
        <v>84</v>
      </c>
      <c r="L542" s="25" t="str">
        <f t="shared" si="1"/>
        <v>INDIVIDUAL</v>
      </c>
      <c r="M542" s="25">
        <f t="shared" si="2"/>
        <v>6</v>
      </c>
      <c r="N542" s="25">
        <f t="shared" si="3"/>
        <v>2023</v>
      </c>
      <c r="O542" s="27" t="str">
        <f>VLOOKUP(K542,'CA y tablas'!$B$22:$C$28,2,FALSE)</f>
        <v>EUROPEO</v>
      </c>
      <c r="P542" s="28" t="str">
        <f t="shared" si="4"/>
        <v>S1</v>
      </c>
      <c r="Q542" s="29">
        <v>2.0</v>
      </c>
      <c r="R542" s="29" t="str">
        <f t="shared" si="5"/>
        <v>Q2</v>
      </c>
    </row>
    <row r="543" ht="15.75" customHeight="1">
      <c r="A543" s="30">
        <v>45083.0</v>
      </c>
      <c r="B543" s="31">
        <v>2.651086126E9</v>
      </c>
      <c r="C543" s="32" t="s">
        <v>559</v>
      </c>
      <c r="D543" s="31">
        <v>4.1375545E7</v>
      </c>
      <c r="E543" s="30">
        <v>45084.0</v>
      </c>
      <c r="F543" s="33" t="s">
        <v>69</v>
      </c>
      <c r="G543" s="34">
        <v>1.0</v>
      </c>
      <c r="H543" s="33" t="s">
        <v>112</v>
      </c>
      <c r="I543" s="33" t="s">
        <v>77</v>
      </c>
      <c r="J543" s="33" t="s">
        <v>98</v>
      </c>
      <c r="K543" s="33" t="s">
        <v>84</v>
      </c>
      <c r="L543" s="33" t="str">
        <f t="shared" si="1"/>
        <v>INDIVIDUAL</v>
      </c>
      <c r="M543" s="33">
        <f t="shared" si="2"/>
        <v>6</v>
      </c>
      <c r="N543" s="33">
        <f t="shared" si="3"/>
        <v>2023</v>
      </c>
      <c r="O543" s="35" t="str">
        <f>VLOOKUP(K543,'CA y tablas'!$B$22:$C$28,2,FALSE)</f>
        <v>EUROPEO</v>
      </c>
      <c r="P543" s="28" t="str">
        <f t="shared" si="4"/>
        <v>S1</v>
      </c>
      <c r="Q543" s="29">
        <v>2.0</v>
      </c>
      <c r="R543" s="29" t="str">
        <f t="shared" si="5"/>
        <v>Q2</v>
      </c>
    </row>
    <row r="544" ht="15.75" customHeight="1">
      <c r="A544" s="22">
        <v>45083.0</v>
      </c>
      <c r="B544" s="23">
        <v>5.105286546E9</v>
      </c>
      <c r="C544" s="24" t="s">
        <v>552</v>
      </c>
      <c r="D544" s="23">
        <v>1.422671E7</v>
      </c>
      <c r="E544" s="22">
        <v>45084.0</v>
      </c>
      <c r="F544" s="25" t="s">
        <v>76</v>
      </c>
      <c r="G544" s="26">
        <v>1.0</v>
      </c>
      <c r="H544" s="25" t="s">
        <v>112</v>
      </c>
      <c r="I544" s="25" t="s">
        <v>77</v>
      </c>
      <c r="J544" s="25" t="s">
        <v>93</v>
      </c>
      <c r="K544" s="25" t="s">
        <v>84</v>
      </c>
      <c r="L544" s="25" t="str">
        <f t="shared" si="1"/>
        <v>INDIVIDUAL</v>
      </c>
      <c r="M544" s="25">
        <f t="shared" si="2"/>
        <v>6</v>
      </c>
      <c r="N544" s="25">
        <f t="shared" si="3"/>
        <v>2023</v>
      </c>
      <c r="O544" s="27" t="str">
        <f>VLOOKUP(K544,'CA y tablas'!$B$22:$C$28,2,FALSE)</f>
        <v>EUROPEO</v>
      </c>
      <c r="P544" s="28" t="str">
        <f t="shared" si="4"/>
        <v>S1</v>
      </c>
      <c r="Q544" s="29">
        <v>2.0</v>
      </c>
      <c r="R544" s="29" t="str">
        <f t="shared" si="5"/>
        <v>Q2</v>
      </c>
    </row>
    <row r="545" ht="15.75" customHeight="1">
      <c r="A545" s="30">
        <v>45083.0</v>
      </c>
      <c r="B545" s="31">
        <v>6.180727173E9</v>
      </c>
      <c r="C545" s="32" t="s">
        <v>560</v>
      </c>
      <c r="D545" s="31">
        <v>2.5212399E7</v>
      </c>
      <c r="E545" s="30">
        <v>45084.0</v>
      </c>
      <c r="F545" s="33" t="s">
        <v>69</v>
      </c>
      <c r="G545" s="34">
        <v>1.0</v>
      </c>
      <c r="H545" s="33" t="s">
        <v>116</v>
      </c>
      <c r="I545" s="33" t="s">
        <v>77</v>
      </c>
      <c r="J545" s="33" t="s">
        <v>93</v>
      </c>
      <c r="K545" s="33" t="s">
        <v>84</v>
      </c>
      <c r="L545" s="33" t="str">
        <f t="shared" si="1"/>
        <v>INDIVIDUAL</v>
      </c>
      <c r="M545" s="33">
        <f t="shared" si="2"/>
        <v>6</v>
      </c>
      <c r="N545" s="33">
        <f t="shared" si="3"/>
        <v>2023</v>
      </c>
      <c r="O545" s="35" t="str">
        <f>VLOOKUP(K545,'CA y tablas'!$B$22:$C$28,2,FALSE)</f>
        <v>EUROPEO</v>
      </c>
      <c r="P545" s="28" t="str">
        <f t="shared" si="4"/>
        <v>S1</v>
      </c>
      <c r="Q545" s="29">
        <v>2.0</v>
      </c>
      <c r="R545" s="29" t="str">
        <f t="shared" si="5"/>
        <v>Q2</v>
      </c>
    </row>
    <row r="546" ht="15.75" customHeight="1">
      <c r="A546" s="22">
        <v>45083.0</v>
      </c>
      <c r="B546" s="23">
        <v>2.62077235E9</v>
      </c>
      <c r="C546" s="24" t="s">
        <v>561</v>
      </c>
      <c r="D546" s="23">
        <v>4.8956764E7</v>
      </c>
      <c r="E546" s="22">
        <v>45085.0</v>
      </c>
      <c r="F546" s="25" t="s">
        <v>76</v>
      </c>
      <c r="G546" s="26">
        <v>1.0</v>
      </c>
      <c r="H546" s="25" t="s">
        <v>116</v>
      </c>
      <c r="I546" s="25" t="s">
        <v>77</v>
      </c>
      <c r="J546" s="25" t="s">
        <v>93</v>
      </c>
      <c r="K546" s="25" t="s">
        <v>84</v>
      </c>
      <c r="L546" s="25" t="str">
        <f t="shared" si="1"/>
        <v>INDIVIDUAL</v>
      </c>
      <c r="M546" s="25">
        <f t="shared" si="2"/>
        <v>6</v>
      </c>
      <c r="N546" s="25">
        <f t="shared" si="3"/>
        <v>2023</v>
      </c>
      <c r="O546" s="27" t="str">
        <f>VLOOKUP(K546,'CA y tablas'!$B$22:$C$28,2,FALSE)</f>
        <v>EUROPEO</v>
      </c>
      <c r="P546" s="28" t="str">
        <f t="shared" si="4"/>
        <v>S1</v>
      </c>
      <c r="Q546" s="29">
        <v>2.0</v>
      </c>
      <c r="R546" s="29" t="str">
        <f t="shared" si="5"/>
        <v>Q2</v>
      </c>
    </row>
    <row r="547" ht="15.75" customHeight="1">
      <c r="A547" s="30">
        <v>45083.0</v>
      </c>
      <c r="B547" s="31">
        <v>5.553938574E9</v>
      </c>
      <c r="C547" s="32" t="s">
        <v>562</v>
      </c>
      <c r="D547" s="31">
        <v>3.7191919E7</v>
      </c>
      <c r="E547" s="30">
        <v>45085.0</v>
      </c>
      <c r="F547" s="33" t="s">
        <v>76</v>
      </c>
      <c r="G547" s="34">
        <v>1.0</v>
      </c>
      <c r="H547" s="33" t="s">
        <v>116</v>
      </c>
      <c r="I547" s="33" t="s">
        <v>77</v>
      </c>
      <c r="J547" s="33" t="s">
        <v>93</v>
      </c>
      <c r="K547" s="33" t="s">
        <v>84</v>
      </c>
      <c r="L547" s="33" t="str">
        <f t="shared" si="1"/>
        <v>INDIVIDUAL</v>
      </c>
      <c r="M547" s="33">
        <f t="shared" si="2"/>
        <v>6</v>
      </c>
      <c r="N547" s="33">
        <f t="shared" si="3"/>
        <v>2023</v>
      </c>
      <c r="O547" s="35" t="str">
        <f>VLOOKUP(K547,'CA y tablas'!$B$22:$C$28,2,FALSE)</f>
        <v>EUROPEO</v>
      </c>
      <c r="P547" s="28" t="str">
        <f t="shared" si="4"/>
        <v>S1</v>
      </c>
      <c r="Q547" s="29">
        <v>2.0</v>
      </c>
      <c r="R547" s="29" t="str">
        <f t="shared" si="5"/>
        <v>Q2</v>
      </c>
    </row>
    <row r="548" ht="15.75" customHeight="1">
      <c r="A548" s="22">
        <v>45076.0</v>
      </c>
      <c r="B548" s="23">
        <v>8.746431396E9</v>
      </c>
      <c r="C548" s="24" t="s">
        <v>563</v>
      </c>
      <c r="D548" s="23">
        <v>2.64086E7</v>
      </c>
      <c r="E548" s="22">
        <v>45086.0</v>
      </c>
      <c r="F548" s="25" t="s">
        <v>76</v>
      </c>
      <c r="G548" s="26">
        <v>1.0</v>
      </c>
      <c r="H548" s="25" t="s">
        <v>116</v>
      </c>
      <c r="I548" s="25" t="s">
        <v>77</v>
      </c>
      <c r="J548" s="25" t="s">
        <v>93</v>
      </c>
      <c r="K548" s="25" t="s">
        <v>84</v>
      </c>
      <c r="L548" s="25" t="str">
        <f t="shared" si="1"/>
        <v>INDIVIDUAL</v>
      </c>
      <c r="M548" s="25">
        <f t="shared" si="2"/>
        <v>6</v>
      </c>
      <c r="N548" s="25">
        <f t="shared" si="3"/>
        <v>2023</v>
      </c>
      <c r="O548" s="27" t="str">
        <f>VLOOKUP(K548,'CA y tablas'!$B$22:$C$28,2,FALSE)</f>
        <v>EUROPEO</v>
      </c>
      <c r="P548" s="28" t="str">
        <f t="shared" si="4"/>
        <v>S1</v>
      </c>
      <c r="Q548" s="29">
        <v>2.0</v>
      </c>
      <c r="R548" s="29" t="str">
        <f t="shared" si="5"/>
        <v>Q2</v>
      </c>
    </row>
    <row r="549" ht="15.75" customHeight="1">
      <c r="A549" s="30">
        <v>45079.0</v>
      </c>
      <c r="B549" s="31">
        <v>7.076711106E9</v>
      </c>
      <c r="C549" s="32" t="s">
        <v>564</v>
      </c>
      <c r="D549" s="31">
        <v>1.3627896E7</v>
      </c>
      <c r="E549" s="30">
        <v>45086.0</v>
      </c>
      <c r="F549" s="33" t="s">
        <v>76</v>
      </c>
      <c r="G549" s="34">
        <v>3.0</v>
      </c>
      <c r="H549" s="33" t="s">
        <v>116</v>
      </c>
      <c r="I549" s="33" t="s">
        <v>77</v>
      </c>
      <c r="J549" s="33" t="s">
        <v>318</v>
      </c>
      <c r="K549" s="33" t="s">
        <v>84</v>
      </c>
      <c r="L549" s="33" t="str">
        <f t="shared" si="1"/>
        <v>FAMILIAR</v>
      </c>
      <c r="M549" s="33">
        <f t="shared" si="2"/>
        <v>6</v>
      </c>
      <c r="N549" s="33">
        <f t="shared" si="3"/>
        <v>2023</v>
      </c>
      <c r="O549" s="35" t="str">
        <f>VLOOKUP(K549,'CA y tablas'!$B$22:$C$28,2,FALSE)</f>
        <v>EUROPEO</v>
      </c>
      <c r="P549" s="28" t="str">
        <f t="shared" si="4"/>
        <v>S1</v>
      </c>
      <c r="Q549" s="29">
        <v>2.0</v>
      </c>
      <c r="R549" s="29" t="str">
        <f t="shared" si="5"/>
        <v>Q2</v>
      </c>
    </row>
    <row r="550" ht="15.75" customHeight="1">
      <c r="A550" s="22">
        <v>45083.0</v>
      </c>
      <c r="B550" s="23">
        <v>9.612034891E9</v>
      </c>
      <c r="C550" s="24" t="s">
        <v>565</v>
      </c>
      <c r="D550" s="23"/>
      <c r="E550" s="22">
        <v>45086.0</v>
      </c>
      <c r="F550" s="25" t="s">
        <v>76</v>
      </c>
      <c r="G550" s="26">
        <v>3.0</v>
      </c>
      <c r="H550" s="25" t="s">
        <v>116</v>
      </c>
      <c r="I550" s="25" t="s">
        <v>77</v>
      </c>
      <c r="J550" s="25" t="s">
        <v>318</v>
      </c>
      <c r="K550" s="25" t="s">
        <v>84</v>
      </c>
      <c r="L550" s="25" t="str">
        <f t="shared" si="1"/>
        <v>FAMILIAR</v>
      </c>
      <c r="M550" s="25">
        <f t="shared" si="2"/>
        <v>6</v>
      </c>
      <c r="N550" s="25">
        <f t="shared" si="3"/>
        <v>2023</v>
      </c>
      <c r="O550" s="27" t="str">
        <f>VLOOKUP(K550,'CA y tablas'!$B$22:$C$28,2,FALSE)</f>
        <v>EUROPEO</v>
      </c>
      <c r="P550" s="28" t="str">
        <f t="shared" si="4"/>
        <v>S1</v>
      </c>
      <c r="Q550" s="29">
        <v>2.0</v>
      </c>
      <c r="R550" s="29" t="str">
        <f t="shared" si="5"/>
        <v>Q2</v>
      </c>
    </row>
    <row r="551" ht="15.75" customHeight="1">
      <c r="A551" s="30">
        <v>45083.0</v>
      </c>
      <c r="B551" s="31">
        <v>2.6207426E9</v>
      </c>
      <c r="C551" s="32" t="s">
        <v>566</v>
      </c>
      <c r="D551" s="31">
        <v>3.8023965E7</v>
      </c>
      <c r="E551" s="30">
        <v>45086.0</v>
      </c>
      <c r="F551" s="33" t="s">
        <v>69</v>
      </c>
      <c r="G551" s="34">
        <v>2.0</v>
      </c>
      <c r="H551" s="33" t="s">
        <v>116</v>
      </c>
      <c r="I551" s="33" t="s">
        <v>77</v>
      </c>
      <c r="J551" s="33" t="s">
        <v>318</v>
      </c>
      <c r="K551" s="33" t="s">
        <v>84</v>
      </c>
      <c r="L551" s="33" t="str">
        <f t="shared" si="1"/>
        <v>FAMILIAR</v>
      </c>
      <c r="M551" s="33">
        <f t="shared" si="2"/>
        <v>6</v>
      </c>
      <c r="N551" s="33">
        <f t="shared" si="3"/>
        <v>2023</v>
      </c>
      <c r="O551" s="35" t="str">
        <f>VLOOKUP(K551,'CA y tablas'!$B$22:$C$28,2,FALSE)</f>
        <v>EUROPEO</v>
      </c>
      <c r="P551" s="28" t="str">
        <f t="shared" si="4"/>
        <v>S1</v>
      </c>
      <c r="Q551" s="29">
        <v>2.0</v>
      </c>
      <c r="R551" s="29" t="str">
        <f t="shared" si="5"/>
        <v>Q2</v>
      </c>
    </row>
    <row r="552" ht="15.75" customHeight="1">
      <c r="A552" s="22">
        <v>45085.0</v>
      </c>
      <c r="B552" s="23">
        <v>6.529729404E9</v>
      </c>
      <c r="C552" s="24" t="s">
        <v>567</v>
      </c>
      <c r="D552" s="23">
        <v>5293219.0</v>
      </c>
      <c r="E552" s="22">
        <v>45086.0</v>
      </c>
      <c r="F552" s="25" t="s">
        <v>69</v>
      </c>
      <c r="G552" s="26">
        <v>1.0</v>
      </c>
      <c r="H552" s="25" t="s">
        <v>116</v>
      </c>
      <c r="I552" s="25" t="s">
        <v>77</v>
      </c>
      <c r="J552" s="25" t="s">
        <v>318</v>
      </c>
      <c r="K552" s="25" t="s">
        <v>84</v>
      </c>
      <c r="L552" s="25" t="str">
        <f t="shared" si="1"/>
        <v>INDIVIDUAL</v>
      </c>
      <c r="M552" s="25">
        <f t="shared" si="2"/>
        <v>6</v>
      </c>
      <c r="N552" s="25">
        <f t="shared" si="3"/>
        <v>2023</v>
      </c>
      <c r="O552" s="27" t="str">
        <f>VLOOKUP(K552,'CA y tablas'!$B$22:$C$28,2,FALSE)</f>
        <v>EUROPEO</v>
      </c>
      <c r="P552" s="28" t="str">
        <f t="shared" si="4"/>
        <v>S1</v>
      </c>
      <c r="Q552" s="29">
        <v>2.0</v>
      </c>
      <c r="R552" s="29" t="str">
        <f t="shared" si="5"/>
        <v>Q2</v>
      </c>
    </row>
    <row r="553" ht="15.75" customHeight="1">
      <c r="A553" s="30">
        <v>45085.0</v>
      </c>
      <c r="B553" s="31">
        <v>2.803050121E9</v>
      </c>
      <c r="C553" s="32" t="s">
        <v>568</v>
      </c>
      <c r="D553" s="31">
        <v>3.694293E7</v>
      </c>
      <c r="E553" s="30">
        <v>45086.0</v>
      </c>
      <c r="F553" s="33" t="s">
        <v>69</v>
      </c>
      <c r="G553" s="34">
        <v>1.0</v>
      </c>
      <c r="H553" s="33" t="s">
        <v>116</v>
      </c>
      <c r="I553" s="33" t="s">
        <v>77</v>
      </c>
      <c r="J553" s="33" t="s">
        <v>318</v>
      </c>
      <c r="K553" s="33" t="s">
        <v>84</v>
      </c>
      <c r="L553" s="33" t="str">
        <f t="shared" si="1"/>
        <v>INDIVIDUAL</v>
      </c>
      <c r="M553" s="33">
        <f t="shared" si="2"/>
        <v>6</v>
      </c>
      <c r="N553" s="33">
        <f t="shared" si="3"/>
        <v>2023</v>
      </c>
      <c r="O553" s="35" t="str">
        <f>VLOOKUP(K553,'CA y tablas'!$B$22:$C$28,2,FALSE)</f>
        <v>EUROPEO</v>
      </c>
      <c r="P553" s="28" t="str">
        <f t="shared" si="4"/>
        <v>S1</v>
      </c>
      <c r="Q553" s="29">
        <v>2.0</v>
      </c>
      <c r="R553" s="29" t="str">
        <f t="shared" si="5"/>
        <v>Q2</v>
      </c>
    </row>
    <row r="554" ht="15.75" customHeight="1">
      <c r="A554" s="22">
        <v>45085.0</v>
      </c>
      <c r="B554" s="23">
        <v>4.731836034E9</v>
      </c>
      <c r="C554" s="24" t="s">
        <v>569</v>
      </c>
      <c r="D554" s="23">
        <v>3.5142246E7</v>
      </c>
      <c r="E554" s="22">
        <v>45086.0</v>
      </c>
      <c r="F554" s="25" t="s">
        <v>69</v>
      </c>
      <c r="G554" s="26">
        <v>1.0</v>
      </c>
      <c r="H554" s="25" t="s">
        <v>116</v>
      </c>
      <c r="I554" s="25" t="s">
        <v>88</v>
      </c>
      <c r="J554" s="25" t="s">
        <v>318</v>
      </c>
      <c r="K554" s="25" t="s">
        <v>84</v>
      </c>
      <c r="L554" s="25" t="str">
        <f t="shared" si="1"/>
        <v>INDIVIDUAL</v>
      </c>
      <c r="M554" s="25">
        <f t="shared" si="2"/>
        <v>6</v>
      </c>
      <c r="N554" s="25">
        <f t="shared" si="3"/>
        <v>2023</v>
      </c>
      <c r="O554" s="27" t="str">
        <f>VLOOKUP(K554,'CA y tablas'!$B$22:$C$28,2,FALSE)</f>
        <v>EUROPEO</v>
      </c>
      <c r="P554" s="28" t="str">
        <f t="shared" si="4"/>
        <v>S1</v>
      </c>
      <c r="Q554" s="29">
        <v>2.0</v>
      </c>
      <c r="R554" s="29" t="str">
        <f t="shared" si="5"/>
        <v>Q2</v>
      </c>
    </row>
    <row r="555" ht="15.75" customHeight="1">
      <c r="A555" s="30">
        <v>45085.0</v>
      </c>
      <c r="B555" s="31">
        <v>4.493968356E9</v>
      </c>
      <c r="C555" s="32" t="s">
        <v>570</v>
      </c>
      <c r="D555" s="31">
        <v>1.1928608E7</v>
      </c>
      <c r="E555" s="30">
        <v>45086.0</v>
      </c>
      <c r="F555" s="33" t="s">
        <v>76</v>
      </c>
      <c r="G555" s="34">
        <v>3.0</v>
      </c>
      <c r="H555" s="33" t="s">
        <v>116</v>
      </c>
      <c r="I555" s="33" t="s">
        <v>88</v>
      </c>
      <c r="J555" s="33" t="s">
        <v>318</v>
      </c>
      <c r="K555" s="33" t="s">
        <v>73</v>
      </c>
      <c r="L555" s="33" t="str">
        <f t="shared" si="1"/>
        <v>FAMILIAR</v>
      </c>
      <c r="M555" s="33">
        <f t="shared" si="2"/>
        <v>6</v>
      </c>
      <c r="N555" s="33">
        <f t="shared" si="3"/>
        <v>2023</v>
      </c>
      <c r="O555" s="35" t="str">
        <f>VLOOKUP(K555,'CA y tablas'!$B$22:$C$28,2,FALSE)</f>
        <v>AMERICANO</v>
      </c>
      <c r="P555" s="28" t="str">
        <f t="shared" si="4"/>
        <v>S1</v>
      </c>
      <c r="Q555" s="29">
        <v>2.0</v>
      </c>
      <c r="R555" s="29" t="str">
        <f t="shared" si="5"/>
        <v>Q2</v>
      </c>
    </row>
    <row r="556" ht="15.75" customHeight="1">
      <c r="A556" s="22">
        <v>45085.0</v>
      </c>
      <c r="B556" s="23">
        <v>9.295785214E9</v>
      </c>
      <c r="C556" s="24" t="s">
        <v>571</v>
      </c>
      <c r="D556" s="23">
        <v>1.3847371E7</v>
      </c>
      <c r="E556" s="22">
        <v>45086.0</v>
      </c>
      <c r="F556" s="25" t="s">
        <v>76</v>
      </c>
      <c r="G556" s="26">
        <v>3.0</v>
      </c>
      <c r="H556" s="25" t="s">
        <v>116</v>
      </c>
      <c r="I556" s="25" t="s">
        <v>88</v>
      </c>
      <c r="J556" s="25" t="s">
        <v>318</v>
      </c>
      <c r="K556" s="25" t="s">
        <v>73</v>
      </c>
      <c r="L556" s="25" t="str">
        <f t="shared" si="1"/>
        <v>FAMILIAR</v>
      </c>
      <c r="M556" s="25">
        <f t="shared" si="2"/>
        <v>6</v>
      </c>
      <c r="N556" s="25">
        <f t="shared" si="3"/>
        <v>2023</v>
      </c>
      <c r="O556" s="27" t="str">
        <f>VLOOKUP(K556,'CA y tablas'!$B$22:$C$28,2,FALSE)</f>
        <v>AMERICANO</v>
      </c>
      <c r="P556" s="28" t="str">
        <f t="shared" si="4"/>
        <v>S1</v>
      </c>
      <c r="Q556" s="29">
        <v>2.0</v>
      </c>
      <c r="R556" s="29" t="str">
        <f t="shared" si="5"/>
        <v>Q2</v>
      </c>
    </row>
    <row r="557" ht="15.75" customHeight="1">
      <c r="A557" s="30">
        <v>45085.0</v>
      </c>
      <c r="B557" s="31">
        <v>6.529752935E9</v>
      </c>
      <c r="C557" s="32" t="s">
        <v>572</v>
      </c>
      <c r="D557" s="31">
        <v>3.211562E7</v>
      </c>
      <c r="E557" s="30">
        <v>45086.0</v>
      </c>
      <c r="F557" s="33" t="s">
        <v>76</v>
      </c>
      <c r="G557" s="34">
        <v>3.0</v>
      </c>
      <c r="H557" s="33" t="s">
        <v>116</v>
      </c>
      <c r="I557" s="33" t="s">
        <v>88</v>
      </c>
      <c r="J557" s="33" t="s">
        <v>318</v>
      </c>
      <c r="K557" s="33" t="s">
        <v>73</v>
      </c>
      <c r="L557" s="33" t="str">
        <f t="shared" si="1"/>
        <v>FAMILIAR</v>
      </c>
      <c r="M557" s="33">
        <f t="shared" si="2"/>
        <v>6</v>
      </c>
      <c r="N557" s="33">
        <f t="shared" si="3"/>
        <v>2023</v>
      </c>
      <c r="O557" s="35" t="str">
        <f>VLOOKUP(K557,'CA y tablas'!$B$22:$C$28,2,FALSE)</f>
        <v>AMERICANO</v>
      </c>
      <c r="P557" s="28" t="str">
        <f t="shared" si="4"/>
        <v>S1</v>
      </c>
      <c r="Q557" s="29">
        <v>2.0</v>
      </c>
      <c r="R557" s="29" t="str">
        <f t="shared" si="5"/>
        <v>Q2</v>
      </c>
    </row>
    <row r="558" ht="15.75" customHeight="1">
      <c r="A558" s="22">
        <v>45085.0</v>
      </c>
      <c r="B558" s="23">
        <v>1.89414127E9</v>
      </c>
      <c r="C558" s="24" t="s">
        <v>573</v>
      </c>
      <c r="D558" s="23">
        <v>3.384437E7</v>
      </c>
      <c r="E558" s="22">
        <v>45086.0</v>
      </c>
      <c r="F558" s="25" t="s">
        <v>76</v>
      </c>
      <c r="G558" s="26">
        <v>1.0</v>
      </c>
      <c r="H558" s="25" t="s">
        <v>116</v>
      </c>
      <c r="I558" s="25" t="s">
        <v>88</v>
      </c>
      <c r="J558" s="25" t="s">
        <v>318</v>
      </c>
      <c r="K558" s="25" t="s">
        <v>73</v>
      </c>
      <c r="L558" s="25" t="str">
        <f t="shared" si="1"/>
        <v>INDIVIDUAL</v>
      </c>
      <c r="M558" s="25">
        <f t="shared" si="2"/>
        <v>6</v>
      </c>
      <c r="N558" s="25">
        <f t="shared" si="3"/>
        <v>2023</v>
      </c>
      <c r="O558" s="27" t="str">
        <f>VLOOKUP(K558,'CA y tablas'!$B$22:$C$28,2,FALSE)</f>
        <v>AMERICANO</v>
      </c>
      <c r="P558" s="28" t="str">
        <f t="shared" si="4"/>
        <v>S1</v>
      </c>
      <c r="Q558" s="29">
        <v>2.0</v>
      </c>
      <c r="R558" s="29" t="str">
        <f t="shared" si="5"/>
        <v>Q2</v>
      </c>
    </row>
    <row r="559" ht="15.75" customHeight="1">
      <c r="A559" s="30">
        <v>45085.0</v>
      </c>
      <c r="B559" s="31">
        <v>2.040190401E9</v>
      </c>
      <c r="C559" s="32" t="s">
        <v>574</v>
      </c>
      <c r="D559" s="31">
        <v>1.4984616E7</v>
      </c>
      <c r="E559" s="30">
        <v>45086.0</v>
      </c>
      <c r="F559" s="33" t="s">
        <v>69</v>
      </c>
      <c r="G559" s="34">
        <v>1.0</v>
      </c>
      <c r="H559" s="33" t="s">
        <v>116</v>
      </c>
      <c r="I559" s="33" t="s">
        <v>88</v>
      </c>
      <c r="J559" s="33" t="s">
        <v>72</v>
      </c>
      <c r="K559" s="33" t="s">
        <v>73</v>
      </c>
      <c r="L559" s="33" t="str">
        <f t="shared" si="1"/>
        <v>INDIVIDUAL</v>
      </c>
      <c r="M559" s="33">
        <f t="shared" si="2"/>
        <v>6</v>
      </c>
      <c r="N559" s="33">
        <f t="shared" si="3"/>
        <v>2023</v>
      </c>
      <c r="O559" s="35" t="str">
        <f>VLOOKUP(K559,'CA y tablas'!$B$22:$C$28,2,FALSE)</f>
        <v>AMERICANO</v>
      </c>
      <c r="P559" s="28" t="str">
        <f t="shared" si="4"/>
        <v>S1</v>
      </c>
      <c r="Q559" s="29">
        <v>2.0</v>
      </c>
      <c r="R559" s="29" t="str">
        <f t="shared" si="5"/>
        <v>Q2</v>
      </c>
    </row>
    <row r="560" ht="15.75" customHeight="1">
      <c r="A560" s="22">
        <v>45069.0</v>
      </c>
      <c r="B560" s="23">
        <v>1.076029835E9</v>
      </c>
      <c r="C560" s="24" t="s">
        <v>575</v>
      </c>
      <c r="D560" s="23">
        <v>4.2936011E7</v>
      </c>
      <c r="E560" s="22">
        <v>45089.0</v>
      </c>
      <c r="F560" s="25" t="s">
        <v>76</v>
      </c>
      <c r="G560" s="26">
        <v>3.0</v>
      </c>
      <c r="H560" s="25" t="s">
        <v>116</v>
      </c>
      <c r="I560" s="25" t="s">
        <v>88</v>
      </c>
      <c r="J560" s="25" t="s">
        <v>72</v>
      </c>
      <c r="K560" s="25" t="s">
        <v>73</v>
      </c>
      <c r="L560" s="25" t="str">
        <f t="shared" si="1"/>
        <v>FAMILIAR</v>
      </c>
      <c r="M560" s="25">
        <f t="shared" si="2"/>
        <v>6</v>
      </c>
      <c r="N560" s="25">
        <f t="shared" si="3"/>
        <v>2023</v>
      </c>
      <c r="O560" s="27" t="str">
        <f>VLOOKUP(K560,'CA y tablas'!$B$22:$C$28,2,FALSE)</f>
        <v>AMERICANO</v>
      </c>
      <c r="P560" s="28" t="str">
        <f t="shared" si="4"/>
        <v>S1</v>
      </c>
      <c r="Q560" s="29">
        <v>2.0</v>
      </c>
      <c r="R560" s="29" t="str">
        <f t="shared" si="5"/>
        <v>Q2</v>
      </c>
    </row>
    <row r="561" ht="15.75" customHeight="1">
      <c r="A561" s="30">
        <v>45076.0</v>
      </c>
      <c r="B561" s="31">
        <v>3.038001945E9</v>
      </c>
      <c r="C561" s="32" t="s">
        <v>576</v>
      </c>
      <c r="D561" s="31">
        <v>2.0159346E7</v>
      </c>
      <c r="E561" s="30">
        <v>45089.0</v>
      </c>
      <c r="F561" s="33" t="s">
        <v>76</v>
      </c>
      <c r="G561" s="34">
        <v>3.0</v>
      </c>
      <c r="H561" s="33" t="s">
        <v>116</v>
      </c>
      <c r="I561" s="33" t="s">
        <v>88</v>
      </c>
      <c r="J561" s="33" t="s">
        <v>72</v>
      </c>
      <c r="K561" s="33" t="s">
        <v>73</v>
      </c>
      <c r="L561" s="33" t="str">
        <f t="shared" si="1"/>
        <v>FAMILIAR</v>
      </c>
      <c r="M561" s="33">
        <f t="shared" si="2"/>
        <v>6</v>
      </c>
      <c r="N561" s="33">
        <f t="shared" si="3"/>
        <v>2023</v>
      </c>
      <c r="O561" s="35" t="str">
        <f>VLOOKUP(K561,'CA y tablas'!$B$22:$C$28,2,FALSE)</f>
        <v>AMERICANO</v>
      </c>
      <c r="P561" s="28" t="str">
        <f t="shared" si="4"/>
        <v>S1</v>
      </c>
      <c r="Q561" s="29">
        <v>2.0</v>
      </c>
      <c r="R561" s="29" t="str">
        <f t="shared" si="5"/>
        <v>Q2</v>
      </c>
    </row>
    <row r="562" ht="15.75" customHeight="1">
      <c r="A562" s="22">
        <v>45076.0</v>
      </c>
      <c r="B562" s="23">
        <v>1.033919121E9</v>
      </c>
      <c r="C562" s="24" t="s">
        <v>577</v>
      </c>
      <c r="D562" s="23">
        <v>3.9357573E7</v>
      </c>
      <c r="E562" s="22">
        <v>45089.0</v>
      </c>
      <c r="F562" s="25" t="s">
        <v>76</v>
      </c>
      <c r="G562" s="26">
        <v>1.0</v>
      </c>
      <c r="H562" s="25" t="s">
        <v>116</v>
      </c>
      <c r="I562" s="25" t="s">
        <v>88</v>
      </c>
      <c r="J562" s="25" t="s">
        <v>72</v>
      </c>
      <c r="K562" s="25" t="s">
        <v>73</v>
      </c>
      <c r="L562" s="25" t="str">
        <f t="shared" si="1"/>
        <v>INDIVIDUAL</v>
      </c>
      <c r="M562" s="25">
        <f t="shared" si="2"/>
        <v>6</v>
      </c>
      <c r="N562" s="25">
        <f t="shared" si="3"/>
        <v>2023</v>
      </c>
      <c r="O562" s="27" t="str">
        <f>VLOOKUP(K562,'CA y tablas'!$B$22:$C$28,2,FALSE)</f>
        <v>AMERICANO</v>
      </c>
      <c r="P562" s="28" t="str">
        <f t="shared" si="4"/>
        <v>S1</v>
      </c>
      <c r="Q562" s="29">
        <v>2.0</v>
      </c>
      <c r="R562" s="29" t="str">
        <f t="shared" si="5"/>
        <v>Q2</v>
      </c>
    </row>
    <row r="563" ht="15.75" customHeight="1">
      <c r="A563" s="30">
        <v>45077.0</v>
      </c>
      <c r="B563" s="31">
        <v>6.904426056E9</v>
      </c>
      <c r="C563" s="32" t="s">
        <v>576</v>
      </c>
      <c r="D563" s="31">
        <v>2.0159346E7</v>
      </c>
      <c r="E563" s="30">
        <v>45089.0</v>
      </c>
      <c r="F563" s="33" t="s">
        <v>69</v>
      </c>
      <c r="G563" s="34">
        <v>3.0</v>
      </c>
      <c r="H563" s="33" t="s">
        <v>81</v>
      </c>
      <c r="I563" s="33" t="s">
        <v>88</v>
      </c>
      <c r="J563" s="33" t="s">
        <v>72</v>
      </c>
      <c r="K563" s="33" t="s">
        <v>73</v>
      </c>
      <c r="L563" s="33" t="str">
        <f t="shared" si="1"/>
        <v>FAMILIAR</v>
      </c>
      <c r="M563" s="33">
        <f t="shared" si="2"/>
        <v>6</v>
      </c>
      <c r="N563" s="33">
        <f t="shared" si="3"/>
        <v>2023</v>
      </c>
      <c r="O563" s="35" t="str">
        <f>VLOOKUP(K563,'CA y tablas'!$B$22:$C$28,2,FALSE)</f>
        <v>AMERICANO</v>
      </c>
      <c r="P563" s="28" t="str">
        <f t="shared" si="4"/>
        <v>S1</v>
      </c>
      <c r="Q563" s="29">
        <v>2.0</v>
      </c>
      <c r="R563" s="29" t="str">
        <f t="shared" si="5"/>
        <v>Q2</v>
      </c>
    </row>
    <row r="564" ht="15.75" customHeight="1">
      <c r="A564" s="22">
        <v>45077.0</v>
      </c>
      <c r="B564" s="23">
        <v>6.007493435E9</v>
      </c>
      <c r="C564" s="24" t="s">
        <v>578</v>
      </c>
      <c r="D564" s="23">
        <v>4.0783214E7</v>
      </c>
      <c r="E564" s="22">
        <v>45089.0</v>
      </c>
      <c r="F564" s="25" t="s">
        <v>76</v>
      </c>
      <c r="G564" s="26">
        <v>2.0</v>
      </c>
      <c r="H564" s="25" t="s">
        <v>81</v>
      </c>
      <c r="I564" s="25" t="s">
        <v>88</v>
      </c>
      <c r="J564" s="25" t="s">
        <v>72</v>
      </c>
      <c r="K564" s="25" t="s">
        <v>73</v>
      </c>
      <c r="L564" s="25" t="str">
        <f t="shared" si="1"/>
        <v>FAMILIAR</v>
      </c>
      <c r="M564" s="25">
        <f t="shared" si="2"/>
        <v>6</v>
      </c>
      <c r="N564" s="25">
        <f t="shared" si="3"/>
        <v>2023</v>
      </c>
      <c r="O564" s="27" t="str">
        <f>VLOOKUP(K564,'CA y tablas'!$B$22:$C$28,2,FALSE)</f>
        <v>AMERICANO</v>
      </c>
      <c r="P564" s="28" t="str">
        <f t="shared" si="4"/>
        <v>S1</v>
      </c>
      <c r="Q564" s="29">
        <v>2.0</v>
      </c>
      <c r="R564" s="29" t="str">
        <f t="shared" si="5"/>
        <v>Q2</v>
      </c>
    </row>
    <row r="565" ht="15.75" customHeight="1">
      <c r="A565" s="30">
        <v>45079.0</v>
      </c>
      <c r="B565" s="31">
        <v>7.459882544E9</v>
      </c>
      <c r="C565" s="32" t="s">
        <v>578</v>
      </c>
      <c r="D565" s="31">
        <v>4.0783214E7</v>
      </c>
      <c r="E565" s="30">
        <v>45089.0</v>
      </c>
      <c r="F565" s="33" t="s">
        <v>69</v>
      </c>
      <c r="G565" s="34">
        <v>1.0</v>
      </c>
      <c r="H565" s="33" t="s">
        <v>81</v>
      </c>
      <c r="I565" s="33" t="s">
        <v>77</v>
      </c>
      <c r="J565" s="33" t="s">
        <v>83</v>
      </c>
      <c r="K565" s="33" t="s">
        <v>73</v>
      </c>
      <c r="L565" s="33" t="str">
        <f t="shared" si="1"/>
        <v>INDIVIDUAL</v>
      </c>
      <c r="M565" s="33">
        <f t="shared" si="2"/>
        <v>6</v>
      </c>
      <c r="N565" s="33">
        <f t="shared" si="3"/>
        <v>2023</v>
      </c>
      <c r="O565" s="35" t="str">
        <f>VLOOKUP(K565,'CA y tablas'!$B$22:$C$28,2,FALSE)</f>
        <v>AMERICANO</v>
      </c>
      <c r="P565" s="28" t="str">
        <f t="shared" si="4"/>
        <v>S1</v>
      </c>
      <c r="Q565" s="29">
        <v>2.0</v>
      </c>
      <c r="R565" s="29" t="str">
        <f t="shared" si="5"/>
        <v>Q2</v>
      </c>
    </row>
    <row r="566" ht="15.75" customHeight="1">
      <c r="A566" s="22">
        <v>45083.0</v>
      </c>
      <c r="B566" s="23">
        <v>1.37126983E9</v>
      </c>
      <c r="C566" s="24" t="s">
        <v>579</v>
      </c>
      <c r="D566" s="23">
        <v>5997599.0</v>
      </c>
      <c r="E566" s="22">
        <v>45089.0</v>
      </c>
      <c r="F566" s="25" t="s">
        <v>76</v>
      </c>
      <c r="G566" s="26">
        <v>2.0</v>
      </c>
      <c r="H566" s="25" t="s">
        <v>81</v>
      </c>
      <c r="I566" s="25" t="s">
        <v>77</v>
      </c>
      <c r="J566" s="25" t="s">
        <v>83</v>
      </c>
      <c r="K566" s="25" t="s">
        <v>107</v>
      </c>
      <c r="L566" s="25" t="str">
        <f t="shared" si="1"/>
        <v>FAMILIAR</v>
      </c>
      <c r="M566" s="25">
        <f t="shared" si="2"/>
        <v>6</v>
      </c>
      <c r="N566" s="25">
        <f t="shared" si="3"/>
        <v>2023</v>
      </c>
      <c r="O566" s="27" t="str">
        <f>VLOOKUP(K566,'CA y tablas'!$B$22:$C$28,2,FALSE)</f>
        <v>AMERICANO</v>
      </c>
      <c r="P566" s="28" t="str">
        <f t="shared" si="4"/>
        <v>S1</v>
      </c>
      <c r="Q566" s="29">
        <v>2.0</v>
      </c>
      <c r="R566" s="29" t="str">
        <f t="shared" si="5"/>
        <v>Q2</v>
      </c>
    </row>
    <row r="567" ht="15.75" customHeight="1">
      <c r="A567" s="30">
        <v>45085.0</v>
      </c>
      <c r="B567" s="31">
        <v>6.529752692E9</v>
      </c>
      <c r="C567" s="32" t="s">
        <v>580</v>
      </c>
      <c r="D567" s="31">
        <v>2.7651107E7</v>
      </c>
      <c r="E567" s="30">
        <v>45089.0</v>
      </c>
      <c r="F567" s="33" t="s">
        <v>76</v>
      </c>
      <c r="G567" s="34">
        <v>2.0</v>
      </c>
      <c r="H567" s="33" t="s">
        <v>81</v>
      </c>
      <c r="I567" s="33" t="s">
        <v>77</v>
      </c>
      <c r="J567" s="33" t="s">
        <v>83</v>
      </c>
      <c r="K567" s="33" t="s">
        <v>107</v>
      </c>
      <c r="L567" s="33" t="str">
        <f t="shared" si="1"/>
        <v>FAMILIAR</v>
      </c>
      <c r="M567" s="33">
        <f t="shared" si="2"/>
        <v>6</v>
      </c>
      <c r="N567" s="33">
        <f t="shared" si="3"/>
        <v>2023</v>
      </c>
      <c r="O567" s="35" t="str">
        <f>VLOOKUP(K567,'CA y tablas'!$B$22:$C$28,2,FALSE)</f>
        <v>AMERICANO</v>
      </c>
      <c r="P567" s="28" t="str">
        <f t="shared" si="4"/>
        <v>S1</v>
      </c>
      <c r="Q567" s="29">
        <v>2.0</v>
      </c>
      <c r="R567" s="29" t="str">
        <f t="shared" si="5"/>
        <v>Q2</v>
      </c>
    </row>
    <row r="568" ht="15.75" customHeight="1">
      <c r="A568" s="22">
        <v>45085.0</v>
      </c>
      <c r="B568" s="23">
        <v>5.23217695E9</v>
      </c>
      <c r="C568" s="24" t="s">
        <v>581</v>
      </c>
      <c r="D568" s="23">
        <v>4.1818191E7</v>
      </c>
      <c r="E568" s="22">
        <v>45089.0</v>
      </c>
      <c r="F568" s="25" t="s">
        <v>69</v>
      </c>
      <c r="G568" s="26">
        <v>5.0</v>
      </c>
      <c r="H568" s="25" t="s">
        <v>81</v>
      </c>
      <c r="I568" s="25" t="s">
        <v>77</v>
      </c>
      <c r="J568" s="25" t="s">
        <v>83</v>
      </c>
      <c r="K568" s="25" t="s">
        <v>107</v>
      </c>
      <c r="L568" s="25" t="str">
        <f t="shared" si="1"/>
        <v>FAMILIAR</v>
      </c>
      <c r="M568" s="25">
        <f t="shared" si="2"/>
        <v>6</v>
      </c>
      <c r="N568" s="25">
        <f t="shared" si="3"/>
        <v>2023</v>
      </c>
      <c r="O568" s="27" t="str">
        <f>VLOOKUP(K568,'CA y tablas'!$B$22:$C$28,2,FALSE)</f>
        <v>AMERICANO</v>
      </c>
      <c r="P568" s="28" t="str">
        <f t="shared" si="4"/>
        <v>S1</v>
      </c>
      <c r="Q568" s="29">
        <v>2.0</v>
      </c>
      <c r="R568" s="29" t="str">
        <f t="shared" si="5"/>
        <v>Q2</v>
      </c>
    </row>
    <row r="569" ht="15.75" customHeight="1">
      <c r="A569" s="30">
        <v>45085.0</v>
      </c>
      <c r="B569" s="31">
        <v>6.328446386E9</v>
      </c>
      <c r="C569" s="32" t="s">
        <v>582</v>
      </c>
      <c r="D569" s="31">
        <v>2.4409066E7</v>
      </c>
      <c r="E569" s="30">
        <v>45089.0</v>
      </c>
      <c r="F569" s="33" t="s">
        <v>69</v>
      </c>
      <c r="G569" s="34">
        <v>5.0</v>
      </c>
      <c r="H569" s="33" t="s">
        <v>81</v>
      </c>
      <c r="I569" s="33" t="s">
        <v>77</v>
      </c>
      <c r="J569" s="33" t="s">
        <v>79</v>
      </c>
      <c r="K569" s="33" t="s">
        <v>107</v>
      </c>
      <c r="L569" s="33" t="str">
        <f t="shared" si="1"/>
        <v>FAMILIAR</v>
      </c>
      <c r="M569" s="33">
        <f t="shared" si="2"/>
        <v>6</v>
      </c>
      <c r="N569" s="33">
        <f t="shared" si="3"/>
        <v>2023</v>
      </c>
      <c r="O569" s="35" t="str">
        <f>VLOOKUP(K569,'CA y tablas'!$B$22:$C$28,2,FALSE)</f>
        <v>AMERICANO</v>
      </c>
      <c r="P569" s="28" t="str">
        <f t="shared" si="4"/>
        <v>S1</v>
      </c>
      <c r="Q569" s="29">
        <v>2.0</v>
      </c>
      <c r="R569" s="29" t="str">
        <f t="shared" si="5"/>
        <v>Q2</v>
      </c>
    </row>
    <row r="570" ht="15.75" customHeight="1">
      <c r="A570" s="22">
        <v>45085.0</v>
      </c>
      <c r="B570" s="23">
        <v>3.807508666E9</v>
      </c>
      <c r="C570" s="24" t="s">
        <v>582</v>
      </c>
      <c r="D570" s="23">
        <v>2.4409066E7</v>
      </c>
      <c r="E570" s="22">
        <v>45089.0</v>
      </c>
      <c r="F570" s="25" t="s">
        <v>69</v>
      </c>
      <c r="G570" s="26">
        <v>5.0</v>
      </c>
      <c r="H570" s="25" t="s">
        <v>92</v>
      </c>
      <c r="I570" s="25" t="s">
        <v>77</v>
      </c>
      <c r="J570" s="25" t="s">
        <v>79</v>
      </c>
      <c r="K570" s="25" t="s">
        <v>107</v>
      </c>
      <c r="L570" s="25" t="str">
        <f t="shared" si="1"/>
        <v>FAMILIAR</v>
      </c>
      <c r="M570" s="25">
        <f t="shared" si="2"/>
        <v>6</v>
      </c>
      <c r="N570" s="25">
        <f t="shared" si="3"/>
        <v>2023</v>
      </c>
      <c r="O570" s="27" t="str">
        <f>VLOOKUP(K570,'CA y tablas'!$B$22:$C$28,2,FALSE)</f>
        <v>AMERICANO</v>
      </c>
      <c r="P570" s="28" t="str">
        <f t="shared" si="4"/>
        <v>S1</v>
      </c>
      <c r="Q570" s="29">
        <v>2.0</v>
      </c>
      <c r="R570" s="29" t="str">
        <f t="shared" si="5"/>
        <v>Q2</v>
      </c>
    </row>
    <row r="571" ht="15.75" customHeight="1">
      <c r="A571" s="30">
        <v>45086.0</v>
      </c>
      <c r="B571" s="31">
        <v>1.12372596E9</v>
      </c>
      <c r="C571" s="32" t="s">
        <v>583</v>
      </c>
      <c r="D571" s="31">
        <v>4.008883E7</v>
      </c>
      <c r="E571" s="30">
        <v>45089.0</v>
      </c>
      <c r="F571" s="33" t="s">
        <v>69</v>
      </c>
      <c r="G571" s="34">
        <v>1.0</v>
      </c>
      <c r="H571" s="33" t="s">
        <v>92</v>
      </c>
      <c r="I571" s="33" t="s">
        <v>77</v>
      </c>
      <c r="J571" s="33" t="s">
        <v>79</v>
      </c>
      <c r="K571" s="33" t="s">
        <v>107</v>
      </c>
      <c r="L571" s="33" t="str">
        <f t="shared" si="1"/>
        <v>INDIVIDUAL</v>
      </c>
      <c r="M571" s="33">
        <f t="shared" si="2"/>
        <v>6</v>
      </c>
      <c r="N571" s="33">
        <f t="shared" si="3"/>
        <v>2023</v>
      </c>
      <c r="O571" s="35" t="str">
        <f>VLOOKUP(K571,'CA y tablas'!$B$22:$C$28,2,FALSE)</f>
        <v>AMERICANO</v>
      </c>
      <c r="P571" s="28" t="str">
        <f t="shared" si="4"/>
        <v>S1</v>
      </c>
      <c r="Q571" s="29">
        <v>2.0</v>
      </c>
      <c r="R571" s="29" t="str">
        <f t="shared" si="5"/>
        <v>Q2</v>
      </c>
    </row>
    <row r="572" ht="15.75" customHeight="1">
      <c r="A572" s="22">
        <v>45086.0</v>
      </c>
      <c r="B572" s="23">
        <v>1.123716554E9</v>
      </c>
      <c r="C572" s="24" t="s">
        <v>584</v>
      </c>
      <c r="D572" s="23">
        <v>2.0692575E7</v>
      </c>
      <c r="E572" s="22">
        <v>45089.0</v>
      </c>
      <c r="F572" s="25" t="s">
        <v>76</v>
      </c>
      <c r="G572" s="26">
        <v>3.0</v>
      </c>
      <c r="H572" s="25" t="s">
        <v>92</v>
      </c>
      <c r="I572" s="25" t="s">
        <v>77</v>
      </c>
      <c r="J572" s="25" t="s">
        <v>79</v>
      </c>
      <c r="K572" s="25" t="s">
        <v>107</v>
      </c>
      <c r="L572" s="25" t="str">
        <f t="shared" si="1"/>
        <v>FAMILIAR</v>
      </c>
      <c r="M572" s="25">
        <f t="shared" si="2"/>
        <v>6</v>
      </c>
      <c r="N572" s="25">
        <f t="shared" si="3"/>
        <v>2023</v>
      </c>
      <c r="O572" s="27" t="str">
        <f>VLOOKUP(K572,'CA y tablas'!$B$22:$C$28,2,FALSE)</f>
        <v>AMERICANO</v>
      </c>
      <c r="P572" s="28" t="str">
        <f t="shared" si="4"/>
        <v>S1</v>
      </c>
      <c r="Q572" s="29">
        <v>2.0</v>
      </c>
      <c r="R572" s="29" t="str">
        <f t="shared" si="5"/>
        <v>Q2</v>
      </c>
    </row>
    <row r="573" ht="15.75" customHeight="1">
      <c r="A573" s="30">
        <v>45086.0</v>
      </c>
      <c r="B573" s="31">
        <v>8.61662739E9</v>
      </c>
      <c r="C573" s="32" t="s">
        <v>585</v>
      </c>
      <c r="D573" s="31">
        <v>3.3756004E7</v>
      </c>
      <c r="E573" s="30">
        <v>45089.0</v>
      </c>
      <c r="F573" s="33" t="s">
        <v>76</v>
      </c>
      <c r="G573" s="34">
        <v>1.0</v>
      </c>
      <c r="H573" s="33" t="s">
        <v>92</v>
      </c>
      <c r="I573" s="33" t="s">
        <v>77</v>
      </c>
      <c r="J573" s="33" t="s">
        <v>79</v>
      </c>
      <c r="K573" s="33" t="s">
        <v>103</v>
      </c>
      <c r="L573" s="33" t="str">
        <f t="shared" si="1"/>
        <v>INDIVIDUAL</v>
      </c>
      <c r="M573" s="33">
        <f t="shared" si="2"/>
        <v>6</v>
      </c>
      <c r="N573" s="33">
        <f t="shared" si="3"/>
        <v>2023</v>
      </c>
      <c r="O573" s="35" t="str">
        <f>VLOOKUP(K573,'CA y tablas'!$B$22:$C$28,2,FALSE)</f>
        <v>EUROPEO</v>
      </c>
      <c r="P573" s="28" t="str">
        <f t="shared" si="4"/>
        <v>S1</v>
      </c>
      <c r="Q573" s="29">
        <v>2.0</v>
      </c>
      <c r="R573" s="29" t="str">
        <f t="shared" si="5"/>
        <v>Q2</v>
      </c>
    </row>
    <row r="574" ht="15.75" customHeight="1">
      <c r="A574" s="22">
        <v>45177.0</v>
      </c>
      <c r="B574" s="23">
        <v>2.320188065E9</v>
      </c>
      <c r="C574" s="24" t="s">
        <v>586</v>
      </c>
      <c r="D574" s="23">
        <v>4.5331438E7</v>
      </c>
      <c r="E574" s="22">
        <v>45089.0</v>
      </c>
      <c r="F574" s="25" t="s">
        <v>76</v>
      </c>
      <c r="G574" s="26">
        <v>3.0</v>
      </c>
      <c r="H574" s="25" t="s">
        <v>92</v>
      </c>
      <c r="I574" s="25" t="s">
        <v>88</v>
      </c>
      <c r="J574" s="25" t="s">
        <v>318</v>
      </c>
      <c r="K574" s="25" t="s">
        <v>103</v>
      </c>
      <c r="L574" s="25" t="str">
        <f t="shared" si="1"/>
        <v>FAMILIAR</v>
      </c>
      <c r="M574" s="25">
        <f t="shared" si="2"/>
        <v>6</v>
      </c>
      <c r="N574" s="25">
        <f t="shared" si="3"/>
        <v>2023</v>
      </c>
      <c r="O574" s="27" t="str">
        <f>VLOOKUP(K574,'CA y tablas'!$B$22:$C$28,2,FALSE)</f>
        <v>EUROPEO</v>
      </c>
      <c r="P574" s="28" t="str">
        <f t="shared" si="4"/>
        <v>S1</v>
      </c>
      <c r="Q574" s="29">
        <v>2.0</v>
      </c>
      <c r="R574" s="29" t="str">
        <f t="shared" si="5"/>
        <v>Q2</v>
      </c>
    </row>
    <row r="575" ht="15.75" customHeight="1">
      <c r="A575" s="30">
        <v>45077.0</v>
      </c>
      <c r="B575" s="31">
        <v>5.27110024E9</v>
      </c>
      <c r="C575" s="32" t="s">
        <v>587</v>
      </c>
      <c r="D575" s="31">
        <v>3783329.0</v>
      </c>
      <c r="E575" s="30">
        <v>45090.0</v>
      </c>
      <c r="F575" s="33" t="s">
        <v>69</v>
      </c>
      <c r="G575" s="34">
        <v>3.0</v>
      </c>
      <c r="H575" s="33" t="s">
        <v>112</v>
      </c>
      <c r="I575" s="33" t="s">
        <v>88</v>
      </c>
      <c r="J575" s="33" t="s">
        <v>318</v>
      </c>
      <c r="K575" s="33" t="s">
        <v>103</v>
      </c>
      <c r="L575" s="33" t="str">
        <f t="shared" si="1"/>
        <v>FAMILIAR</v>
      </c>
      <c r="M575" s="33">
        <f t="shared" si="2"/>
        <v>6</v>
      </c>
      <c r="N575" s="33">
        <f t="shared" si="3"/>
        <v>2023</v>
      </c>
      <c r="O575" s="35" t="str">
        <f>VLOOKUP(K575,'CA y tablas'!$B$22:$C$28,2,FALSE)</f>
        <v>EUROPEO</v>
      </c>
      <c r="P575" s="28" t="str">
        <f t="shared" si="4"/>
        <v>S1</v>
      </c>
      <c r="Q575" s="29">
        <v>2.0</v>
      </c>
      <c r="R575" s="29" t="str">
        <f t="shared" si="5"/>
        <v>Q2</v>
      </c>
    </row>
    <row r="576" ht="15.75" customHeight="1">
      <c r="A576" s="22">
        <v>45079.0</v>
      </c>
      <c r="B576" s="23">
        <v>2.286905412E9</v>
      </c>
      <c r="C576" s="24" t="s">
        <v>588</v>
      </c>
      <c r="D576" s="23">
        <v>2.7751148E7</v>
      </c>
      <c r="E576" s="22">
        <v>45090.0</v>
      </c>
      <c r="F576" s="25" t="s">
        <v>76</v>
      </c>
      <c r="G576" s="26">
        <v>5.0</v>
      </c>
      <c r="H576" s="25" t="s">
        <v>112</v>
      </c>
      <c r="I576" s="25" t="s">
        <v>88</v>
      </c>
      <c r="J576" s="25" t="s">
        <v>318</v>
      </c>
      <c r="K576" s="25" t="s">
        <v>103</v>
      </c>
      <c r="L576" s="25" t="str">
        <f t="shared" si="1"/>
        <v>FAMILIAR</v>
      </c>
      <c r="M576" s="25">
        <f t="shared" si="2"/>
        <v>6</v>
      </c>
      <c r="N576" s="25">
        <f t="shared" si="3"/>
        <v>2023</v>
      </c>
      <c r="O576" s="27" t="str">
        <f>VLOOKUP(K576,'CA y tablas'!$B$22:$C$28,2,FALSE)</f>
        <v>EUROPEO</v>
      </c>
      <c r="P576" s="28" t="str">
        <f t="shared" si="4"/>
        <v>S1</v>
      </c>
      <c r="Q576" s="29">
        <v>2.0</v>
      </c>
      <c r="R576" s="29" t="str">
        <f t="shared" si="5"/>
        <v>Q2</v>
      </c>
    </row>
    <row r="577" ht="15.75" customHeight="1">
      <c r="A577" s="30">
        <v>45079.0</v>
      </c>
      <c r="B577" s="31">
        <v>2.91873435E9</v>
      </c>
      <c r="C577" s="32" t="s">
        <v>587</v>
      </c>
      <c r="D577" s="31">
        <v>3783329.0</v>
      </c>
      <c r="E577" s="30">
        <v>45090.0</v>
      </c>
      <c r="F577" s="33" t="s">
        <v>76</v>
      </c>
      <c r="G577" s="34">
        <v>6.0</v>
      </c>
      <c r="H577" s="33" t="s">
        <v>112</v>
      </c>
      <c r="I577" s="33" t="s">
        <v>88</v>
      </c>
      <c r="J577" s="33" t="s">
        <v>318</v>
      </c>
      <c r="K577" s="33" t="s">
        <v>103</v>
      </c>
      <c r="L577" s="33" t="str">
        <f t="shared" si="1"/>
        <v>FAMILIAR</v>
      </c>
      <c r="M577" s="33">
        <f t="shared" si="2"/>
        <v>6</v>
      </c>
      <c r="N577" s="33">
        <f t="shared" si="3"/>
        <v>2023</v>
      </c>
      <c r="O577" s="35" t="str">
        <f>VLOOKUP(K577,'CA y tablas'!$B$22:$C$28,2,FALSE)</f>
        <v>EUROPEO</v>
      </c>
      <c r="P577" s="28" t="str">
        <f t="shared" si="4"/>
        <v>S1</v>
      </c>
      <c r="Q577" s="29">
        <v>2.0</v>
      </c>
      <c r="R577" s="29" t="str">
        <f t="shared" si="5"/>
        <v>Q2</v>
      </c>
    </row>
    <row r="578" ht="15.75" customHeight="1">
      <c r="A578" s="22">
        <v>45085.0</v>
      </c>
      <c r="B578" s="23">
        <v>6.84369658E9</v>
      </c>
      <c r="C578" s="24" t="s">
        <v>589</v>
      </c>
      <c r="D578" s="23">
        <v>3.5480438E7</v>
      </c>
      <c r="E578" s="22">
        <v>45090.0</v>
      </c>
      <c r="F578" s="25" t="s">
        <v>69</v>
      </c>
      <c r="G578" s="26">
        <v>1.0</v>
      </c>
      <c r="H578" s="25" t="s">
        <v>112</v>
      </c>
      <c r="I578" s="25" t="s">
        <v>88</v>
      </c>
      <c r="J578" s="25" t="s">
        <v>318</v>
      </c>
      <c r="K578" s="25" t="s">
        <v>103</v>
      </c>
      <c r="L578" s="25" t="str">
        <f t="shared" si="1"/>
        <v>INDIVIDUAL</v>
      </c>
      <c r="M578" s="25">
        <f t="shared" si="2"/>
        <v>6</v>
      </c>
      <c r="N578" s="25">
        <f t="shared" si="3"/>
        <v>2023</v>
      </c>
      <c r="O578" s="27" t="str">
        <f>VLOOKUP(K578,'CA y tablas'!$B$22:$C$28,2,FALSE)</f>
        <v>EUROPEO</v>
      </c>
      <c r="P578" s="28" t="str">
        <f t="shared" si="4"/>
        <v>S1</v>
      </c>
      <c r="Q578" s="29">
        <v>2.0</v>
      </c>
      <c r="R578" s="29" t="str">
        <f t="shared" si="5"/>
        <v>Q2</v>
      </c>
    </row>
    <row r="579" ht="15.75" customHeight="1">
      <c r="A579" s="30">
        <v>45086.0</v>
      </c>
      <c r="B579" s="31">
        <v>4.132497154E9</v>
      </c>
      <c r="C579" s="32" t="s">
        <v>590</v>
      </c>
      <c r="D579" s="31">
        <v>3.8491013E7</v>
      </c>
      <c r="E579" s="30">
        <v>45090.0</v>
      </c>
      <c r="F579" s="33" t="s">
        <v>69</v>
      </c>
      <c r="G579" s="34">
        <v>6.0</v>
      </c>
      <c r="H579" s="33" t="s">
        <v>112</v>
      </c>
      <c r="I579" s="33" t="s">
        <v>88</v>
      </c>
      <c r="J579" s="33" t="s">
        <v>93</v>
      </c>
      <c r="K579" s="33" t="s">
        <v>103</v>
      </c>
      <c r="L579" s="33" t="str">
        <f t="shared" si="1"/>
        <v>FAMILIAR</v>
      </c>
      <c r="M579" s="33">
        <f t="shared" si="2"/>
        <v>6</v>
      </c>
      <c r="N579" s="33">
        <f t="shared" si="3"/>
        <v>2023</v>
      </c>
      <c r="O579" s="35" t="str">
        <f>VLOOKUP(K579,'CA y tablas'!$B$22:$C$28,2,FALSE)</f>
        <v>EUROPEO</v>
      </c>
      <c r="P579" s="28" t="str">
        <f t="shared" si="4"/>
        <v>S1</v>
      </c>
      <c r="Q579" s="29">
        <v>2.0</v>
      </c>
      <c r="R579" s="29" t="str">
        <f t="shared" si="5"/>
        <v>Q2</v>
      </c>
    </row>
    <row r="580" ht="15.75" customHeight="1">
      <c r="A580" s="22">
        <v>45086.0</v>
      </c>
      <c r="B580" s="23">
        <v>9.76919307E9</v>
      </c>
      <c r="C580" s="24" t="s">
        <v>591</v>
      </c>
      <c r="D580" s="23">
        <v>4.0533638E7</v>
      </c>
      <c r="E580" s="22">
        <v>45090.0</v>
      </c>
      <c r="F580" s="25" t="s">
        <v>76</v>
      </c>
      <c r="G580" s="26">
        <v>1.0</v>
      </c>
      <c r="H580" s="25" t="s">
        <v>112</v>
      </c>
      <c r="I580" s="25" t="s">
        <v>88</v>
      </c>
      <c r="J580" s="25" t="s">
        <v>93</v>
      </c>
      <c r="K580" s="25" t="s">
        <v>103</v>
      </c>
      <c r="L580" s="25" t="str">
        <f t="shared" si="1"/>
        <v>INDIVIDUAL</v>
      </c>
      <c r="M580" s="25">
        <f t="shared" si="2"/>
        <v>6</v>
      </c>
      <c r="N580" s="25">
        <f t="shared" si="3"/>
        <v>2023</v>
      </c>
      <c r="O580" s="27" t="str">
        <f>VLOOKUP(K580,'CA y tablas'!$B$22:$C$28,2,FALSE)</f>
        <v>EUROPEO</v>
      </c>
      <c r="P580" s="28" t="str">
        <f t="shared" si="4"/>
        <v>S1</v>
      </c>
      <c r="Q580" s="29">
        <v>2.0</v>
      </c>
      <c r="R580" s="29" t="str">
        <f t="shared" si="5"/>
        <v>Q2</v>
      </c>
    </row>
    <row r="581" ht="15.75" customHeight="1">
      <c r="A581" s="30">
        <v>45090.0</v>
      </c>
      <c r="B581" s="31">
        <v>2.595525096E9</v>
      </c>
      <c r="C581" s="32" t="s">
        <v>592</v>
      </c>
      <c r="D581" s="31">
        <v>2.3019574E7</v>
      </c>
      <c r="E581" s="30">
        <v>45090.0</v>
      </c>
      <c r="F581" s="33" t="s">
        <v>76</v>
      </c>
      <c r="G581" s="34">
        <v>5.0</v>
      </c>
      <c r="H581" s="33" t="s">
        <v>112</v>
      </c>
      <c r="I581" s="33" t="s">
        <v>88</v>
      </c>
      <c r="J581" s="33" t="s">
        <v>93</v>
      </c>
      <c r="K581" s="33" t="s">
        <v>103</v>
      </c>
      <c r="L581" s="33" t="str">
        <f t="shared" si="1"/>
        <v>FAMILIAR</v>
      </c>
      <c r="M581" s="33">
        <f t="shared" si="2"/>
        <v>6</v>
      </c>
      <c r="N581" s="33">
        <f t="shared" si="3"/>
        <v>2023</v>
      </c>
      <c r="O581" s="35" t="str">
        <f>VLOOKUP(K581,'CA y tablas'!$B$22:$C$28,2,FALSE)</f>
        <v>EUROPEO</v>
      </c>
      <c r="P581" s="28" t="str">
        <f t="shared" si="4"/>
        <v>S1</v>
      </c>
      <c r="Q581" s="29">
        <v>2.0</v>
      </c>
      <c r="R581" s="29" t="str">
        <f t="shared" si="5"/>
        <v>Q2</v>
      </c>
    </row>
    <row r="582" ht="15.75" customHeight="1">
      <c r="A582" s="22">
        <v>45090.0</v>
      </c>
      <c r="B582" s="23">
        <v>2.595474954E9</v>
      </c>
      <c r="C582" s="24" t="s">
        <v>593</v>
      </c>
      <c r="D582" s="23">
        <v>3.176578E7</v>
      </c>
      <c r="E582" s="22">
        <v>45090.0</v>
      </c>
      <c r="F582" s="25" t="s">
        <v>69</v>
      </c>
      <c r="G582" s="26">
        <v>5.0</v>
      </c>
      <c r="H582" s="25" t="s">
        <v>112</v>
      </c>
      <c r="I582" s="25" t="s">
        <v>88</v>
      </c>
      <c r="J582" s="25" t="s">
        <v>93</v>
      </c>
      <c r="K582" s="25" t="s">
        <v>103</v>
      </c>
      <c r="L582" s="25" t="str">
        <f t="shared" si="1"/>
        <v>FAMILIAR</v>
      </c>
      <c r="M582" s="25">
        <f t="shared" si="2"/>
        <v>6</v>
      </c>
      <c r="N582" s="25">
        <f t="shared" si="3"/>
        <v>2023</v>
      </c>
      <c r="O582" s="27" t="str">
        <f>VLOOKUP(K582,'CA y tablas'!$B$22:$C$28,2,FALSE)</f>
        <v>EUROPEO</v>
      </c>
      <c r="P582" s="28" t="str">
        <f t="shared" si="4"/>
        <v>S1</v>
      </c>
      <c r="Q582" s="29">
        <v>2.0</v>
      </c>
      <c r="R582" s="29" t="str">
        <f t="shared" si="5"/>
        <v>Q2</v>
      </c>
    </row>
    <row r="583" ht="15.75" customHeight="1">
      <c r="A583" s="30">
        <v>45090.0</v>
      </c>
      <c r="B583" s="31">
        <v>4.168924701E9</v>
      </c>
      <c r="C583" s="32" t="s">
        <v>594</v>
      </c>
      <c r="D583" s="31">
        <v>2.9731806E7</v>
      </c>
      <c r="E583" s="30">
        <v>45090.0</v>
      </c>
      <c r="F583" s="33" t="s">
        <v>76</v>
      </c>
      <c r="G583" s="34">
        <v>1.0</v>
      </c>
      <c r="H583" s="33" t="s">
        <v>112</v>
      </c>
      <c r="I583" s="33" t="s">
        <v>88</v>
      </c>
      <c r="J583" s="33" t="s">
        <v>93</v>
      </c>
      <c r="K583" s="33" t="s">
        <v>103</v>
      </c>
      <c r="L583" s="33" t="str">
        <f t="shared" si="1"/>
        <v>INDIVIDUAL</v>
      </c>
      <c r="M583" s="33">
        <f t="shared" si="2"/>
        <v>6</v>
      </c>
      <c r="N583" s="33">
        <f t="shared" si="3"/>
        <v>2023</v>
      </c>
      <c r="O583" s="35" t="str">
        <f>VLOOKUP(K583,'CA y tablas'!$B$22:$C$28,2,FALSE)</f>
        <v>EUROPEO</v>
      </c>
      <c r="P583" s="28" t="str">
        <f t="shared" si="4"/>
        <v>S1</v>
      </c>
      <c r="Q583" s="29">
        <v>2.0</v>
      </c>
      <c r="R583" s="29" t="str">
        <f t="shared" si="5"/>
        <v>Q2</v>
      </c>
    </row>
    <row r="584" ht="15.75" customHeight="1">
      <c r="A584" s="22">
        <v>45069.0</v>
      </c>
      <c r="B584" s="23">
        <v>8.99314626E9</v>
      </c>
      <c r="C584" s="24" t="s">
        <v>595</v>
      </c>
      <c r="D584" s="23">
        <v>2.8222807E7</v>
      </c>
      <c r="E584" s="22">
        <v>45091.0</v>
      </c>
      <c r="F584" s="25" t="s">
        <v>76</v>
      </c>
      <c r="G584" s="26">
        <v>1.0</v>
      </c>
      <c r="H584" s="25" t="s">
        <v>106</v>
      </c>
      <c r="I584" s="25" t="s">
        <v>88</v>
      </c>
      <c r="J584" s="25" t="s">
        <v>98</v>
      </c>
      <c r="K584" s="25" t="s">
        <v>103</v>
      </c>
      <c r="L584" s="25" t="str">
        <f t="shared" si="1"/>
        <v>INDIVIDUAL</v>
      </c>
      <c r="M584" s="25">
        <f t="shared" si="2"/>
        <v>6</v>
      </c>
      <c r="N584" s="25">
        <f t="shared" si="3"/>
        <v>2023</v>
      </c>
      <c r="O584" s="27" t="str">
        <f>VLOOKUP(K584,'CA y tablas'!$B$22:$C$28,2,FALSE)</f>
        <v>EUROPEO</v>
      </c>
      <c r="P584" s="28" t="str">
        <f t="shared" si="4"/>
        <v>S1</v>
      </c>
      <c r="Q584" s="29">
        <v>2.0</v>
      </c>
      <c r="R584" s="29" t="str">
        <f t="shared" si="5"/>
        <v>Q2</v>
      </c>
    </row>
    <row r="585" ht="15.75" customHeight="1">
      <c r="A585" s="30">
        <v>45077.0</v>
      </c>
      <c r="B585" s="31">
        <v>6.18908486E9</v>
      </c>
      <c r="C585" s="32" t="s">
        <v>596</v>
      </c>
      <c r="D585" s="31">
        <v>2.7091869E7</v>
      </c>
      <c r="E585" s="30">
        <v>45091.0</v>
      </c>
      <c r="F585" s="33" t="s">
        <v>76</v>
      </c>
      <c r="G585" s="34">
        <v>1.0</v>
      </c>
      <c r="H585" s="33" t="s">
        <v>106</v>
      </c>
      <c r="I585" s="33" t="s">
        <v>71</v>
      </c>
      <c r="J585" s="33" t="s">
        <v>98</v>
      </c>
      <c r="K585" s="33" t="s">
        <v>73</v>
      </c>
      <c r="L585" s="33" t="str">
        <f t="shared" si="1"/>
        <v>INDIVIDUAL</v>
      </c>
      <c r="M585" s="33">
        <f t="shared" si="2"/>
        <v>6</v>
      </c>
      <c r="N585" s="33">
        <f t="shared" si="3"/>
        <v>2023</v>
      </c>
      <c r="O585" s="35" t="str">
        <f>VLOOKUP(K585,'CA y tablas'!$B$22:$C$28,2,FALSE)</f>
        <v>AMERICANO</v>
      </c>
      <c r="P585" s="28" t="str">
        <f t="shared" si="4"/>
        <v>S1</v>
      </c>
      <c r="Q585" s="29">
        <v>2.0</v>
      </c>
      <c r="R585" s="29" t="str">
        <f t="shared" si="5"/>
        <v>Q2</v>
      </c>
    </row>
    <row r="586" ht="15.75" customHeight="1">
      <c r="A586" s="22">
        <v>45083.0</v>
      </c>
      <c r="B586" s="23">
        <v>5.553942866E9</v>
      </c>
      <c r="C586" s="24" t="s">
        <v>597</v>
      </c>
      <c r="D586" s="23">
        <v>2.6012846E7</v>
      </c>
      <c r="E586" s="22">
        <v>45091.0</v>
      </c>
      <c r="F586" s="25" t="s">
        <v>69</v>
      </c>
      <c r="G586" s="26">
        <v>1.0</v>
      </c>
      <c r="H586" s="25" t="s">
        <v>106</v>
      </c>
      <c r="I586" s="25" t="s">
        <v>71</v>
      </c>
      <c r="J586" s="25" t="s">
        <v>98</v>
      </c>
      <c r="K586" s="25" t="s">
        <v>73</v>
      </c>
      <c r="L586" s="25" t="str">
        <f t="shared" si="1"/>
        <v>INDIVIDUAL</v>
      </c>
      <c r="M586" s="25">
        <f t="shared" si="2"/>
        <v>6</v>
      </c>
      <c r="N586" s="25">
        <f t="shared" si="3"/>
        <v>2023</v>
      </c>
      <c r="O586" s="27" t="str">
        <f>VLOOKUP(K586,'CA y tablas'!$B$22:$C$28,2,FALSE)</f>
        <v>AMERICANO</v>
      </c>
      <c r="P586" s="28" t="str">
        <f t="shared" si="4"/>
        <v>S1</v>
      </c>
      <c r="Q586" s="29">
        <v>2.0</v>
      </c>
      <c r="R586" s="29" t="str">
        <f t="shared" si="5"/>
        <v>Q2</v>
      </c>
    </row>
    <row r="587" ht="15.75" customHeight="1">
      <c r="A587" s="30">
        <v>45085.0</v>
      </c>
      <c r="B587" s="31">
        <v>6.529718086E9</v>
      </c>
      <c r="C587" s="32" t="s">
        <v>598</v>
      </c>
      <c r="D587" s="31">
        <v>3.8349932E7</v>
      </c>
      <c r="E587" s="30">
        <v>45091.0</v>
      </c>
      <c r="F587" s="33" t="s">
        <v>76</v>
      </c>
      <c r="G587" s="34">
        <v>1.0</v>
      </c>
      <c r="H587" s="33" t="s">
        <v>106</v>
      </c>
      <c r="I587" s="33" t="s">
        <v>71</v>
      </c>
      <c r="J587" s="33" t="s">
        <v>98</v>
      </c>
      <c r="K587" s="33" t="s">
        <v>73</v>
      </c>
      <c r="L587" s="33" t="str">
        <f t="shared" si="1"/>
        <v>INDIVIDUAL</v>
      </c>
      <c r="M587" s="33">
        <f t="shared" si="2"/>
        <v>6</v>
      </c>
      <c r="N587" s="33">
        <f t="shared" si="3"/>
        <v>2023</v>
      </c>
      <c r="O587" s="35" t="str">
        <f>VLOOKUP(K587,'CA y tablas'!$B$22:$C$28,2,FALSE)</f>
        <v>AMERICANO</v>
      </c>
      <c r="P587" s="28" t="str">
        <f t="shared" si="4"/>
        <v>S1</v>
      </c>
      <c r="Q587" s="29">
        <v>2.0</v>
      </c>
      <c r="R587" s="29" t="str">
        <f t="shared" si="5"/>
        <v>Q2</v>
      </c>
    </row>
    <row r="588" ht="15.75" customHeight="1">
      <c r="A588" s="22">
        <v>45090.0</v>
      </c>
      <c r="B588" s="23">
        <v>4.967389324E9</v>
      </c>
      <c r="C588" s="24" t="s">
        <v>599</v>
      </c>
      <c r="D588" s="23">
        <v>4.0765004E7</v>
      </c>
      <c r="E588" s="22">
        <v>45091.0</v>
      </c>
      <c r="F588" s="25" t="s">
        <v>69</v>
      </c>
      <c r="G588" s="26">
        <v>1.0</v>
      </c>
      <c r="H588" s="25" t="s">
        <v>106</v>
      </c>
      <c r="I588" s="25" t="s">
        <v>71</v>
      </c>
      <c r="J588" s="25" t="s">
        <v>98</v>
      </c>
      <c r="K588" s="25" t="s">
        <v>73</v>
      </c>
      <c r="L588" s="25" t="str">
        <f t="shared" si="1"/>
        <v>INDIVIDUAL</v>
      </c>
      <c r="M588" s="25">
        <f t="shared" si="2"/>
        <v>6</v>
      </c>
      <c r="N588" s="25">
        <f t="shared" si="3"/>
        <v>2023</v>
      </c>
      <c r="O588" s="27" t="str">
        <f>VLOOKUP(K588,'CA y tablas'!$B$22:$C$28,2,FALSE)</f>
        <v>AMERICANO</v>
      </c>
      <c r="P588" s="28" t="str">
        <f t="shared" si="4"/>
        <v>S1</v>
      </c>
      <c r="Q588" s="29">
        <v>2.0</v>
      </c>
      <c r="R588" s="29" t="str">
        <f t="shared" si="5"/>
        <v>Q2</v>
      </c>
    </row>
    <row r="589" ht="15.75" customHeight="1">
      <c r="A589" s="30">
        <v>45091.0</v>
      </c>
      <c r="B589" s="31">
        <v>6.191226554E9</v>
      </c>
      <c r="C589" s="32" t="s">
        <v>600</v>
      </c>
      <c r="D589" s="31">
        <v>1.3868221E7</v>
      </c>
      <c r="E589" s="30">
        <v>45091.0</v>
      </c>
      <c r="F589" s="33" t="s">
        <v>69</v>
      </c>
      <c r="G589" s="34">
        <v>1.0</v>
      </c>
      <c r="H589" s="33" t="s">
        <v>106</v>
      </c>
      <c r="I589" s="33" t="s">
        <v>71</v>
      </c>
      <c r="J589" s="33" t="s">
        <v>98</v>
      </c>
      <c r="K589" s="33" t="s">
        <v>73</v>
      </c>
      <c r="L589" s="33" t="str">
        <f t="shared" si="1"/>
        <v>INDIVIDUAL</v>
      </c>
      <c r="M589" s="33">
        <f t="shared" si="2"/>
        <v>6</v>
      </c>
      <c r="N589" s="33">
        <f t="shared" si="3"/>
        <v>2023</v>
      </c>
      <c r="O589" s="35" t="str">
        <f>VLOOKUP(K589,'CA y tablas'!$B$22:$C$28,2,FALSE)</f>
        <v>AMERICANO</v>
      </c>
      <c r="P589" s="28" t="str">
        <f t="shared" si="4"/>
        <v>S1</v>
      </c>
      <c r="Q589" s="29">
        <v>2.0</v>
      </c>
      <c r="R589" s="29" t="str">
        <f t="shared" si="5"/>
        <v>Q2</v>
      </c>
    </row>
    <row r="590" ht="15.75" customHeight="1">
      <c r="A590" s="22">
        <v>45177.0</v>
      </c>
      <c r="B590" s="23">
        <v>4.731862741E9</v>
      </c>
      <c r="C590" s="24" t="s">
        <v>601</v>
      </c>
      <c r="D590" s="23">
        <v>2.1744002E7</v>
      </c>
      <c r="E590" s="22">
        <v>45091.0</v>
      </c>
      <c r="F590" s="25" t="s">
        <v>69</v>
      </c>
      <c r="G590" s="26">
        <v>2.0</v>
      </c>
      <c r="H590" s="25" t="s">
        <v>106</v>
      </c>
      <c r="I590" s="25" t="s">
        <v>71</v>
      </c>
      <c r="J590" s="25" t="s">
        <v>98</v>
      </c>
      <c r="K590" s="25" t="s">
        <v>73</v>
      </c>
      <c r="L590" s="25" t="str">
        <f t="shared" si="1"/>
        <v>FAMILIAR</v>
      </c>
      <c r="M590" s="25">
        <f t="shared" si="2"/>
        <v>6</v>
      </c>
      <c r="N590" s="25">
        <f t="shared" si="3"/>
        <v>2023</v>
      </c>
      <c r="O590" s="27" t="str">
        <f>VLOOKUP(K590,'CA y tablas'!$B$22:$C$28,2,FALSE)</f>
        <v>AMERICANO</v>
      </c>
      <c r="P590" s="28" t="str">
        <f t="shared" si="4"/>
        <v>S1</v>
      </c>
      <c r="Q590" s="29">
        <v>2.0</v>
      </c>
      <c r="R590" s="29" t="str">
        <f t="shared" si="5"/>
        <v>Q2</v>
      </c>
    </row>
    <row r="591" ht="15.75" customHeight="1">
      <c r="A591" s="30">
        <v>45083.0</v>
      </c>
      <c r="B591" s="31">
        <v>7.214007522E9</v>
      </c>
      <c r="C591" s="32" t="s">
        <v>602</v>
      </c>
      <c r="D591" s="31">
        <v>3.7191919E7</v>
      </c>
      <c r="E591" s="30">
        <v>45092.0</v>
      </c>
      <c r="F591" s="33" t="s">
        <v>69</v>
      </c>
      <c r="G591" s="34">
        <v>3.0</v>
      </c>
      <c r="H591" s="33" t="s">
        <v>106</v>
      </c>
      <c r="I591" s="33" t="s">
        <v>71</v>
      </c>
      <c r="J591" s="33" t="s">
        <v>98</v>
      </c>
      <c r="K591" s="33" t="s">
        <v>73</v>
      </c>
      <c r="L591" s="33" t="str">
        <f t="shared" si="1"/>
        <v>FAMILIAR</v>
      </c>
      <c r="M591" s="33">
        <f t="shared" si="2"/>
        <v>6</v>
      </c>
      <c r="N591" s="33">
        <f t="shared" si="3"/>
        <v>2023</v>
      </c>
      <c r="O591" s="35" t="str">
        <f>VLOOKUP(K591,'CA y tablas'!$B$22:$C$28,2,FALSE)</f>
        <v>AMERICANO</v>
      </c>
      <c r="P591" s="28" t="str">
        <f t="shared" si="4"/>
        <v>S1</v>
      </c>
      <c r="Q591" s="29">
        <v>2.0</v>
      </c>
      <c r="R591" s="29" t="str">
        <f t="shared" si="5"/>
        <v>Q2</v>
      </c>
    </row>
    <row r="592" ht="15.75" customHeight="1">
      <c r="A592" s="22">
        <v>45083.0</v>
      </c>
      <c r="B592" s="23">
        <v>5.385229161E9</v>
      </c>
      <c r="C592" s="24" t="s">
        <v>603</v>
      </c>
      <c r="D592" s="23">
        <v>2.6856342E7</v>
      </c>
      <c r="E592" s="22">
        <v>45092.0</v>
      </c>
      <c r="F592" s="25" t="s">
        <v>69</v>
      </c>
      <c r="G592" s="26">
        <v>3.0</v>
      </c>
      <c r="H592" s="25" t="s">
        <v>70</v>
      </c>
      <c r="I592" s="25" t="s">
        <v>71</v>
      </c>
      <c r="J592" s="25" t="s">
        <v>72</v>
      </c>
      <c r="K592" s="25" t="s">
        <v>73</v>
      </c>
      <c r="L592" s="25" t="str">
        <f t="shared" si="1"/>
        <v>FAMILIAR</v>
      </c>
      <c r="M592" s="25">
        <f t="shared" si="2"/>
        <v>6</v>
      </c>
      <c r="N592" s="25">
        <f t="shared" si="3"/>
        <v>2023</v>
      </c>
      <c r="O592" s="27" t="str">
        <f>VLOOKUP(K592,'CA y tablas'!$B$22:$C$28,2,FALSE)</f>
        <v>AMERICANO</v>
      </c>
      <c r="P592" s="28" t="str">
        <f t="shared" si="4"/>
        <v>S1</v>
      </c>
      <c r="Q592" s="29">
        <v>2.0</v>
      </c>
      <c r="R592" s="29" t="str">
        <f t="shared" si="5"/>
        <v>Q2</v>
      </c>
    </row>
    <row r="593" ht="15.75" customHeight="1">
      <c r="A593" s="30">
        <v>45086.0</v>
      </c>
      <c r="B593" s="31">
        <v>4.168925666E9</v>
      </c>
      <c r="C593" s="32" t="s">
        <v>604</v>
      </c>
      <c r="D593" s="31">
        <v>1.2733077E7</v>
      </c>
      <c r="E593" s="30">
        <v>45092.0</v>
      </c>
      <c r="F593" s="33" t="s">
        <v>76</v>
      </c>
      <c r="G593" s="34">
        <v>3.0</v>
      </c>
      <c r="H593" s="33" t="s">
        <v>70</v>
      </c>
      <c r="I593" s="33" t="s">
        <v>71</v>
      </c>
      <c r="J593" s="33" t="s">
        <v>72</v>
      </c>
      <c r="K593" s="33" t="s">
        <v>73</v>
      </c>
      <c r="L593" s="33" t="str">
        <f t="shared" si="1"/>
        <v>FAMILIAR</v>
      </c>
      <c r="M593" s="33">
        <f t="shared" si="2"/>
        <v>6</v>
      </c>
      <c r="N593" s="33">
        <f t="shared" si="3"/>
        <v>2023</v>
      </c>
      <c r="O593" s="35" t="str">
        <f>VLOOKUP(K593,'CA y tablas'!$B$22:$C$28,2,FALSE)</f>
        <v>AMERICANO</v>
      </c>
      <c r="P593" s="28" t="str">
        <f t="shared" si="4"/>
        <v>S1</v>
      </c>
      <c r="Q593" s="29">
        <v>2.0</v>
      </c>
      <c r="R593" s="29" t="str">
        <f t="shared" si="5"/>
        <v>Q2</v>
      </c>
    </row>
    <row r="594" ht="15.75" customHeight="1">
      <c r="A594" s="22">
        <v>45090.0</v>
      </c>
      <c r="B594" s="23">
        <v>6.191187004E9</v>
      </c>
      <c r="C594" s="24" t="s">
        <v>605</v>
      </c>
      <c r="D594" s="23">
        <v>3.3479162E7</v>
      </c>
      <c r="E594" s="22">
        <v>45092.0</v>
      </c>
      <c r="F594" s="25" t="s">
        <v>69</v>
      </c>
      <c r="G594" s="26">
        <v>1.0</v>
      </c>
      <c r="H594" s="25" t="s">
        <v>70</v>
      </c>
      <c r="I594" s="25" t="s">
        <v>71</v>
      </c>
      <c r="J594" s="25" t="s">
        <v>72</v>
      </c>
      <c r="K594" s="25" t="s">
        <v>73</v>
      </c>
      <c r="L594" s="25" t="str">
        <f t="shared" si="1"/>
        <v>INDIVIDUAL</v>
      </c>
      <c r="M594" s="25">
        <f t="shared" si="2"/>
        <v>6</v>
      </c>
      <c r="N594" s="25">
        <f t="shared" si="3"/>
        <v>2023</v>
      </c>
      <c r="O594" s="27" t="str">
        <f>VLOOKUP(K594,'CA y tablas'!$B$22:$C$28,2,FALSE)</f>
        <v>AMERICANO</v>
      </c>
      <c r="P594" s="28" t="str">
        <f t="shared" si="4"/>
        <v>S1</v>
      </c>
      <c r="Q594" s="29">
        <v>2.0</v>
      </c>
      <c r="R594" s="29" t="str">
        <f t="shared" si="5"/>
        <v>Q2</v>
      </c>
    </row>
    <row r="595" ht="15.75" customHeight="1">
      <c r="A595" s="30">
        <v>45092.0</v>
      </c>
      <c r="B595" s="31">
        <v>3.152757915E9</v>
      </c>
      <c r="C595" s="32" t="s">
        <v>606</v>
      </c>
      <c r="D595" s="31">
        <v>8.0084211E7</v>
      </c>
      <c r="E595" s="30">
        <v>45092.0</v>
      </c>
      <c r="F595" s="33" t="s">
        <v>76</v>
      </c>
      <c r="G595" s="34">
        <v>1.0</v>
      </c>
      <c r="H595" s="33" t="s">
        <v>70</v>
      </c>
      <c r="I595" s="33" t="s">
        <v>71</v>
      </c>
      <c r="J595" s="33" t="s">
        <v>72</v>
      </c>
      <c r="K595" s="33" t="s">
        <v>90</v>
      </c>
      <c r="L595" s="33" t="str">
        <f t="shared" si="1"/>
        <v>INDIVIDUAL</v>
      </c>
      <c r="M595" s="33">
        <f t="shared" si="2"/>
        <v>6</v>
      </c>
      <c r="N595" s="33">
        <f t="shared" si="3"/>
        <v>2023</v>
      </c>
      <c r="O595" s="35" t="str">
        <f>VLOOKUP(K595,'CA y tablas'!$B$22:$C$28,2,FALSE)</f>
        <v>EUROPEO</v>
      </c>
      <c r="P595" s="28" t="str">
        <f t="shared" si="4"/>
        <v>S1</v>
      </c>
      <c r="Q595" s="29">
        <v>2.0</v>
      </c>
      <c r="R595" s="29" t="str">
        <f t="shared" si="5"/>
        <v>Q2</v>
      </c>
    </row>
    <row r="596" ht="15.75" customHeight="1">
      <c r="A596" s="22">
        <v>45092.0</v>
      </c>
      <c r="B596" s="23">
        <v>4.103675052E9</v>
      </c>
      <c r="C596" s="24" t="s">
        <v>607</v>
      </c>
      <c r="D596" s="23">
        <v>2.3166883E7</v>
      </c>
      <c r="E596" s="22">
        <v>45092.0</v>
      </c>
      <c r="F596" s="25" t="s">
        <v>76</v>
      </c>
      <c r="G596" s="26">
        <v>1.0</v>
      </c>
      <c r="H596" s="25" t="s">
        <v>70</v>
      </c>
      <c r="I596" s="25" t="s">
        <v>71</v>
      </c>
      <c r="J596" s="25" t="s">
        <v>83</v>
      </c>
      <c r="K596" s="25" t="s">
        <v>90</v>
      </c>
      <c r="L596" s="25" t="str">
        <f t="shared" si="1"/>
        <v>INDIVIDUAL</v>
      </c>
      <c r="M596" s="25">
        <f t="shared" si="2"/>
        <v>6</v>
      </c>
      <c r="N596" s="25">
        <f t="shared" si="3"/>
        <v>2023</v>
      </c>
      <c r="O596" s="27" t="str">
        <f>VLOOKUP(K596,'CA y tablas'!$B$22:$C$28,2,FALSE)</f>
        <v>EUROPEO</v>
      </c>
      <c r="P596" s="28" t="str">
        <f t="shared" si="4"/>
        <v>S1</v>
      </c>
      <c r="Q596" s="29">
        <v>2.0</v>
      </c>
      <c r="R596" s="29" t="str">
        <f t="shared" si="5"/>
        <v>Q2</v>
      </c>
    </row>
    <row r="597" ht="15.75" customHeight="1">
      <c r="A597" s="30">
        <v>45092.0</v>
      </c>
      <c r="B597" s="31">
        <v>6.568570735E9</v>
      </c>
      <c r="C597" s="32" t="s">
        <v>608</v>
      </c>
      <c r="D597" s="31">
        <v>2.6783421E7</v>
      </c>
      <c r="E597" s="30">
        <v>45092.0</v>
      </c>
      <c r="F597" s="33" t="s">
        <v>76</v>
      </c>
      <c r="G597" s="34">
        <v>3.0</v>
      </c>
      <c r="H597" s="33" t="s">
        <v>116</v>
      </c>
      <c r="I597" s="33" t="s">
        <v>71</v>
      </c>
      <c r="J597" s="33" t="s">
        <v>83</v>
      </c>
      <c r="K597" s="33" t="s">
        <v>90</v>
      </c>
      <c r="L597" s="33" t="str">
        <f t="shared" si="1"/>
        <v>FAMILIAR</v>
      </c>
      <c r="M597" s="33">
        <f t="shared" si="2"/>
        <v>6</v>
      </c>
      <c r="N597" s="33">
        <f t="shared" si="3"/>
        <v>2023</v>
      </c>
      <c r="O597" s="35" t="str">
        <f>VLOOKUP(K597,'CA y tablas'!$B$22:$C$28,2,FALSE)</f>
        <v>EUROPEO</v>
      </c>
      <c r="P597" s="28" t="str">
        <f t="shared" si="4"/>
        <v>S1</v>
      </c>
      <c r="Q597" s="29">
        <v>2.0</v>
      </c>
      <c r="R597" s="29" t="str">
        <f t="shared" si="5"/>
        <v>Q2</v>
      </c>
    </row>
    <row r="598" ht="15.75" customHeight="1">
      <c r="A598" s="22">
        <v>45092.0</v>
      </c>
      <c r="B598" s="23">
        <v>4.13259329E9</v>
      </c>
      <c r="C598" s="24" t="s">
        <v>609</v>
      </c>
      <c r="D598" s="23">
        <v>3.9973698E7</v>
      </c>
      <c r="E598" s="22">
        <v>45092.0</v>
      </c>
      <c r="F598" s="25" t="s">
        <v>69</v>
      </c>
      <c r="G598" s="26">
        <v>1.0</v>
      </c>
      <c r="H598" s="25" t="s">
        <v>116</v>
      </c>
      <c r="I598" s="25" t="s">
        <v>71</v>
      </c>
      <c r="J598" s="25" t="s">
        <v>83</v>
      </c>
      <c r="K598" s="25" t="s">
        <v>90</v>
      </c>
      <c r="L598" s="25" t="str">
        <f t="shared" si="1"/>
        <v>INDIVIDUAL</v>
      </c>
      <c r="M598" s="25">
        <f t="shared" si="2"/>
        <v>6</v>
      </c>
      <c r="N598" s="25">
        <f t="shared" si="3"/>
        <v>2023</v>
      </c>
      <c r="O598" s="27" t="str">
        <f>VLOOKUP(K598,'CA y tablas'!$B$22:$C$28,2,FALSE)</f>
        <v>EUROPEO</v>
      </c>
      <c r="P598" s="28" t="str">
        <f t="shared" si="4"/>
        <v>S1</v>
      </c>
      <c r="Q598" s="29">
        <v>2.0</v>
      </c>
      <c r="R598" s="29" t="str">
        <f t="shared" si="5"/>
        <v>Q2</v>
      </c>
    </row>
    <row r="599" ht="15.75" customHeight="1">
      <c r="A599" s="30">
        <v>45092.0</v>
      </c>
      <c r="B599" s="31">
        <v>4.471635383E9</v>
      </c>
      <c r="C599" s="32" t="s">
        <v>610</v>
      </c>
      <c r="D599" s="31">
        <v>4.169444E7</v>
      </c>
      <c r="E599" s="30">
        <v>45092.0</v>
      </c>
      <c r="F599" s="33" t="s">
        <v>69</v>
      </c>
      <c r="G599" s="34">
        <v>3.0</v>
      </c>
      <c r="H599" s="33" t="s">
        <v>116</v>
      </c>
      <c r="I599" s="33" t="s">
        <v>71</v>
      </c>
      <c r="J599" s="33" t="s">
        <v>83</v>
      </c>
      <c r="K599" s="33" t="s">
        <v>73</v>
      </c>
      <c r="L599" s="33" t="str">
        <f t="shared" si="1"/>
        <v>FAMILIAR</v>
      </c>
      <c r="M599" s="33">
        <f t="shared" si="2"/>
        <v>6</v>
      </c>
      <c r="N599" s="33">
        <f t="shared" si="3"/>
        <v>2023</v>
      </c>
      <c r="O599" s="35" t="str">
        <f>VLOOKUP(K599,'CA y tablas'!$B$22:$C$28,2,FALSE)</f>
        <v>AMERICANO</v>
      </c>
      <c r="P599" s="28" t="str">
        <f t="shared" si="4"/>
        <v>S1</v>
      </c>
      <c r="Q599" s="29">
        <v>2.0</v>
      </c>
      <c r="R599" s="29" t="str">
        <f t="shared" si="5"/>
        <v>Q2</v>
      </c>
    </row>
    <row r="600" ht="15.75" customHeight="1">
      <c r="A600" s="22">
        <v>45077.0</v>
      </c>
      <c r="B600" s="23">
        <v>4.888007445E9</v>
      </c>
      <c r="C600" s="24" t="s">
        <v>611</v>
      </c>
      <c r="D600" s="23">
        <v>1.7860456E7</v>
      </c>
      <c r="E600" s="22">
        <v>45093.0</v>
      </c>
      <c r="F600" s="25" t="s">
        <v>69</v>
      </c>
      <c r="G600" s="26">
        <v>1.0</v>
      </c>
      <c r="H600" s="25" t="s">
        <v>116</v>
      </c>
      <c r="I600" s="25" t="s">
        <v>77</v>
      </c>
      <c r="J600" s="25" t="s">
        <v>83</v>
      </c>
      <c r="K600" s="25" t="s">
        <v>73</v>
      </c>
      <c r="L600" s="25" t="str">
        <f t="shared" si="1"/>
        <v>INDIVIDUAL</v>
      </c>
      <c r="M600" s="25">
        <f t="shared" si="2"/>
        <v>6</v>
      </c>
      <c r="N600" s="25">
        <f t="shared" si="3"/>
        <v>2023</v>
      </c>
      <c r="O600" s="27" t="str">
        <f>VLOOKUP(K600,'CA y tablas'!$B$22:$C$28,2,FALSE)</f>
        <v>AMERICANO</v>
      </c>
      <c r="P600" s="28" t="str">
        <f t="shared" si="4"/>
        <v>S1</v>
      </c>
      <c r="Q600" s="29">
        <v>2.0</v>
      </c>
      <c r="R600" s="29" t="str">
        <f t="shared" si="5"/>
        <v>Q2</v>
      </c>
    </row>
    <row r="601" ht="15.75" customHeight="1">
      <c r="A601" s="30">
        <v>45090.0</v>
      </c>
      <c r="B601" s="31">
        <v>9.730661846E9</v>
      </c>
      <c r="C601" s="32" t="s">
        <v>612</v>
      </c>
      <c r="D601" s="31">
        <v>3.4159964E7</v>
      </c>
      <c r="E601" s="30">
        <v>45093.0</v>
      </c>
      <c r="F601" s="33" t="s">
        <v>69</v>
      </c>
      <c r="G601" s="34">
        <v>2.0</v>
      </c>
      <c r="H601" s="33" t="s">
        <v>116</v>
      </c>
      <c r="I601" s="33" t="s">
        <v>77</v>
      </c>
      <c r="J601" s="33" t="s">
        <v>72</v>
      </c>
      <c r="K601" s="33" t="s">
        <v>73</v>
      </c>
      <c r="L601" s="33" t="str">
        <f t="shared" si="1"/>
        <v>FAMILIAR</v>
      </c>
      <c r="M601" s="33">
        <f t="shared" si="2"/>
        <v>6</v>
      </c>
      <c r="N601" s="33">
        <f t="shared" si="3"/>
        <v>2023</v>
      </c>
      <c r="O601" s="35" t="str">
        <f>VLOOKUP(K601,'CA y tablas'!$B$22:$C$28,2,FALSE)</f>
        <v>AMERICANO</v>
      </c>
      <c r="P601" s="28" t="str">
        <f t="shared" si="4"/>
        <v>S1</v>
      </c>
      <c r="Q601" s="29">
        <v>2.0</v>
      </c>
      <c r="R601" s="29" t="str">
        <f t="shared" si="5"/>
        <v>Q2</v>
      </c>
    </row>
    <row r="602" ht="15.75" customHeight="1">
      <c r="A602" s="22">
        <v>45090.0</v>
      </c>
      <c r="B602" s="23">
        <v>4.967335343E9</v>
      </c>
      <c r="C602" s="24" t="s">
        <v>613</v>
      </c>
      <c r="D602" s="23">
        <v>3.5810859E7</v>
      </c>
      <c r="E602" s="22">
        <v>45093.0</v>
      </c>
      <c r="F602" s="25" t="s">
        <v>69</v>
      </c>
      <c r="G602" s="26">
        <v>2.0</v>
      </c>
      <c r="H602" s="25" t="s">
        <v>116</v>
      </c>
      <c r="I602" s="25" t="s">
        <v>77</v>
      </c>
      <c r="J602" s="25" t="s">
        <v>72</v>
      </c>
      <c r="K602" s="25" t="s">
        <v>73</v>
      </c>
      <c r="L602" s="25" t="str">
        <f t="shared" si="1"/>
        <v>FAMILIAR</v>
      </c>
      <c r="M602" s="25">
        <f t="shared" si="2"/>
        <v>6</v>
      </c>
      <c r="N602" s="25">
        <f t="shared" si="3"/>
        <v>2023</v>
      </c>
      <c r="O602" s="27" t="str">
        <f>VLOOKUP(K602,'CA y tablas'!$B$22:$C$28,2,FALSE)</f>
        <v>AMERICANO</v>
      </c>
      <c r="P602" s="28" t="str">
        <f t="shared" si="4"/>
        <v>S1</v>
      </c>
      <c r="Q602" s="29">
        <v>2.0</v>
      </c>
      <c r="R602" s="29" t="str">
        <f t="shared" si="5"/>
        <v>Q2</v>
      </c>
    </row>
    <row r="603" ht="15.75" customHeight="1">
      <c r="A603" s="30">
        <v>45092.0</v>
      </c>
      <c r="B603" s="31">
        <v>1.471993143E9</v>
      </c>
      <c r="C603" s="32" t="s">
        <v>614</v>
      </c>
      <c r="D603" s="31">
        <v>2.2877409E7</v>
      </c>
      <c r="E603" s="30">
        <v>45093.0</v>
      </c>
      <c r="F603" s="33" t="s">
        <v>69</v>
      </c>
      <c r="G603" s="34">
        <v>2.0</v>
      </c>
      <c r="H603" s="33" t="s">
        <v>116</v>
      </c>
      <c r="I603" s="33" t="s">
        <v>77</v>
      </c>
      <c r="J603" s="33" t="s">
        <v>72</v>
      </c>
      <c r="K603" s="33" t="s">
        <v>73</v>
      </c>
      <c r="L603" s="33" t="str">
        <f t="shared" si="1"/>
        <v>FAMILIAR</v>
      </c>
      <c r="M603" s="33">
        <f t="shared" si="2"/>
        <v>6</v>
      </c>
      <c r="N603" s="33">
        <f t="shared" si="3"/>
        <v>2023</v>
      </c>
      <c r="O603" s="35" t="str">
        <f>VLOOKUP(K603,'CA y tablas'!$B$22:$C$28,2,FALSE)</f>
        <v>AMERICANO</v>
      </c>
      <c r="P603" s="28" t="str">
        <f t="shared" si="4"/>
        <v>S1</v>
      </c>
      <c r="Q603" s="29">
        <v>2.0</v>
      </c>
      <c r="R603" s="29" t="str">
        <f t="shared" si="5"/>
        <v>Q2</v>
      </c>
    </row>
    <row r="604" ht="15.75" customHeight="1">
      <c r="A604" s="22">
        <v>45092.0</v>
      </c>
      <c r="B604" s="23">
        <v>1.630809331E9</v>
      </c>
      <c r="C604" s="24" t="s">
        <v>615</v>
      </c>
      <c r="D604" s="23">
        <v>3.213284E7</v>
      </c>
      <c r="E604" s="22">
        <v>45093.0</v>
      </c>
      <c r="F604" s="25" t="s">
        <v>69</v>
      </c>
      <c r="G604" s="26">
        <v>4.0</v>
      </c>
      <c r="H604" s="25" t="s">
        <v>116</v>
      </c>
      <c r="I604" s="25" t="s">
        <v>77</v>
      </c>
      <c r="J604" s="25" t="s">
        <v>72</v>
      </c>
      <c r="K604" s="25" t="s">
        <v>73</v>
      </c>
      <c r="L604" s="25" t="str">
        <f t="shared" si="1"/>
        <v>FAMILIAR</v>
      </c>
      <c r="M604" s="25">
        <f t="shared" si="2"/>
        <v>6</v>
      </c>
      <c r="N604" s="25">
        <f t="shared" si="3"/>
        <v>2023</v>
      </c>
      <c r="O604" s="27" t="str">
        <f>VLOOKUP(K604,'CA y tablas'!$B$22:$C$28,2,FALSE)</f>
        <v>AMERICANO</v>
      </c>
      <c r="P604" s="28" t="str">
        <f t="shared" si="4"/>
        <v>S1</v>
      </c>
      <c r="Q604" s="29">
        <v>2.0</v>
      </c>
      <c r="R604" s="29" t="str">
        <f t="shared" si="5"/>
        <v>Q2</v>
      </c>
    </row>
    <row r="605" ht="15.75" customHeight="1">
      <c r="A605" s="30">
        <v>45092.0</v>
      </c>
      <c r="B605" s="31">
        <v>3.65882391E9</v>
      </c>
      <c r="C605" s="32" t="s">
        <v>592</v>
      </c>
      <c r="D605" s="31">
        <v>2.3019574E7</v>
      </c>
      <c r="E605" s="30">
        <v>45093.0</v>
      </c>
      <c r="F605" s="33" t="s">
        <v>69</v>
      </c>
      <c r="G605" s="34">
        <v>4.0</v>
      </c>
      <c r="H605" s="33" t="s">
        <v>112</v>
      </c>
      <c r="I605" s="33" t="s">
        <v>77</v>
      </c>
      <c r="J605" s="33" t="s">
        <v>72</v>
      </c>
      <c r="K605" s="33" t="s">
        <v>73</v>
      </c>
      <c r="L605" s="33" t="str">
        <f t="shared" si="1"/>
        <v>FAMILIAR</v>
      </c>
      <c r="M605" s="33">
        <f t="shared" si="2"/>
        <v>6</v>
      </c>
      <c r="N605" s="33">
        <f t="shared" si="3"/>
        <v>2023</v>
      </c>
      <c r="O605" s="35" t="str">
        <f>VLOOKUP(K605,'CA y tablas'!$B$22:$C$28,2,FALSE)</f>
        <v>AMERICANO</v>
      </c>
      <c r="P605" s="28" t="str">
        <f t="shared" si="4"/>
        <v>S1</v>
      </c>
      <c r="Q605" s="29">
        <v>2.0</v>
      </c>
      <c r="R605" s="29" t="str">
        <f t="shared" si="5"/>
        <v>Q2</v>
      </c>
    </row>
    <row r="606" ht="15.75" customHeight="1">
      <c r="A606" s="22">
        <v>45092.0</v>
      </c>
      <c r="B606" s="23">
        <v>7.986880392E9</v>
      </c>
      <c r="C606" s="24" t="s">
        <v>616</v>
      </c>
      <c r="D606" s="23">
        <v>1.7860586E7</v>
      </c>
      <c r="E606" s="22">
        <v>45093.0</v>
      </c>
      <c r="F606" s="25" t="s">
        <v>69</v>
      </c>
      <c r="G606" s="26">
        <v>1.0</v>
      </c>
      <c r="H606" s="25" t="s">
        <v>112</v>
      </c>
      <c r="I606" s="25" t="s">
        <v>77</v>
      </c>
      <c r="J606" s="25" t="s">
        <v>72</v>
      </c>
      <c r="K606" s="25" t="s">
        <v>217</v>
      </c>
      <c r="L606" s="25" t="str">
        <f t="shared" si="1"/>
        <v>INDIVIDUAL</v>
      </c>
      <c r="M606" s="25">
        <f t="shared" si="2"/>
        <v>6</v>
      </c>
      <c r="N606" s="25">
        <f t="shared" si="3"/>
        <v>2023</v>
      </c>
      <c r="O606" s="27" t="str">
        <f>VLOOKUP(K606,'CA y tablas'!$B$22:$C$28,2,FALSE)</f>
        <v>ASIATICO</v>
      </c>
      <c r="P606" s="28" t="str">
        <f t="shared" si="4"/>
        <v>S1</v>
      </c>
      <c r="Q606" s="29">
        <v>2.0</v>
      </c>
      <c r="R606" s="29" t="str">
        <f t="shared" si="5"/>
        <v>Q2</v>
      </c>
    </row>
    <row r="607" ht="15.75" customHeight="1">
      <c r="A607" s="30">
        <v>45092.0</v>
      </c>
      <c r="B607" s="31">
        <v>2.621020511E9</v>
      </c>
      <c r="C607" s="32" t="s">
        <v>614</v>
      </c>
      <c r="D607" s="31">
        <v>2.2877409E7</v>
      </c>
      <c r="E607" s="30">
        <v>45093.0</v>
      </c>
      <c r="F607" s="33" t="s">
        <v>69</v>
      </c>
      <c r="G607" s="34">
        <v>2.0</v>
      </c>
      <c r="H607" s="33" t="s">
        <v>112</v>
      </c>
      <c r="I607" s="33" t="s">
        <v>77</v>
      </c>
      <c r="J607" s="33" t="s">
        <v>72</v>
      </c>
      <c r="K607" s="33" t="s">
        <v>217</v>
      </c>
      <c r="L607" s="33" t="str">
        <f t="shared" si="1"/>
        <v>FAMILIAR</v>
      </c>
      <c r="M607" s="33">
        <f t="shared" si="2"/>
        <v>6</v>
      </c>
      <c r="N607" s="33">
        <f t="shared" si="3"/>
        <v>2023</v>
      </c>
      <c r="O607" s="35" t="str">
        <f>VLOOKUP(K607,'CA y tablas'!$B$22:$C$28,2,FALSE)</f>
        <v>ASIATICO</v>
      </c>
      <c r="P607" s="28" t="str">
        <f t="shared" si="4"/>
        <v>S1</v>
      </c>
      <c r="Q607" s="29">
        <v>2.0</v>
      </c>
      <c r="R607" s="29" t="str">
        <f t="shared" si="5"/>
        <v>Q2</v>
      </c>
    </row>
    <row r="608" ht="15.75" customHeight="1">
      <c r="A608" s="22">
        <v>45092.0</v>
      </c>
      <c r="B608" s="23">
        <v>1.559327162E9</v>
      </c>
      <c r="C608" s="24" t="s">
        <v>612</v>
      </c>
      <c r="D608" s="23">
        <v>3.4159964E7</v>
      </c>
      <c r="E608" s="22">
        <v>45093.0</v>
      </c>
      <c r="F608" s="25" t="s">
        <v>69</v>
      </c>
      <c r="G608" s="26">
        <v>2.0</v>
      </c>
      <c r="H608" s="25" t="s">
        <v>106</v>
      </c>
      <c r="I608" s="25" t="s">
        <v>77</v>
      </c>
      <c r="J608" s="25" t="s">
        <v>72</v>
      </c>
      <c r="K608" s="25" t="s">
        <v>217</v>
      </c>
      <c r="L608" s="25" t="str">
        <f t="shared" si="1"/>
        <v>FAMILIAR</v>
      </c>
      <c r="M608" s="25">
        <f t="shared" si="2"/>
        <v>6</v>
      </c>
      <c r="N608" s="25">
        <f t="shared" si="3"/>
        <v>2023</v>
      </c>
      <c r="O608" s="27" t="str">
        <f>VLOOKUP(K608,'CA y tablas'!$B$22:$C$28,2,FALSE)</f>
        <v>ASIATICO</v>
      </c>
      <c r="P608" s="28" t="str">
        <f t="shared" si="4"/>
        <v>S1</v>
      </c>
      <c r="Q608" s="29">
        <v>2.0</v>
      </c>
      <c r="R608" s="29" t="str">
        <f t="shared" si="5"/>
        <v>Q2</v>
      </c>
    </row>
    <row r="609" ht="15.75" customHeight="1">
      <c r="A609" s="30">
        <v>45092.0</v>
      </c>
      <c r="B609" s="31">
        <v>2.649080184E9</v>
      </c>
      <c r="C609" s="32" t="s">
        <v>617</v>
      </c>
      <c r="D609" s="31">
        <v>4.4747549E7</v>
      </c>
      <c r="E609" s="30">
        <v>45093.0</v>
      </c>
      <c r="F609" s="33" t="s">
        <v>69</v>
      </c>
      <c r="G609" s="34">
        <v>1.0</v>
      </c>
      <c r="H609" s="33" t="s">
        <v>106</v>
      </c>
      <c r="I609" s="33" t="s">
        <v>77</v>
      </c>
      <c r="J609" s="33" t="s">
        <v>318</v>
      </c>
      <c r="K609" s="33" t="s">
        <v>99</v>
      </c>
      <c r="L609" s="33" t="str">
        <f t="shared" si="1"/>
        <v>INDIVIDUAL</v>
      </c>
      <c r="M609" s="33">
        <f t="shared" si="2"/>
        <v>6</v>
      </c>
      <c r="N609" s="33">
        <f t="shared" si="3"/>
        <v>2023</v>
      </c>
      <c r="O609" s="35" t="str">
        <f>VLOOKUP(K609,'CA y tablas'!$B$22:$C$28,2,FALSE)</f>
        <v>EUROPEO</v>
      </c>
      <c r="P609" s="28" t="str">
        <f t="shared" si="4"/>
        <v>S1</v>
      </c>
      <c r="Q609" s="29">
        <v>2.0</v>
      </c>
      <c r="R609" s="29" t="str">
        <f t="shared" si="5"/>
        <v>Q2</v>
      </c>
    </row>
    <row r="610" ht="15.75" customHeight="1">
      <c r="A610" s="22">
        <v>45083.0</v>
      </c>
      <c r="B610" s="23">
        <v>7.214024812E9</v>
      </c>
      <c r="C610" s="24" t="s">
        <v>618</v>
      </c>
      <c r="D610" s="23">
        <v>3.7725342E7</v>
      </c>
      <c r="E610" s="22">
        <v>45098.0</v>
      </c>
      <c r="F610" s="25" t="s">
        <v>69</v>
      </c>
      <c r="G610" s="26">
        <v>1.0</v>
      </c>
      <c r="H610" s="25" t="s">
        <v>106</v>
      </c>
      <c r="I610" s="25" t="s">
        <v>77</v>
      </c>
      <c r="J610" s="25" t="s">
        <v>318</v>
      </c>
      <c r="K610" s="25" t="s">
        <v>99</v>
      </c>
      <c r="L610" s="25" t="str">
        <f t="shared" si="1"/>
        <v>INDIVIDUAL</v>
      </c>
      <c r="M610" s="25">
        <f t="shared" si="2"/>
        <v>6</v>
      </c>
      <c r="N610" s="25">
        <f t="shared" si="3"/>
        <v>2023</v>
      </c>
      <c r="O610" s="27" t="str">
        <f>VLOOKUP(K610,'CA y tablas'!$B$22:$C$28,2,FALSE)</f>
        <v>EUROPEO</v>
      </c>
      <c r="P610" s="28" t="str">
        <f t="shared" si="4"/>
        <v>S1</v>
      </c>
      <c r="Q610" s="29">
        <v>2.0</v>
      </c>
      <c r="R610" s="29" t="str">
        <f t="shared" si="5"/>
        <v>Q2</v>
      </c>
    </row>
    <row r="611" ht="15.75" customHeight="1">
      <c r="A611" s="30">
        <v>45085.0</v>
      </c>
      <c r="B611" s="31">
        <v>1.78479966E9</v>
      </c>
      <c r="C611" s="32" t="s">
        <v>619</v>
      </c>
      <c r="D611" s="31">
        <v>3.5523211E7</v>
      </c>
      <c r="E611" s="30">
        <v>45098.0</v>
      </c>
      <c r="F611" s="33" t="s">
        <v>69</v>
      </c>
      <c r="G611" s="34">
        <v>1.0</v>
      </c>
      <c r="H611" s="33" t="s">
        <v>106</v>
      </c>
      <c r="I611" s="33" t="s">
        <v>77</v>
      </c>
      <c r="J611" s="33" t="s">
        <v>318</v>
      </c>
      <c r="K611" s="33" t="s">
        <v>99</v>
      </c>
      <c r="L611" s="33" t="str">
        <f t="shared" si="1"/>
        <v>INDIVIDUAL</v>
      </c>
      <c r="M611" s="33">
        <f t="shared" si="2"/>
        <v>6</v>
      </c>
      <c r="N611" s="33">
        <f t="shared" si="3"/>
        <v>2023</v>
      </c>
      <c r="O611" s="35" t="str">
        <f>VLOOKUP(K611,'CA y tablas'!$B$22:$C$28,2,FALSE)</f>
        <v>EUROPEO</v>
      </c>
      <c r="P611" s="28" t="str">
        <f t="shared" si="4"/>
        <v>S1</v>
      </c>
      <c r="Q611" s="29">
        <v>2.0</v>
      </c>
      <c r="R611" s="29" t="str">
        <f t="shared" si="5"/>
        <v>Q2</v>
      </c>
    </row>
    <row r="612" ht="15.75" customHeight="1">
      <c r="A612" s="22">
        <v>45092.0</v>
      </c>
      <c r="B612" s="23">
        <v>1.630807861E9</v>
      </c>
      <c r="C612" s="24" t="s">
        <v>620</v>
      </c>
      <c r="D612" s="23">
        <v>2.028564E7</v>
      </c>
      <c r="E612" s="22">
        <v>45098.0</v>
      </c>
      <c r="F612" s="25" t="s">
        <v>69</v>
      </c>
      <c r="G612" s="26">
        <v>1.0</v>
      </c>
      <c r="H612" s="25" t="s">
        <v>106</v>
      </c>
      <c r="I612" s="25" t="s">
        <v>77</v>
      </c>
      <c r="J612" s="25" t="s">
        <v>318</v>
      </c>
      <c r="K612" s="25" t="s">
        <v>84</v>
      </c>
      <c r="L612" s="25" t="str">
        <f t="shared" si="1"/>
        <v>INDIVIDUAL</v>
      </c>
      <c r="M612" s="25">
        <f t="shared" si="2"/>
        <v>6</v>
      </c>
      <c r="N612" s="25">
        <f t="shared" si="3"/>
        <v>2023</v>
      </c>
      <c r="O612" s="27" t="str">
        <f>VLOOKUP(K612,'CA y tablas'!$B$22:$C$28,2,FALSE)</f>
        <v>EUROPEO</v>
      </c>
      <c r="P612" s="28" t="str">
        <f t="shared" si="4"/>
        <v>S1</v>
      </c>
      <c r="Q612" s="29">
        <v>2.0</v>
      </c>
      <c r="R612" s="29" t="str">
        <f t="shared" si="5"/>
        <v>Q2</v>
      </c>
    </row>
    <row r="613" ht="15.75" customHeight="1">
      <c r="A613" s="30">
        <v>45092.0</v>
      </c>
      <c r="B613" s="31">
        <v>1.630797722E9</v>
      </c>
      <c r="C613" s="32" t="s">
        <v>621</v>
      </c>
      <c r="D613" s="31">
        <v>2.6242951E7</v>
      </c>
      <c r="E613" s="30">
        <v>45098.0</v>
      </c>
      <c r="F613" s="33" t="s">
        <v>69</v>
      </c>
      <c r="G613" s="34">
        <v>1.0</v>
      </c>
      <c r="H613" s="33" t="s">
        <v>116</v>
      </c>
      <c r="I613" s="33" t="s">
        <v>77</v>
      </c>
      <c r="J613" s="33" t="s">
        <v>318</v>
      </c>
      <c r="K613" s="33" t="s">
        <v>84</v>
      </c>
      <c r="L613" s="33" t="str">
        <f t="shared" si="1"/>
        <v>INDIVIDUAL</v>
      </c>
      <c r="M613" s="33">
        <f t="shared" si="2"/>
        <v>6</v>
      </c>
      <c r="N613" s="33">
        <f t="shared" si="3"/>
        <v>2023</v>
      </c>
      <c r="O613" s="35" t="str">
        <f>VLOOKUP(K613,'CA y tablas'!$B$22:$C$28,2,FALSE)</f>
        <v>EUROPEO</v>
      </c>
      <c r="P613" s="28" t="str">
        <f t="shared" si="4"/>
        <v>S1</v>
      </c>
      <c r="Q613" s="29">
        <v>2.0</v>
      </c>
      <c r="R613" s="29" t="str">
        <f t="shared" si="5"/>
        <v>Q2</v>
      </c>
    </row>
    <row r="614" ht="15.75" customHeight="1">
      <c r="A614" s="22">
        <v>45092.0</v>
      </c>
      <c r="B614" s="23">
        <v>5.740047342E9</v>
      </c>
      <c r="C614" s="24" t="s">
        <v>622</v>
      </c>
      <c r="D614" s="23">
        <v>1.1707299E7</v>
      </c>
      <c r="E614" s="22">
        <v>45098.0</v>
      </c>
      <c r="F614" s="25" t="s">
        <v>69</v>
      </c>
      <c r="G614" s="26">
        <v>1.0</v>
      </c>
      <c r="H614" s="25" t="s">
        <v>116</v>
      </c>
      <c r="I614" s="25" t="s">
        <v>77</v>
      </c>
      <c r="J614" s="25" t="s">
        <v>318</v>
      </c>
      <c r="K614" s="25" t="s">
        <v>84</v>
      </c>
      <c r="L614" s="25" t="str">
        <f t="shared" si="1"/>
        <v>INDIVIDUAL</v>
      </c>
      <c r="M614" s="25">
        <f t="shared" si="2"/>
        <v>6</v>
      </c>
      <c r="N614" s="25">
        <f t="shared" si="3"/>
        <v>2023</v>
      </c>
      <c r="O614" s="27" t="str">
        <f>VLOOKUP(K614,'CA y tablas'!$B$22:$C$28,2,FALSE)</f>
        <v>EUROPEO</v>
      </c>
      <c r="P614" s="28" t="str">
        <f t="shared" si="4"/>
        <v>S1</v>
      </c>
      <c r="Q614" s="29">
        <v>2.0</v>
      </c>
      <c r="R614" s="29" t="str">
        <f t="shared" si="5"/>
        <v>Q2</v>
      </c>
    </row>
    <row r="615" ht="15.75" customHeight="1">
      <c r="A615" s="30">
        <v>45092.0</v>
      </c>
      <c r="B615" s="31">
        <v>4.103682321E9</v>
      </c>
      <c r="C615" s="32" t="s">
        <v>623</v>
      </c>
      <c r="D615" s="31">
        <v>2.5922217E7</v>
      </c>
      <c r="E615" s="30">
        <v>45098.0</v>
      </c>
      <c r="F615" s="33" t="s">
        <v>69</v>
      </c>
      <c r="G615" s="34">
        <v>1.0</v>
      </c>
      <c r="H615" s="33" t="s">
        <v>116</v>
      </c>
      <c r="I615" s="33" t="s">
        <v>77</v>
      </c>
      <c r="J615" s="33" t="s">
        <v>93</v>
      </c>
      <c r="K615" s="33" t="s">
        <v>84</v>
      </c>
      <c r="L615" s="33" t="str">
        <f t="shared" si="1"/>
        <v>INDIVIDUAL</v>
      </c>
      <c r="M615" s="33">
        <f t="shared" si="2"/>
        <v>6</v>
      </c>
      <c r="N615" s="33">
        <f t="shared" si="3"/>
        <v>2023</v>
      </c>
      <c r="O615" s="35" t="str">
        <f>VLOOKUP(K615,'CA y tablas'!$B$22:$C$28,2,FALSE)</f>
        <v>EUROPEO</v>
      </c>
      <c r="P615" s="28" t="str">
        <f t="shared" si="4"/>
        <v>S1</v>
      </c>
      <c r="Q615" s="29">
        <v>2.0</v>
      </c>
      <c r="R615" s="29" t="str">
        <f t="shared" si="5"/>
        <v>Q2</v>
      </c>
    </row>
    <row r="616" ht="15.75" customHeight="1">
      <c r="A616" s="22">
        <v>45092.0</v>
      </c>
      <c r="B616" s="23">
        <v>4.166835691E9</v>
      </c>
      <c r="C616" s="24" t="s">
        <v>623</v>
      </c>
      <c r="D616" s="23">
        <v>2.5922217E7</v>
      </c>
      <c r="E616" s="22">
        <v>45098.0</v>
      </c>
      <c r="F616" s="25" t="s">
        <v>69</v>
      </c>
      <c r="G616" s="26">
        <v>1.0</v>
      </c>
      <c r="H616" s="25" t="s">
        <v>116</v>
      </c>
      <c r="I616" s="25" t="s">
        <v>77</v>
      </c>
      <c r="J616" s="25" t="s">
        <v>93</v>
      </c>
      <c r="K616" s="25" t="s">
        <v>84</v>
      </c>
      <c r="L616" s="25" t="str">
        <f t="shared" si="1"/>
        <v>INDIVIDUAL</v>
      </c>
      <c r="M616" s="25">
        <f t="shared" si="2"/>
        <v>6</v>
      </c>
      <c r="N616" s="25">
        <f t="shared" si="3"/>
        <v>2023</v>
      </c>
      <c r="O616" s="27" t="str">
        <f>VLOOKUP(K616,'CA y tablas'!$B$22:$C$28,2,FALSE)</f>
        <v>EUROPEO</v>
      </c>
      <c r="P616" s="28" t="str">
        <f t="shared" si="4"/>
        <v>S1</v>
      </c>
      <c r="Q616" s="29">
        <v>2.0</v>
      </c>
      <c r="R616" s="29" t="str">
        <f t="shared" si="5"/>
        <v>Q2</v>
      </c>
    </row>
    <row r="617" ht="15.75" customHeight="1">
      <c r="A617" s="30">
        <v>45092.0</v>
      </c>
      <c r="B617" s="31">
        <v>2.66828156E9</v>
      </c>
      <c r="C617" s="32" t="s">
        <v>624</v>
      </c>
      <c r="D617" s="31">
        <v>1.6560448E7</v>
      </c>
      <c r="E617" s="30">
        <v>45098.0</v>
      </c>
      <c r="F617" s="33" t="s">
        <v>69</v>
      </c>
      <c r="G617" s="34">
        <v>1.0</v>
      </c>
      <c r="H617" s="33" t="s">
        <v>116</v>
      </c>
      <c r="I617" s="33" t="s">
        <v>77</v>
      </c>
      <c r="J617" s="33" t="s">
        <v>93</v>
      </c>
      <c r="K617" s="33" t="s">
        <v>84</v>
      </c>
      <c r="L617" s="33" t="str">
        <f t="shared" si="1"/>
        <v>INDIVIDUAL</v>
      </c>
      <c r="M617" s="33">
        <f t="shared" si="2"/>
        <v>6</v>
      </c>
      <c r="N617" s="33">
        <f t="shared" si="3"/>
        <v>2023</v>
      </c>
      <c r="O617" s="35" t="str">
        <f>VLOOKUP(K617,'CA y tablas'!$B$22:$C$28,2,FALSE)</f>
        <v>EUROPEO</v>
      </c>
      <c r="P617" s="28" t="str">
        <f t="shared" si="4"/>
        <v>S1</v>
      </c>
      <c r="Q617" s="29">
        <v>2.0</v>
      </c>
      <c r="R617" s="29" t="str">
        <f t="shared" si="5"/>
        <v>Q2</v>
      </c>
    </row>
    <row r="618" ht="15.75" customHeight="1">
      <c r="A618" s="22">
        <v>45092.0</v>
      </c>
      <c r="B618" s="23">
        <v>9.813342162E9</v>
      </c>
      <c r="C618" s="24" t="s">
        <v>625</v>
      </c>
      <c r="D618" s="23">
        <v>4.1649797E7</v>
      </c>
      <c r="E618" s="22">
        <v>45098.0</v>
      </c>
      <c r="F618" s="25" t="s">
        <v>69</v>
      </c>
      <c r="G618" s="26">
        <v>1.0</v>
      </c>
      <c r="H618" s="25" t="s">
        <v>116</v>
      </c>
      <c r="I618" s="25" t="s">
        <v>77</v>
      </c>
      <c r="J618" s="25" t="s">
        <v>93</v>
      </c>
      <c r="K618" s="25" t="s">
        <v>84</v>
      </c>
      <c r="L618" s="25" t="str">
        <f t="shared" si="1"/>
        <v>INDIVIDUAL</v>
      </c>
      <c r="M618" s="25">
        <f t="shared" si="2"/>
        <v>6</v>
      </c>
      <c r="N618" s="25">
        <f t="shared" si="3"/>
        <v>2023</v>
      </c>
      <c r="O618" s="27" t="str">
        <f>VLOOKUP(K618,'CA y tablas'!$B$22:$C$28,2,FALSE)</f>
        <v>EUROPEO</v>
      </c>
      <c r="P618" s="28" t="str">
        <f t="shared" si="4"/>
        <v>S1</v>
      </c>
      <c r="Q618" s="29">
        <v>2.0</v>
      </c>
      <c r="R618" s="29" t="str">
        <f t="shared" si="5"/>
        <v>Q2</v>
      </c>
    </row>
    <row r="619" ht="15.75" customHeight="1">
      <c r="A619" s="30">
        <v>45092.0</v>
      </c>
      <c r="B619" s="31">
        <v>3.65898225E9</v>
      </c>
      <c r="C619" s="32" t="s">
        <v>626</v>
      </c>
      <c r="D619" s="31">
        <v>1.4353046E7</v>
      </c>
      <c r="E619" s="30">
        <v>45098.0</v>
      </c>
      <c r="F619" s="33" t="s">
        <v>69</v>
      </c>
      <c r="G619" s="34">
        <v>2.0</v>
      </c>
      <c r="H619" s="33" t="s">
        <v>116</v>
      </c>
      <c r="I619" s="33" t="s">
        <v>77</v>
      </c>
      <c r="J619" s="33" t="s">
        <v>93</v>
      </c>
      <c r="K619" s="33" t="s">
        <v>84</v>
      </c>
      <c r="L619" s="33" t="str">
        <f t="shared" si="1"/>
        <v>FAMILIAR</v>
      </c>
      <c r="M619" s="33">
        <f t="shared" si="2"/>
        <v>6</v>
      </c>
      <c r="N619" s="33">
        <f t="shared" si="3"/>
        <v>2023</v>
      </c>
      <c r="O619" s="35" t="str">
        <f>VLOOKUP(K619,'CA y tablas'!$B$22:$C$28,2,FALSE)</f>
        <v>EUROPEO</v>
      </c>
      <c r="P619" s="28" t="str">
        <f t="shared" si="4"/>
        <v>S1</v>
      </c>
      <c r="Q619" s="29">
        <v>2.0</v>
      </c>
      <c r="R619" s="29" t="str">
        <f t="shared" si="5"/>
        <v>Q2</v>
      </c>
    </row>
    <row r="620" ht="15.75" customHeight="1">
      <c r="A620" s="22">
        <v>45092.0</v>
      </c>
      <c r="B620" s="23">
        <v>4.471633563E9</v>
      </c>
      <c r="C620" s="24" t="s">
        <v>627</v>
      </c>
      <c r="D620" s="23">
        <v>2.1327795E7</v>
      </c>
      <c r="E620" s="22">
        <v>45098.0</v>
      </c>
      <c r="F620" s="25" t="s">
        <v>69</v>
      </c>
      <c r="G620" s="26">
        <v>2.0</v>
      </c>
      <c r="H620" s="25" t="s">
        <v>116</v>
      </c>
      <c r="I620" s="25" t="s">
        <v>77</v>
      </c>
      <c r="J620" s="25" t="s">
        <v>93</v>
      </c>
      <c r="K620" s="25" t="s">
        <v>84</v>
      </c>
      <c r="L620" s="25" t="str">
        <f t="shared" si="1"/>
        <v>FAMILIAR</v>
      </c>
      <c r="M620" s="25">
        <f t="shared" si="2"/>
        <v>6</v>
      </c>
      <c r="N620" s="25">
        <f t="shared" si="3"/>
        <v>2023</v>
      </c>
      <c r="O620" s="27" t="str">
        <f>VLOOKUP(K620,'CA y tablas'!$B$22:$C$28,2,FALSE)</f>
        <v>EUROPEO</v>
      </c>
      <c r="P620" s="28" t="str">
        <f t="shared" si="4"/>
        <v>S1</v>
      </c>
      <c r="Q620" s="29">
        <v>2.0</v>
      </c>
      <c r="R620" s="29" t="str">
        <f t="shared" si="5"/>
        <v>Q2</v>
      </c>
    </row>
    <row r="621" ht="15.75" customHeight="1">
      <c r="A621" s="30">
        <v>45098.0</v>
      </c>
      <c r="B621" s="31">
        <v>3.800119901E9</v>
      </c>
      <c r="C621" s="32" t="s">
        <v>627</v>
      </c>
      <c r="D621" s="31">
        <v>2.1327795E7</v>
      </c>
      <c r="E621" s="30">
        <v>45098.0</v>
      </c>
      <c r="F621" s="33" t="s">
        <v>69</v>
      </c>
      <c r="G621" s="34">
        <v>3.0</v>
      </c>
      <c r="H621" s="33" t="s">
        <v>116</v>
      </c>
      <c r="I621" s="33" t="s">
        <v>77</v>
      </c>
      <c r="J621" s="33" t="s">
        <v>93</v>
      </c>
      <c r="K621" s="33" t="s">
        <v>84</v>
      </c>
      <c r="L621" s="33" t="str">
        <f t="shared" si="1"/>
        <v>FAMILIAR</v>
      </c>
      <c r="M621" s="33">
        <f t="shared" si="2"/>
        <v>6</v>
      </c>
      <c r="N621" s="33">
        <f t="shared" si="3"/>
        <v>2023</v>
      </c>
      <c r="O621" s="35" t="str">
        <f>VLOOKUP(K621,'CA y tablas'!$B$22:$C$28,2,FALSE)</f>
        <v>EUROPEO</v>
      </c>
      <c r="P621" s="28" t="str">
        <f t="shared" si="4"/>
        <v>S1</v>
      </c>
      <c r="Q621" s="29">
        <v>2.0</v>
      </c>
      <c r="R621" s="29" t="str">
        <f t="shared" si="5"/>
        <v>Q2</v>
      </c>
    </row>
    <row r="622" ht="15.75" customHeight="1">
      <c r="A622" s="22">
        <v>45098.0</v>
      </c>
      <c r="B622" s="23">
        <v>5.541962366E9</v>
      </c>
      <c r="C622" s="24" t="s">
        <v>628</v>
      </c>
      <c r="D622" s="23">
        <v>3.7917041E7</v>
      </c>
      <c r="E622" s="22">
        <v>45098.0</v>
      </c>
      <c r="F622" s="25" t="s">
        <v>69</v>
      </c>
      <c r="G622" s="26">
        <v>3.0</v>
      </c>
      <c r="H622" s="25" t="s">
        <v>116</v>
      </c>
      <c r="I622" s="25" t="s">
        <v>77</v>
      </c>
      <c r="J622" s="25" t="s">
        <v>93</v>
      </c>
      <c r="K622" s="25" t="s">
        <v>84</v>
      </c>
      <c r="L622" s="25" t="str">
        <f t="shared" si="1"/>
        <v>FAMILIAR</v>
      </c>
      <c r="M622" s="25">
        <f t="shared" si="2"/>
        <v>6</v>
      </c>
      <c r="N622" s="25">
        <f t="shared" si="3"/>
        <v>2023</v>
      </c>
      <c r="O622" s="27" t="str">
        <f>VLOOKUP(K622,'CA y tablas'!$B$22:$C$28,2,FALSE)</f>
        <v>EUROPEO</v>
      </c>
      <c r="P622" s="28" t="str">
        <f t="shared" si="4"/>
        <v>S1</v>
      </c>
      <c r="Q622" s="29">
        <v>2.0</v>
      </c>
      <c r="R622" s="29" t="str">
        <f t="shared" si="5"/>
        <v>Q2</v>
      </c>
    </row>
    <row r="623" ht="15.75" customHeight="1">
      <c r="A623" s="30">
        <v>45076.0</v>
      </c>
      <c r="B623" s="31">
        <v>7.107860012E9</v>
      </c>
      <c r="C623" s="32" t="s">
        <v>629</v>
      </c>
      <c r="D623" s="31">
        <v>3.2349639E7</v>
      </c>
      <c r="E623" s="30">
        <v>45099.0</v>
      </c>
      <c r="F623" s="33" t="s">
        <v>69</v>
      </c>
      <c r="G623" s="34">
        <v>1.0</v>
      </c>
      <c r="H623" s="33" t="s">
        <v>116</v>
      </c>
      <c r="I623" s="33" t="s">
        <v>77</v>
      </c>
      <c r="J623" s="33" t="s">
        <v>93</v>
      </c>
      <c r="K623" s="33" t="s">
        <v>103</v>
      </c>
      <c r="L623" s="33" t="str">
        <f t="shared" si="1"/>
        <v>INDIVIDUAL</v>
      </c>
      <c r="M623" s="33">
        <f t="shared" si="2"/>
        <v>6</v>
      </c>
      <c r="N623" s="33">
        <f t="shared" si="3"/>
        <v>2023</v>
      </c>
      <c r="O623" s="35" t="str">
        <f>VLOOKUP(K623,'CA y tablas'!$B$22:$C$28,2,FALSE)</f>
        <v>EUROPEO</v>
      </c>
      <c r="P623" s="28" t="str">
        <f t="shared" si="4"/>
        <v>S1</v>
      </c>
      <c r="Q623" s="29">
        <v>2.0</v>
      </c>
      <c r="R623" s="29" t="str">
        <f t="shared" si="5"/>
        <v>Q2</v>
      </c>
    </row>
    <row r="624" ht="15.75" customHeight="1">
      <c r="A624" s="22">
        <v>45085.0</v>
      </c>
      <c r="B624" s="23">
        <v>5.140354424E9</v>
      </c>
      <c r="C624" s="24" t="s">
        <v>630</v>
      </c>
      <c r="D624" s="23">
        <v>8083567.0</v>
      </c>
      <c r="E624" s="22">
        <v>45099.0</v>
      </c>
      <c r="F624" s="25" t="s">
        <v>69</v>
      </c>
      <c r="G624" s="26">
        <v>1.0</v>
      </c>
      <c r="H624" s="25" t="s">
        <v>116</v>
      </c>
      <c r="I624" s="25" t="s">
        <v>77</v>
      </c>
      <c r="J624" s="25" t="s">
        <v>93</v>
      </c>
      <c r="K624" s="25" t="s">
        <v>103</v>
      </c>
      <c r="L624" s="25" t="str">
        <f t="shared" si="1"/>
        <v>INDIVIDUAL</v>
      </c>
      <c r="M624" s="25">
        <f t="shared" si="2"/>
        <v>6</v>
      </c>
      <c r="N624" s="25">
        <f t="shared" si="3"/>
        <v>2023</v>
      </c>
      <c r="O624" s="27" t="str">
        <f>VLOOKUP(K624,'CA y tablas'!$B$22:$C$28,2,FALSE)</f>
        <v>EUROPEO</v>
      </c>
      <c r="P624" s="28" t="str">
        <f t="shared" si="4"/>
        <v>S1</v>
      </c>
      <c r="Q624" s="29">
        <v>2.0</v>
      </c>
      <c r="R624" s="29" t="str">
        <f t="shared" si="5"/>
        <v>Q2</v>
      </c>
    </row>
    <row r="625" ht="15.75" customHeight="1">
      <c r="A625" s="30">
        <v>45092.0</v>
      </c>
      <c r="B625" s="31">
        <v>2.690187684E9</v>
      </c>
      <c r="C625" s="32" t="s">
        <v>631</v>
      </c>
      <c r="D625" s="31">
        <v>2.5923253E7</v>
      </c>
      <c r="E625" s="30">
        <v>45099.0</v>
      </c>
      <c r="F625" s="33" t="s">
        <v>76</v>
      </c>
      <c r="G625" s="34">
        <v>11.0</v>
      </c>
      <c r="H625" s="33" t="s">
        <v>116</v>
      </c>
      <c r="I625" s="33" t="s">
        <v>71</v>
      </c>
      <c r="J625" s="33" t="s">
        <v>98</v>
      </c>
      <c r="K625" s="33" t="s">
        <v>103</v>
      </c>
      <c r="L625" s="33" t="str">
        <f t="shared" si="1"/>
        <v>FAMILIAR</v>
      </c>
      <c r="M625" s="33">
        <f t="shared" si="2"/>
        <v>6</v>
      </c>
      <c r="N625" s="33">
        <f t="shared" si="3"/>
        <v>2023</v>
      </c>
      <c r="O625" s="35" t="str">
        <f>VLOOKUP(K625,'CA y tablas'!$B$22:$C$28,2,FALSE)</f>
        <v>EUROPEO</v>
      </c>
      <c r="P625" s="28" t="str">
        <f t="shared" si="4"/>
        <v>S1</v>
      </c>
      <c r="Q625" s="29">
        <v>2.0</v>
      </c>
      <c r="R625" s="29" t="str">
        <f t="shared" si="5"/>
        <v>Q2</v>
      </c>
    </row>
    <row r="626" ht="15.75" customHeight="1">
      <c r="A626" s="22">
        <v>45092.0</v>
      </c>
      <c r="B626" s="23">
        <v>2.649089984E9</v>
      </c>
      <c r="C626" s="24" t="s">
        <v>632</v>
      </c>
      <c r="D626" s="23">
        <v>2.9060264E7</v>
      </c>
      <c r="E626" s="22">
        <v>45099.0</v>
      </c>
      <c r="F626" s="25" t="s">
        <v>69</v>
      </c>
      <c r="G626" s="26">
        <v>1.0</v>
      </c>
      <c r="H626" s="25" t="s">
        <v>116</v>
      </c>
      <c r="I626" s="25" t="s">
        <v>71</v>
      </c>
      <c r="J626" s="25" t="s">
        <v>98</v>
      </c>
      <c r="K626" s="25" t="s">
        <v>103</v>
      </c>
      <c r="L626" s="25" t="str">
        <f t="shared" si="1"/>
        <v>INDIVIDUAL</v>
      </c>
      <c r="M626" s="25">
        <f t="shared" si="2"/>
        <v>6</v>
      </c>
      <c r="N626" s="25">
        <f t="shared" si="3"/>
        <v>2023</v>
      </c>
      <c r="O626" s="27" t="str">
        <f>VLOOKUP(K626,'CA y tablas'!$B$22:$C$28,2,FALSE)</f>
        <v>EUROPEO</v>
      </c>
      <c r="P626" s="28" t="str">
        <f t="shared" si="4"/>
        <v>S1</v>
      </c>
      <c r="Q626" s="29">
        <v>2.0</v>
      </c>
      <c r="R626" s="29" t="str">
        <f t="shared" si="5"/>
        <v>Q2</v>
      </c>
    </row>
    <row r="627" ht="15.75" customHeight="1">
      <c r="A627" s="30">
        <v>45092.0</v>
      </c>
      <c r="B627" s="31">
        <v>1.284169832E9</v>
      </c>
      <c r="C627" s="32" t="s">
        <v>633</v>
      </c>
      <c r="D627" s="31">
        <v>2.2877703E7</v>
      </c>
      <c r="E627" s="30">
        <v>45099.0</v>
      </c>
      <c r="F627" s="33" t="s">
        <v>76</v>
      </c>
      <c r="G627" s="34">
        <v>3.0</v>
      </c>
      <c r="H627" s="33" t="s">
        <v>116</v>
      </c>
      <c r="I627" s="33" t="s">
        <v>71</v>
      </c>
      <c r="J627" s="33" t="s">
        <v>98</v>
      </c>
      <c r="K627" s="33" t="s">
        <v>103</v>
      </c>
      <c r="L627" s="33" t="str">
        <f t="shared" si="1"/>
        <v>FAMILIAR</v>
      </c>
      <c r="M627" s="33">
        <f t="shared" si="2"/>
        <v>6</v>
      </c>
      <c r="N627" s="33">
        <f t="shared" si="3"/>
        <v>2023</v>
      </c>
      <c r="O627" s="35" t="str">
        <f>VLOOKUP(K627,'CA y tablas'!$B$22:$C$28,2,FALSE)</f>
        <v>EUROPEO</v>
      </c>
      <c r="P627" s="28" t="str">
        <f t="shared" si="4"/>
        <v>S1</v>
      </c>
      <c r="Q627" s="29">
        <v>2.0</v>
      </c>
      <c r="R627" s="29" t="str">
        <f t="shared" si="5"/>
        <v>Q2</v>
      </c>
    </row>
    <row r="628" ht="15.75" customHeight="1">
      <c r="A628" s="22">
        <v>45092.0</v>
      </c>
      <c r="B628" s="23">
        <v>5.840525541E9</v>
      </c>
      <c r="C628" s="24" t="s">
        <v>634</v>
      </c>
      <c r="D628" s="23">
        <v>4.2547088E7</v>
      </c>
      <c r="E628" s="22">
        <v>45099.0</v>
      </c>
      <c r="F628" s="25" t="s">
        <v>69</v>
      </c>
      <c r="G628" s="26">
        <v>1.0</v>
      </c>
      <c r="H628" s="25" t="s">
        <v>116</v>
      </c>
      <c r="I628" s="25" t="s">
        <v>71</v>
      </c>
      <c r="J628" s="25" t="s">
        <v>98</v>
      </c>
      <c r="K628" s="25" t="s">
        <v>103</v>
      </c>
      <c r="L628" s="25" t="str">
        <f t="shared" si="1"/>
        <v>INDIVIDUAL</v>
      </c>
      <c r="M628" s="25">
        <f t="shared" si="2"/>
        <v>6</v>
      </c>
      <c r="N628" s="25">
        <f t="shared" si="3"/>
        <v>2023</v>
      </c>
      <c r="O628" s="27" t="str">
        <f>VLOOKUP(K628,'CA y tablas'!$B$22:$C$28,2,FALSE)</f>
        <v>EUROPEO</v>
      </c>
      <c r="P628" s="28" t="str">
        <f t="shared" si="4"/>
        <v>S1</v>
      </c>
      <c r="Q628" s="29">
        <v>2.0</v>
      </c>
      <c r="R628" s="29" t="str">
        <f t="shared" si="5"/>
        <v>Q2</v>
      </c>
    </row>
    <row r="629" ht="15.75" customHeight="1">
      <c r="A629" s="30">
        <v>45098.0</v>
      </c>
      <c r="B629" s="31">
        <v>2.77398471E9</v>
      </c>
      <c r="C629" s="32" t="s">
        <v>635</v>
      </c>
      <c r="D629" s="31">
        <v>1.2733664E7</v>
      </c>
      <c r="E629" s="30">
        <v>45099.0</v>
      </c>
      <c r="F629" s="33" t="s">
        <v>69</v>
      </c>
      <c r="G629" s="34">
        <v>1.0</v>
      </c>
      <c r="H629" s="33" t="s">
        <v>116</v>
      </c>
      <c r="I629" s="33" t="s">
        <v>71</v>
      </c>
      <c r="J629" s="33" t="s">
        <v>98</v>
      </c>
      <c r="K629" s="33" t="s">
        <v>103</v>
      </c>
      <c r="L629" s="33" t="str">
        <f t="shared" si="1"/>
        <v>INDIVIDUAL</v>
      </c>
      <c r="M629" s="33">
        <f t="shared" si="2"/>
        <v>6</v>
      </c>
      <c r="N629" s="33">
        <f t="shared" si="3"/>
        <v>2023</v>
      </c>
      <c r="O629" s="35" t="str">
        <f>VLOOKUP(K629,'CA y tablas'!$B$22:$C$28,2,FALSE)</f>
        <v>EUROPEO</v>
      </c>
      <c r="P629" s="28" t="str">
        <f t="shared" si="4"/>
        <v>S1</v>
      </c>
      <c r="Q629" s="29">
        <v>2.0</v>
      </c>
      <c r="R629" s="29" t="str">
        <f t="shared" si="5"/>
        <v>Q2</v>
      </c>
    </row>
    <row r="630" ht="15.75" customHeight="1">
      <c r="A630" s="22">
        <v>45098.0</v>
      </c>
      <c r="B630" s="23">
        <v>6.501840273E9</v>
      </c>
      <c r="C630" s="24" t="s">
        <v>636</v>
      </c>
      <c r="D630" s="23">
        <v>2.305673E7</v>
      </c>
      <c r="E630" s="22">
        <v>45099.0</v>
      </c>
      <c r="F630" s="25" t="s">
        <v>69</v>
      </c>
      <c r="G630" s="26">
        <v>1.0</v>
      </c>
      <c r="H630" s="25" t="s">
        <v>116</v>
      </c>
      <c r="I630" s="25" t="s">
        <v>71</v>
      </c>
      <c r="J630" s="25" t="s">
        <v>98</v>
      </c>
      <c r="K630" s="25" t="s">
        <v>103</v>
      </c>
      <c r="L630" s="25" t="str">
        <f t="shared" si="1"/>
        <v>INDIVIDUAL</v>
      </c>
      <c r="M630" s="25">
        <f t="shared" si="2"/>
        <v>6</v>
      </c>
      <c r="N630" s="25">
        <f t="shared" si="3"/>
        <v>2023</v>
      </c>
      <c r="O630" s="27" t="str">
        <f>VLOOKUP(K630,'CA y tablas'!$B$22:$C$28,2,FALSE)</f>
        <v>EUROPEO</v>
      </c>
      <c r="P630" s="28" t="str">
        <f t="shared" si="4"/>
        <v>S1</v>
      </c>
      <c r="Q630" s="29">
        <v>2.0</v>
      </c>
      <c r="R630" s="29" t="str">
        <f t="shared" si="5"/>
        <v>Q2</v>
      </c>
    </row>
    <row r="631" ht="15.75" customHeight="1">
      <c r="A631" s="30">
        <v>45099.0</v>
      </c>
      <c r="B631" s="31">
        <v>5.197829302E9</v>
      </c>
      <c r="C631" s="32" t="s">
        <v>637</v>
      </c>
      <c r="D631" s="31">
        <v>2.6445714E7</v>
      </c>
      <c r="E631" s="30">
        <v>45099.0</v>
      </c>
      <c r="F631" s="33" t="s">
        <v>69</v>
      </c>
      <c r="G631" s="34">
        <v>1.0</v>
      </c>
      <c r="H631" s="33" t="s">
        <v>92</v>
      </c>
      <c r="I631" s="33" t="s">
        <v>71</v>
      </c>
      <c r="J631" s="33" t="s">
        <v>98</v>
      </c>
      <c r="K631" s="33" t="s">
        <v>103</v>
      </c>
      <c r="L631" s="33" t="str">
        <f t="shared" si="1"/>
        <v>INDIVIDUAL</v>
      </c>
      <c r="M631" s="33">
        <f t="shared" si="2"/>
        <v>6</v>
      </c>
      <c r="N631" s="33">
        <f t="shared" si="3"/>
        <v>2023</v>
      </c>
      <c r="O631" s="35" t="str">
        <f>VLOOKUP(K631,'CA y tablas'!$B$22:$C$28,2,FALSE)</f>
        <v>EUROPEO</v>
      </c>
      <c r="P631" s="28" t="str">
        <f t="shared" si="4"/>
        <v>S1</v>
      </c>
      <c r="Q631" s="29">
        <v>2.0</v>
      </c>
      <c r="R631" s="29" t="str">
        <f t="shared" si="5"/>
        <v>Q2</v>
      </c>
    </row>
    <row r="632" ht="15.75" customHeight="1">
      <c r="A632" s="22">
        <v>45099.0</v>
      </c>
      <c r="B632" s="23">
        <v>6.677248443E9</v>
      </c>
      <c r="C632" s="24" t="s">
        <v>637</v>
      </c>
      <c r="D632" s="23">
        <v>2.6445714E7</v>
      </c>
      <c r="E632" s="22">
        <v>45099.0</v>
      </c>
      <c r="F632" s="25" t="s">
        <v>69</v>
      </c>
      <c r="G632" s="26">
        <v>1.0</v>
      </c>
      <c r="H632" s="25" t="s">
        <v>92</v>
      </c>
      <c r="I632" s="25" t="s">
        <v>88</v>
      </c>
      <c r="J632" s="25" t="s">
        <v>98</v>
      </c>
      <c r="K632" s="25" t="s">
        <v>107</v>
      </c>
      <c r="L632" s="25" t="str">
        <f t="shared" si="1"/>
        <v>INDIVIDUAL</v>
      </c>
      <c r="M632" s="25">
        <f t="shared" si="2"/>
        <v>6</v>
      </c>
      <c r="N632" s="25">
        <f t="shared" si="3"/>
        <v>2023</v>
      </c>
      <c r="O632" s="27" t="str">
        <f>VLOOKUP(K632,'CA y tablas'!$B$22:$C$28,2,FALSE)</f>
        <v>AMERICANO</v>
      </c>
      <c r="P632" s="28" t="str">
        <f t="shared" si="4"/>
        <v>S1</v>
      </c>
      <c r="Q632" s="29">
        <v>2.0</v>
      </c>
      <c r="R632" s="29" t="str">
        <f t="shared" si="5"/>
        <v>Q2</v>
      </c>
    </row>
    <row r="633" ht="15.75" customHeight="1">
      <c r="A633" s="30">
        <v>45099.0</v>
      </c>
      <c r="B633" s="31">
        <v>4.182509785E9</v>
      </c>
      <c r="C633" s="32" t="s">
        <v>638</v>
      </c>
      <c r="D633" s="31">
        <v>2.765208E7</v>
      </c>
      <c r="E633" s="30">
        <v>45099.0</v>
      </c>
      <c r="F633" s="33" t="s">
        <v>69</v>
      </c>
      <c r="G633" s="34">
        <v>1.0</v>
      </c>
      <c r="H633" s="33" t="s">
        <v>92</v>
      </c>
      <c r="I633" s="33" t="s">
        <v>88</v>
      </c>
      <c r="J633" s="33" t="s">
        <v>98</v>
      </c>
      <c r="K633" s="33" t="s">
        <v>107</v>
      </c>
      <c r="L633" s="33" t="str">
        <f t="shared" si="1"/>
        <v>INDIVIDUAL</v>
      </c>
      <c r="M633" s="33">
        <f t="shared" si="2"/>
        <v>6</v>
      </c>
      <c r="N633" s="33">
        <f t="shared" si="3"/>
        <v>2023</v>
      </c>
      <c r="O633" s="35" t="str">
        <f>VLOOKUP(K633,'CA y tablas'!$B$22:$C$28,2,FALSE)</f>
        <v>AMERICANO</v>
      </c>
      <c r="P633" s="28" t="str">
        <f t="shared" si="4"/>
        <v>S1</v>
      </c>
      <c r="Q633" s="29">
        <v>2.0</v>
      </c>
      <c r="R633" s="29" t="str">
        <f t="shared" si="5"/>
        <v>Q2</v>
      </c>
    </row>
    <row r="634" ht="15.75" customHeight="1">
      <c r="A634" s="22">
        <v>45085.0</v>
      </c>
      <c r="B634" s="23">
        <v>7.096888164E9</v>
      </c>
      <c r="C634" s="24" t="s">
        <v>639</v>
      </c>
      <c r="D634" s="23">
        <v>2.7016674E7</v>
      </c>
      <c r="E634" s="22">
        <v>45100.0</v>
      </c>
      <c r="F634" s="25" t="s">
        <v>69</v>
      </c>
      <c r="G634" s="26">
        <v>1.0</v>
      </c>
      <c r="H634" s="25" t="s">
        <v>92</v>
      </c>
      <c r="I634" s="25" t="s">
        <v>88</v>
      </c>
      <c r="J634" s="25" t="s">
        <v>98</v>
      </c>
      <c r="K634" s="25" t="s">
        <v>107</v>
      </c>
      <c r="L634" s="25" t="str">
        <f t="shared" si="1"/>
        <v>INDIVIDUAL</v>
      </c>
      <c r="M634" s="25">
        <f t="shared" si="2"/>
        <v>6</v>
      </c>
      <c r="N634" s="25">
        <f t="shared" si="3"/>
        <v>2023</v>
      </c>
      <c r="O634" s="27" t="str">
        <f>VLOOKUP(K634,'CA y tablas'!$B$22:$C$28,2,FALSE)</f>
        <v>AMERICANO</v>
      </c>
      <c r="P634" s="28" t="str">
        <f t="shared" si="4"/>
        <v>S1</v>
      </c>
      <c r="Q634" s="29">
        <v>2.0</v>
      </c>
      <c r="R634" s="29" t="str">
        <f t="shared" si="5"/>
        <v>Q2</v>
      </c>
    </row>
    <row r="635" ht="15.75" customHeight="1">
      <c r="A635" s="30">
        <v>45085.0</v>
      </c>
      <c r="B635" s="31">
        <v>3.579581353E9</v>
      </c>
      <c r="C635" s="32" t="s">
        <v>639</v>
      </c>
      <c r="D635" s="31">
        <v>2.7016674E7</v>
      </c>
      <c r="E635" s="30">
        <v>45100.0</v>
      </c>
      <c r="F635" s="33" t="s">
        <v>69</v>
      </c>
      <c r="G635" s="34">
        <v>1.0</v>
      </c>
      <c r="H635" s="33" t="s">
        <v>92</v>
      </c>
      <c r="I635" s="33" t="s">
        <v>88</v>
      </c>
      <c r="J635" s="33" t="s">
        <v>98</v>
      </c>
      <c r="K635" s="33" t="s">
        <v>107</v>
      </c>
      <c r="L635" s="33" t="str">
        <f t="shared" si="1"/>
        <v>INDIVIDUAL</v>
      </c>
      <c r="M635" s="33">
        <f t="shared" si="2"/>
        <v>6</v>
      </c>
      <c r="N635" s="33">
        <f t="shared" si="3"/>
        <v>2023</v>
      </c>
      <c r="O635" s="35" t="str">
        <f>VLOOKUP(K635,'CA y tablas'!$B$22:$C$28,2,FALSE)</f>
        <v>AMERICANO</v>
      </c>
      <c r="P635" s="28" t="str">
        <f t="shared" si="4"/>
        <v>S1</v>
      </c>
      <c r="Q635" s="29">
        <v>2.0</v>
      </c>
      <c r="R635" s="29" t="str">
        <f t="shared" si="5"/>
        <v>Q2</v>
      </c>
    </row>
    <row r="636" ht="15.75" customHeight="1">
      <c r="A636" s="22">
        <v>45090.0</v>
      </c>
      <c r="B636" s="23">
        <v>4.967401515E9</v>
      </c>
      <c r="C636" s="24" t="s">
        <v>640</v>
      </c>
      <c r="D636" s="23">
        <v>4886224.0</v>
      </c>
      <c r="E636" s="22">
        <v>45100.0</v>
      </c>
      <c r="F636" s="25" t="s">
        <v>69</v>
      </c>
      <c r="G636" s="26">
        <v>1.0</v>
      </c>
      <c r="H636" s="25" t="s">
        <v>112</v>
      </c>
      <c r="I636" s="25" t="s">
        <v>88</v>
      </c>
      <c r="J636" s="25" t="s">
        <v>318</v>
      </c>
      <c r="K636" s="25" t="s">
        <v>107</v>
      </c>
      <c r="L636" s="25" t="str">
        <f t="shared" si="1"/>
        <v>INDIVIDUAL</v>
      </c>
      <c r="M636" s="25">
        <f t="shared" si="2"/>
        <v>6</v>
      </c>
      <c r="N636" s="25">
        <f t="shared" si="3"/>
        <v>2023</v>
      </c>
      <c r="O636" s="27" t="str">
        <f>VLOOKUP(K636,'CA y tablas'!$B$22:$C$28,2,FALSE)</f>
        <v>AMERICANO</v>
      </c>
      <c r="P636" s="28" t="str">
        <f t="shared" si="4"/>
        <v>S1</v>
      </c>
      <c r="Q636" s="29">
        <v>2.0</v>
      </c>
      <c r="R636" s="29" t="str">
        <f t="shared" si="5"/>
        <v>Q2</v>
      </c>
    </row>
    <row r="637" ht="15.75" customHeight="1">
      <c r="A637" s="30">
        <v>45092.0</v>
      </c>
      <c r="B637" s="31">
        <v>4.166791171E9</v>
      </c>
      <c r="C637" s="32" t="s">
        <v>641</v>
      </c>
      <c r="D637" s="31">
        <v>2.888354E7</v>
      </c>
      <c r="E637" s="30">
        <v>45100.0</v>
      </c>
      <c r="F637" s="33" t="s">
        <v>76</v>
      </c>
      <c r="G637" s="34">
        <v>1.0</v>
      </c>
      <c r="H637" s="33" t="s">
        <v>112</v>
      </c>
      <c r="I637" s="33" t="s">
        <v>88</v>
      </c>
      <c r="J637" s="33" t="s">
        <v>318</v>
      </c>
      <c r="K637" s="33" t="s">
        <v>107</v>
      </c>
      <c r="L637" s="33" t="str">
        <f t="shared" si="1"/>
        <v>INDIVIDUAL</v>
      </c>
      <c r="M637" s="33">
        <f t="shared" si="2"/>
        <v>6</v>
      </c>
      <c r="N637" s="33">
        <f t="shared" si="3"/>
        <v>2023</v>
      </c>
      <c r="O637" s="35" t="str">
        <f>VLOOKUP(K637,'CA y tablas'!$B$22:$C$28,2,FALSE)</f>
        <v>AMERICANO</v>
      </c>
      <c r="P637" s="28" t="str">
        <f t="shared" si="4"/>
        <v>S1</v>
      </c>
      <c r="Q637" s="29">
        <v>2.0</v>
      </c>
      <c r="R637" s="29" t="str">
        <f t="shared" si="5"/>
        <v>Q2</v>
      </c>
    </row>
    <row r="638" ht="15.75" customHeight="1">
      <c r="A638" s="22">
        <v>45092.0</v>
      </c>
      <c r="B638" s="23">
        <v>3.38592604E9</v>
      </c>
      <c r="C638" s="24" t="s">
        <v>642</v>
      </c>
      <c r="D638" s="23">
        <v>3.3703506E7</v>
      </c>
      <c r="E638" s="22">
        <v>45100.0</v>
      </c>
      <c r="F638" s="25" t="s">
        <v>76</v>
      </c>
      <c r="G638" s="26">
        <v>2.0</v>
      </c>
      <c r="H638" s="25" t="s">
        <v>112</v>
      </c>
      <c r="I638" s="25" t="s">
        <v>88</v>
      </c>
      <c r="J638" s="25" t="s">
        <v>318</v>
      </c>
      <c r="K638" s="25" t="s">
        <v>107</v>
      </c>
      <c r="L638" s="25" t="str">
        <f t="shared" si="1"/>
        <v>FAMILIAR</v>
      </c>
      <c r="M638" s="25">
        <f t="shared" si="2"/>
        <v>6</v>
      </c>
      <c r="N638" s="25">
        <f t="shared" si="3"/>
        <v>2023</v>
      </c>
      <c r="O638" s="27" t="str">
        <f>VLOOKUP(K638,'CA y tablas'!$B$22:$C$28,2,FALSE)</f>
        <v>AMERICANO</v>
      </c>
      <c r="P638" s="28" t="str">
        <f t="shared" si="4"/>
        <v>S1</v>
      </c>
      <c r="Q638" s="29">
        <v>2.0</v>
      </c>
      <c r="R638" s="29" t="str">
        <f t="shared" si="5"/>
        <v>Q2</v>
      </c>
    </row>
    <row r="639" ht="15.75" customHeight="1">
      <c r="A639" s="30">
        <v>45092.0</v>
      </c>
      <c r="B639" s="31">
        <v>1.284173262E9</v>
      </c>
      <c r="C639" s="32" t="s">
        <v>643</v>
      </c>
      <c r="D639" s="31">
        <v>1.2149229E7</v>
      </c>
      <c r="E639" s="30">
        <v>45100.0</v>
      </c>
      <c r="F639" s="33" t="s">
        <v>69</v>
      </c>
      <c r="G639" s="34">
        <v>2.0</v>
      </c>
      <c r="H639" s="33" t="s">
        <v>112</v>
      </c>
      <c r="I639" s="33" t="s">
        <v>88</v>
      </c>
      <c r="J639" s="33" t="s">
        <v>318</v>
      </c>
      <c r="K639" s="33" t="s">
        <v>107</v>
      </c>
      <c r="L639" s="33" t="str">
        <f t="shared" si="1"/>
        <v>FAMILIAR</v>
      </c>
      <c r="M639" s="33">
        <f t="shared" si="2"/>
        <v>6</v>
      </c>
      <c r="N639" s="33">
        <f t="shared" si="3"/>
        <v>2023</v>
      </c>
      <c r="O639" s="35" t="str">
        <f>VLOOKUP(K639,'CA y tablas'!$B$22:$C$28,2,FALSE)</f>
        <v>AMERICANO</v>
      </c>
      <c r="P639" s="28" t="str">
        <f t="shared" si="4"/>
        <v>S1</v>
      </c>
      <c r="Q639" s="29">
        <v>2.0</v>
      </c>
      <c r="R639" s="29" t="str">
        <f t="shared" si="5"/>
        <v>Q2</v>
      </c>
    </row>
    <row r="640" ht="15.75" customHeight="1">
      <c r="A640" s="22">
        <v>45092.0</v>
      </c>
      <c r="B640" s="23">
        <v>9.813357024E9</v>
      </c>
      <c r="C640" s="24" t="s">
        <v>644</v>
      </c>
      <c r="D640" s="23">
        <v>4.8711564E7</v>
      </c>
      <c r="E640" s="22">
        <v>45100.0</v>
      </c>
      <c r="F640" s="25" t="s">
        <v>69</v>
      </c>
      <c r="G640" s="26">
        <v>1.0</v>
      </c>
      <c r="H640" s="25" t="s">
        <v>112</v>
      </c>
      <c r="I640" s="25" t="s">
        <v>88</v>
      </c>
      <c r="J640" s="25" t="s">
        <v>318</v>
      </c>
      <c r="K640" s="25" t="s">
        <v>107</v>
      </c>
      <c r="L640" s="25" t="str">
        <f t="shared" si="1"/>
        <v>INDIVIDUAL</v>
      </c>
      <c r="M640" s="25">
        <f t="shared" si="2"/>
        <v>6</v>
      </c>
      <c r="N640" s="25">
        <f t="shared" si="3"/>
        <v>2023</v>
      </c>
      <c r="O640" s="27" t="str">
        <f>VLOOKUP(K640,'CA y tablas'!$B$22:$C$28,2,FALSE)</f>
        <v>AMERICANO</v>
      </c>
      <c r="P640" s="28" t="str">
        <f t="shared" si="4"/>
        <v>S1</v>
      </c>
      <c r="Q640" s="29">
        <v>2.0</v>
      </c>
      <c r="R640" s="29" t="str">
        <f t="shared" si="5"/>
        <v>Q2</v>
      </c>
    </row>
    <row r="641" ht="15.75" customHeight="1">
      <c r="A641" s="30">
        <v>45099.0</v>
      </c>
      <c r="B641" s="31">
        <v>9.510156972E9</v>
      </c>
      <c r="C641" s="32" t="s">
        <v>645</v>
      </c>
      <c r="D641" s="31">
        <v>3.5920141E7</v>
      </c>
      <c r="E641" s="30">
        <v>45100.0</v>
      </c>
      <c r="F641" s="33"/>
      <c r="G641" s="34">
        <v>1.0</v>
      </c>
      <c r="H641" s="33" t="s">
        <v>112</v>
      </c>
      <c r="I641" s="33" t="s">
        <v>71</v>
      </c>
      <c r="J641" s="33" t="s">
        <v>72</v>
      </c>
      <c r="K641" s="33" t="s">
        <v>73</v>
      </c>
      <c r="L641" s="33" t="str">
        <f t="shared" si="1"/>
        <v>INDIVIDUAL</v>
      </c>
      <c r="M641" s="33">
        <f t="shared" si="2"/>
        <v>6</v>
      </c>
      <c r="N641" s="33">
        <f t="shared" si="3"/>
        <v>2023</v>
      </c>
      <c r="O641" s="35" t="str">
        <f>VLOOKUP(K641,'CA y tablas'!$B$22:$C$28,2,FALSE)</f>
        <v>AMERICANO</v>
      </c>
      <c r="P641" s="28" t="str">
        <f t="shared" si="4"/>
        <v>S1</v>
      </c>
      <c r="Q641" s="29">
        <v>2.0</v>
      </c>
      <c r="R641" s="29" t="str">
        <f t="shared" si="5"/>
        <v>Q2</v>
      </c>
    </row>
    <row r="642" ht="15.75" customHeight="1">
      <c r="A642" s="22">
        <v>45099.0</v>
      </c>
      <c r="B642" s="23">
        <v>8.009594902E9</v>
      </c>
      <c r="C642" s="24" t="s">
        <v>646</v>
      </c>
      <c r="D642" s="23">
        <v>4.1377169E7</v>
      </c>
      <c r="E642" s="22">
        <v>45100.0</v>
      </c>
      <c r="F642" s="25" t="s">
        <v>76</v>
      </c>
      <c r="G642" s="26">
        <v>1.0</v>
      </c>
      <c r="H642" s="25" t="s">
        <v>116</v>
      </c>
      <c r="I642" s="25" t="s">
        <v>71</v>
      </c>
      <c r="J642" s="25" t="s">
        <v>72</v>
      </c>
      <c r="K642" s="25" t="s">
        <v>73</v>
      </c>
      <c r="L642" s="25" t="str">
        <f t="shared" si="1"/>
        <v>INDIVIDUAL</v>
      </c>
      <c r="M642" s="25">
        <f t="shared" si="2"/>
        <v>6</v>
      </c>
      <c r="N642" s="25">
        <f t="shared" si="3"/>
        <v>2023</v>
      </c>
      <c r="O642" s="27" t="str">
        <f>VLOOKUP(K642,'CA y tablas'!$B$22:$C$28,2,FALSE)</f>
        <v>AMERICANO</v>
      </c>
      <c r="P642" s="28" t="str">
        <f t="shared" si="4"/>
        <v>S1</v>
      </c>
      <c r="Q642" s="29">
        <v>2.0</v>
      </c>
      <c r="R642" s="29" t="str">
        <f t="shared" si="5"/>
        <v>Q2</v>
      </c>
    </row>
    <row r="643" ht="15.75" customHeight="1">
      <c r="A643" s="30">
        <v>45076.0</v>
      </c>
      <c r="B643" s="31">
        <v>5.264307893E9</v>
      </c>
      <c r="C643" s="32" t="s">
        <v>647</v>
      </c>
      <c r="D643" s="31">
        <v>3.9143738E7</v>
      </c>
      <c r="E643" s="30">
        <v>45103.0</v>
      </c>
      <c r="F643" s="33" t="s">
        <v>76</v>
      </c>
      <c r="G643" s="34">
        <v>2.0</v>
      </c>
      <c r="H643" s="33" t="s">
        <v>116</v>
      </c>
      <c r="I643" s="33" t="s">
        <v>71</v>
      </c>
      <c r="J643" s="33" t="s">
        <v>72</v>
      </c>
      <c r="K643" s="33" t="s">
        <v>73</v>
      </c>
      <c r="L643" s="33" t="str">
        <f t="shared" si="1"/>
        <v>FAMILIAR</v>
      </c>
      <c r="M643" s="33">
        <f t="shared" si="2"/>
        <v>6</v>
      </c>
      <c r="N643" s="33">
        <f t="shared" si="3"/>
        <v>2023</v>
      </c>
      <c r="O643" s="35" t="str">
        <f>VLOOKUP(K643,'CA y tablas'!$B$22:$C$28,2,FALSE)</f>
        <v>AMERICANO</v>
      </c>
      <c r="P643" s="28" t="str">
        <f t="shared" si="4"/>
        <v>S1</v>
      </c>
      <c r="Q643" s="29">
        <v>2.0</v>
      </c>
      <c r="R643" s="29" t="str">
        <f t="shared" si="5"/>
        <v>Q2</v>
      </c>
    </row>
    <row r="644" ht="15.75" customHeight="1">
      <c r="A644" s="22">
        <v>45077.0</v>
      </c>
      <c r="B644" s="23">
        <v>2.798980483E9</v>
      </c>
      <c r="C644" s="24" t="s">
        <v>648</v>
      </c>
      <c r="D644" s="23">
        <v>3.3884209E7</v>
      </c>
      <c r="E644" s="22">
        <v>45103.0</v>
      </c>
      <c r="F644" s="25" t="s">
        <v>76</v>
      </c>
      <c r="G644" s="26">
        <v>2.0</v>
      </c>
      <c r="H644" s="25" t="s">
        <v>116</v>
      </c>
      <c r="I644" s="25" t="s">
        <v>71</v>
      </c>
      <c r="J644" s="25" t="s">
        <v>72</v>
      </c>
      <c r="K644" s="25" t="s">
        <v>73</v>
      </c>
      <c r="L644" s="25" t="str">
        <f t="shared" si="1"/>
        <v>FAMILIAR</v>
      </c>
      <c r="M644" s="25">
        <f t="shared" si="2"/>
        <v>6</v>
      </c>
      <c r="N644" s="25">
        <f t="shared" si="3"/>
        <v>2023</v>
      </c>
      <c r="O644" s="27" t="str">
        <f>VLOOKUP(K644,'CA y tablas'!$B$22:$C$28,2,FALSE)</f>
        <v>AMERICANO</v>
      </c>
      <c r="P644" s="28" t="str">
        <f t="shared" si="4"/>
        <v>S1</v>
      </c>
      <c r="Q644" s="29">
        <v>2.0</v>
      </c>
      <c r="R644" s="29" t="str">
        <f t="shared" si="5"/>
        <v>Q2</v>
      </c>
    </row>
    <row r="645" ht="15.75" customHeight="1">
      <c r="A645" s="30">
        <v>45085.0</v>
      </c>
      <c r="B645" s="31">
        <v>3.807544252E9</v>
      </c>
      <c r="C645" s="32" t="s">
        <v>649</v>
      </c>
      <c r="D645" s="31">
        <v>2.7016191E7</v>
      </c>
      <c r="E645" s="30">
        <v>45103.0</v>
      </c>
      <c r="F645" s="33" t="s">
        <v>76</v>
      </c>
      <c r="G645" s="34">
        <v>2.0</v>
      </c>
      <c r="H645" s="33" t="s">
        <v>116</v>
      </c>
      <c r="I645" s="33" t="s">
        <v>71</v>
      </c>
      <c r="J645" s="33" t="s">
        <v>72</v>
      </c>
      <c r="K645" s="33" t="s">
        <v>73</v>
      </c>
      <c r="L645" s="33" t="str">
        <f t="shared" si="1"/>
        <v>FAMILIAR</v>
      </c>
      <c r="M645" s="33">
        <f t="shared" si="2"/>
        <v>6</v>
      </c>
      <c r="N645" s="33">
        <f t="shared" si="3"/>
        <v>2023</v>
      </c>
      <c r="O645" s="35" t="str">
        <f>VLOOKUP(K645,'CA y tablas'!$B$22:$C$28,2,FALSE)</f>
        <v>AMERICANO</v>
      </c>
      <c r="P645" s="28" t="str">
        <f t="shared" si="4"/>
        <v>S1</v>
      </c>
      <c r="Q645" s="29">
        <v>2.0</v>
      </c>
      <c r="R645" s="29" t="str">
        <f t="shared" si="5"/>
        <v>Q2</v>
      </c>
    </row>
    <row r="646" ht="15.75" customHeight="1">
      <c r="A646" s="22">
        <v>45085.0</v>
      </c>
      <c r="B646" s="23">
        <v>6.275331145E9</v>
      </c>
      <c r="C646" s="24" t="s">
        <v>650</v>
      </c>
      <c r="D646" s="23">
        <v>3.9973122E7</v>
      </c>
      <c r="E646" s="22">
        <v>45103.0</v>
      </c>
      <c r="F646" s="25" t="s">
        <v>76</v>
      </c>
      <c r="G646" s="26">
        <v>2.0</v>
      </c>
      <c r="H646" s="25" t="s">
        <v>116</v>
      </c>
      <c r="I646" s="25" t="s">
        <v>77</v>
      </c>
      <c r="J646" s="25" t="s">
        <v>72</v>
      </c>
      <c r="K646" s="25" t="s">
        <v>73</v>
      </c>
      <c r="L646" s="25" t="str">
        <f t="shared" si="1"/>
        <v>FAMILIAR</v>
      </c>
      <c r="M646" s="25">
        <f t="shared" si="2"/>
        <v>6</v>
      </c>
      <c r="N646" s="25">
        <f t="shared" si="3"/>
        <v>2023</v>
      </c>
      <c r="O646" s="27" t="str">
        <f>VLOOKUP(K646,'CA y tablas'!$B$22:$C$28,2,FALSE)</f>
        <v>AMERICANO</v>
      </c>
      <c r="P646" s="28" t="str">
        <f t="shared" si="4"/>
        <v>S1</v>
      </c>
      <c r="Q646" s="29">
        <v>2.0</v>
      </c>
      <c r="R646" s="29" t="str">
        <f t="shared" si="5"/>
        <v>Q2</v>
      </c>
    </row>
    <row r="647" ht="15.75" customHeight="1">
      <c r="A647" s="30">
        <v>45092.0</v>
      </c>
      <c r="B647" s="31">
        <v>1.37070703E9</v>
      </c>
      <c r="C647" s="32" t="s">
        <v>651</v>
      </c>
      <c r="D647" s="31">
        <v>3.412763E7</v>
      </c>
      <c r="E647" s="30">
        <v>45103.0</v>
      </c>
      <c r="F647" s="33" t="s">
        <v>69</v>
      </c>
      <c r="G647" s="34">
        <v>1.0</v>
      </c>
      <c r="H647" s="33" t="s">
        <v>116</v>
      </c>
      <c r="I647" s="33" t="s">
        <v>77</v>
      </c>
      <c r="J647" s="33" t="s">
        <v>72</v>
      </c>
      <c r="K647" s="33" t="s">
        <v>73</v>
      </c>
      <c r="L647" s="33" t="str">
        <f t="shared" si="1"/>
        <v>INDIVIDUAL</v>
      </c>
      <c r="M647" s="33">
        <f t="shared" si="2"/>
        <v>6</v>
      </c>
      <c r="N647" s="33">
        <f t="shared" si="3"/>
        <v>2023</v>
      </c>
      <c r="O647" s="35" t="str">
        <f>VLOOKUP(K647,'CA y tablas'!$B$22:$C$28,2,FALSE)</f>
        <v>AMERICANO</v>
      </c>
      <c r="P647" s="28" t="str">
        <f t="shared" si="4"/>
        <v>S1</v>
      </c>
      <c r="Q647" s="29">
        <v>2.0</v>
      </c>
      <c r="R647" s="29" t="str">
        <f t="shared" si="5"/>
        <v>Q2</v>
      </c>
    </row>
    <row r="648" ht="15.75" customHeight="1">
      <c r="A648" s="22">
        <v>45092.0</v>
      </c>
      <c r="B648" s="23">
        <v>4.132607522E9</v>
      </c>
      <c r="C648" s="24" t="s">
        <v>652</v>
      </c>
      <c r="D648" s="23">
        <v>3.3050126E7</v>
      </c>
      <c r="E648" s="22">
        <v>45103.0</v>
      </c>
      <c r="F648" s="25" t="s">
        <v>69</v>
      </c>
      <c r="G648" s="26">
        <v>1.0</v>
      </c>
      <c r="H648" s="25" t="s">
        <v>116</v>
      </c>
      <c r="I648" s="25" t="s">
        <v>77</v>
      </c>
      <c r="J648" s="25" t="s">
        <v>318</v>
      </c>
      <c r="K648" s="25" t="s">
        <v>73</v>
      </c>
      <c r="L648" s="25" t="str">
        <f t="shared" si="1"/>
        <v>INDIVIDUAL</v>
      </c>
      <c r="M648" s="25">
        <f t="shared" si="2"/>
        <v>6</v>
      </c>
      <c r="N648" s="25">
        <f t="shared" si="3"/>
        <v>2023</v>
      </c>
      <c r="O648" s="27" t="str">
        <f>VLOOKUP(K648,'CA y tablas'!$B$22:$C$28,2,FALSE)</f>
        <v>AMERICANO</v>
      </c>
      <c r="P648" s="28" t="str">
        <f t="shared" si="4"/>
        <v>S1</v>
      </c>
      <c r="Q648" s="29">
        <v>2.0</v>
      </c>
      <c r="R648" s="29" t="str">
        <f t="shared" si="5"/>
        <v>Q2</v>
      </c>
    </row>
    <row r="649" ht="15.75" customHeight="1">
      <c r="A649" s="30">
        <v>45092.0</v>
      </c>
      <c r="B649" s="31">
        <v>4.132640002E9</v>
      </c>
      <c r="C649" s="32" t="s">
        <v>653</v>
      </c>
      <c r="D649" s="31">
        <v>3.2775768E7</v>
      </c>
      <c r="E649" s="30">
        <v>45103.0</v>
      </c>
      <c r="F649" s="33" t="s">
        <v>69</v>
      </c>
      <c r="G649" s="34">
        <v>1.0</v>
      </c>
      <c r="H649" s="33" t="s">
        <v>116</v>
      </c>
      <c r="I649" s="33" t="s">
        <v>77</v>
      </c>
      <c r="J649" s="33" t="s">
        <v>318</v>
      </c>
      <c r="K649" s="33" t="s">
        <v>73</v>
      </c>
      <c r="L649" s="33" t="str">
        <f t="shared" si="1"/>
        <v>INDIVIDUAL</v>
      </c>
      <c r="M649" s="33">
        <f t="shared" si="2"/>
        <v>6</v>
      </c>
      <c r="N649" s="33">
        <f t="shared" si="3"/>
        <v>2023</v>
      </c>
      <c r="O649" s="35" t="str">
        <f>VLOOKUP(K649,'CA y tablas'!$B$22:$C$28,2,FALSE)</f>
        <v>AMERICANO</v>
      </c>
      <c r="P649" s="28" t="str">
        <f t="shared" si="4"/>
        <v>S1</v>
      </c>
      <c r="Q649" s="29">
        <v>2.0</v>
      </c>
      <c r="R649" s="29" t="str">
        <f t="shared" si="5"/>
        <v>Q2</v>
      </c>
    </row>
    <row r="650" ht="15.75" customHeight="1">
      <c r="A650" s="22">
        <v>45092.0</v>
      </c>
      <c r="B650" s="23">
        <v>2.668289573E9</v>
      </c>
      <c r="C650" s="24" t="s">
        <v>654</v>
      </c>
      <c r="D650" s="23">
        <v>3.2412219E7</v>
      </c>
      <c r="E650" s="22">
        <v>45103.0</v>
      </c>
      <c r="F650" s="25" t="s">
        <v>69</v>
      </c>
      <c r="G650" s="26">
        <v>1.0</v>
      </c>
      <c r="H650" s="25" t="s">
        <v>116</v>
      </c>
      <c r="I650" s="25" t="s">
        <v>77</v>
      </c>
      <c r="J650" s="25" t="s">
        <v>318</v>
      </c>
      <c r="K650" s="25" t="s">
        <v>73</v>
      </c>
      <c r="L650" s="25" t="str">
        <f t="shared" si="1"/>
        <v>INDIVIDUAL</v>
      </c>
      <c r="M650" s="25">
        <f t="shared" si="2"/>
        <v>6</v>
      </c>
      <c r="N650" s="25">
        <f t="shared" si="3"/>
        <v>2023</v>
      </c>
      <c r="O650" s="27" t="str">
        <f>VLOOKUP(K650,'CA y tablas'!$B$22:$C$28,2,FALSE)</f>
        <v>AMERICANO</v>
      </c>
      <c r="P650" s="28" t="str">
        <f t="shared" si="4"/>
        <v>S1</v>
      </c>
      <c r="Q650" s="29">
        <v>2.0</v>
      </c>
      <c r="R650" s="29" t="str">
        <f t="shared" si="5"/>
        <v>Q2</v>
      </c>
    </row>
    <row r="651" ht="15.75" customHeight="1">
      <c r="A651" s="30">
        <v>45092.0</v>
      </c>
      <c r="B651" s="31">
        <v>2.668295921E9</v>
      </c>
      <c r="C651" s="32" t="s">
        <v>654</v>
      </c>
      <c r="D651" s="31">
        <v>3.2412219E7</v>
      </c>
      <c r="E651" s="30">
        <v>45103.0</v>
      </c>
      <c r="F651" s="33" t="s">
        <v>69</v>
      </c>
      <c r="G651" s="34">
        <v>1.0</v>
      </c>
      <c r="H651" s="33" t="s">
        <v>116</v>
      </c>
      <c r="I651" s="33" t="s">
        <v>77</v>
      </c>
      <c r="J651" s="33" t="s">
        <v>318</v>
      </c>
      <c r="K651" s="33" t="s">
        <v>73</v>
      </c>
      <c r="L651" s="33" t="str">
        <f t="shared" si="1"/>
        <v>INDIVIDUAL</v>
      </c>
      <c r="M651" s="33">
        <f t="shared" si="2"/>
        <v>6</v>
      </c>
      <c r="N651" s="33">
        <f t="shared" si="3"/>
        <v>2023</v>
      </c>
      <c r="O651" s="35" t="str">
        <f>VLOOKUP(K651,'CA y tablas'!$B$22:$C$28,2,FALSE)</f>
        <v>AMERICANO</v>
      </c>
      <c r="P651" s="28" t="str">
        <f t="shared" si="4"/>
        <v>S1</v>
      </c>
      <c r="Q651" s="29">
        <v>2.0</v>
      </c>
      <c r="R651" s="29" t="str">
        <f t="shared" si="5"/>
        <v>Q2</v>
      </c>
    </row>
    <row r="652" ht="15.75" customHeight="1">
      <c r="A652" s="22">
        <v>45099.0</v>
      </c>
      <c r="B652" s="23">
        <v>1.704675755E9</v>
      </c>
      <c r="C652" s="24" t="s">
        <v>655</v>
      </c>
      <c r="D652" s="23">
        <v>2.9175602E7</v>
      </c>
      <c r="E652" s="22">
        <v>45103.0</v>
      </c>
      <c r="F652" s="25" t="s">
        <v>69</v>
      </c>
      <c r="G652" s="26">
        <v>4.0</v>
      </c>
      <c r="H652" s="25" t="s">
        <v>116</v>
      </c>
      <c r="I652" s="25" t="s">
        <v>77</v>
      </c>
      <c r="J652" s="25" t="s">
        <v>318</v>
      </c>
      <c r="K652" s="25" t="s">
        <v>73</v>
      </c>
      <c r="L652" s="25" t="str">
        <f t="shared" si="1"/>
        <v>FAMILIAR</v>
      </c>
      <c r="M652" s="25">
        <f t="shared" si="2"/>
        <v>6</v>
      </c>
      <c r="N652" s="25">
        <f t="shared" si="3"/>
        <v>2023</v>
      </c>
      <c r="O652" s="27" t="str">
        <f>VLOOKUP(K652,'CA y tablas'!$B$22:$C$28,2,FALSE)</f>
        <v>AMERICANO</v>
      </c>
      <c r="P652" s="28" t="str">
        <f t="shared" si="4"/>
        <v>S1</v>
      </c>
      <c r="Q652" s="29">
        <v>2.0</v>
      </c>
      <c r="R652" s="29" t="str">
        <f t="shared" si="5"/>
        <v>Q2</v>
      </c>
    </row>
    <row r="653" ht="15.75" customHeight="1">
      <c r="A653" s="30">
        <v>45100.0</v>
      </c>
      <c r="B653" s="31">
        <v>2.386108141E9</v>
      </c>
      <c r="C653" s="32" t="s">
        <v>656</v>
      </c>
      <c r="D653" s="31">
        <v>1.2598357E7</v>
      </c>
      <c r="E653" s="30">
        <v>45103.0</v>
      </c>
      <c r="F653" s="33" t="s">
        <v>76</v>
      </c>
      <c r="G653" s="34">
        <v>4.0</v>
      </c>
      <c r="H653" s="33" t="s">
        <v>70</v>
      </c>
      <c r="I653" s="33" t="s">
        <v>77</v>
      </c>
      <c r="J653" s="33" t="s">
        <v>318</v>
      </c>
      <c r="K653" s="33" t="s">
        <v>73</v>
      </c>
      <c r="L653" s="33" t="str">
        <f t="shared" si="1"/>
        <v>FAMILIAR</v>
      </c>
      <c r="M653" s="33">
        <f t="shared" si="2"/>
        <v>6</v>
      </c>
      <c r="N653" s="33">
        <f t="shared" si="3"/>
        <v>2023</v>
      </c>
      <c r="O653" s="35" t="str">
        <f>VLOOKUP(K653,'CA y tablas'!$B$22:$C$28,2,FALSE)</f>
        <v>AMERICANO</v>
      </c>
      <c r="P653" s="28" t="str">
        <f t="shared" si="4"/>
        <v>S1</v>
      </c>
      <c r="Q653" s="29">
        <v>2.0</v>
      </c>
      <c r="R653" s="29" t="str">
        <f t="shared" si="5"/>
        <v>Q2</v>
      </c>
    </row>
    <row r="654" ht="15.75" customHeight="1">
      <c r="A654" s="22">
        <v>45100.0</v>
      </c>
      <c r="B654" s="23">
        <v>5.770428381E9</v>
      </c>
      <c r="C654" s="24" t="s">
        <v>657</v>
      </c>
      <c r="D654" s="23">
        <v>3.7500719E7</v>
      </c>
      <c r="E654" s="22">
        <v>45103.0</v>
      </c>
      <c r="F654" s="25" t="s">
        <v>69</v>
      </c>
      <c r="G654" s="26">
        <v>4.0</v>
      </c>
      <c r="H654" s="25" t="s">
        <v>70</v>
      </c>
      <c r="I654" s="25" t="s">
        <v>77</v>
      </c>
      <c r="J654" s="25" t="s">
        <v>93</v>
      </c>
      <c r="K654" s="25" t="s">
        <v>99</v>
      </c>
      <c r="L654" s="25" t="str">
        <f t="shared" si="1"/>
        <v>FAMILIAR</v>
      </c>
      <c r="M654" s="25">
        <f t="shared" si="2"/>
        <v>6</v>
      </c>
      <c r="N654" s="25">
        <f t="shared" si="3"/>
        <v>2023</v>
      </c>
      <c r="O654" s="27" t="str">
        <f>VLOOKUP(K654,'CA y tablas'!$B$22:$C$28,2,FALSE)</f>
        <v>EUROPEO</v>
      </c>
      <c r="P654" s="28" t="str">
        <f t="shared" si="4"/>
        <v>S1</v>
      </c>
      <c r="Q654" s="29">
        <v>2.0</v>
      </c>
      <c r="R654" s="29" t="str">
        <f t="shared" si="5"/>
        <v>Q2</v>
      </c>
    </row>
    <row r="655" ht="15.75" customHeight="1">
      <c r="A655" s="30">
        <v>45100.0</v>
      </c>
      <c r="B655" s="31">
        <v>6.323641984E9</v>
      </c>
      <c r="C655" s="32" t="s">
        <v>658</v>
      </c>
      <c r="D655" s="31">
        <v>2.9133149E7</v>
      </c>
      <c r="E655" s="30">
        <v>45103.0</v>
      </c>
      <c r="F655" s="33" t="s">
        <v>69</v>
      </c>
      <c r="G655" s="34">
        <v>4.0</v>
      </c>
      <c r="H655" s="33" t="s">
        <v>70</v>
      </c>
      <c r="I655" s="33" t="s">
        <v>77</v>
      </c>
      <c r="J655" s="33" t="s">
        <v>93</v>
      </c>
      <c r="K655" s="33" t="s">
        <v>99</v>
      </c>
      <c r="L655" s="33" t="str">
        <f t="shared" si="1"/>
        <v>FAMILIAR</v>
      </c>
      <c r="M655" s="33">
        <f t="shared" si="2"/>
        <v>6</v>
      </c>
      <c r="N655" s="33">
        <f t="shared" si="3"/>
        <v>2023</v>
      </c>
      <c r="O655" s="35" t="str">
        <f>VLOOKUP(K655,'CA y tablas'!$B$22:$C$28,2,FALSE)</f>
        <v>EUROPEO</v>
      </c>
      <c r="P655" s="28" t="str">
        <f t="shared" si="4"/>
        <v>S1</v>
      </c>
      <c r="Q655" s="29">
        <v>2.0</v>
      </c>
      <c r="R655" s="29" t="str">
        <f t="shared" si="5"/>
        <v>Q2</v>
      </c>
    </row>
    <row r="656" ht="15.75" customHeight="1">
      <c r="A656" s="22">
        <v>45086.0</v>
      </c>
      <c r="B656" s="23">
        <v>4.132479783E9</v>
      </c>
      <c r="C656" s="24" t="s">
        <v>659</v>
      </c>
      <c r="D656" s="23">
        <v>2.0334932E7</v>
      </c>
      <c r="E656" s="22">
        <v>45104.0</v>
      </c>
      <c r="F656" s="25" t="s">
        <v>69</v>
      </c>
      <c r="G656" s="26">
        <v>1.0</v>
      </c>
      <c r="H656" s="25" t="s">
        <v>70</v>
      </c>
      <c r="I656" s="25" t="s">
        <v>77</v>
      </c>
      <c r="J656" s="25" t="s">
        <v>93</v>
      </c>
      <c r="K656" s="25" t="s">
        <v>99</v>
      </c>
      <c r="L656" s="25" t="str">
        <f t="shared" si="1"/>
        <v>INDIVIDUAL</v>
      </c>
      <c r="M656" s="25">
        <f t="shared" si="2"/>
        <v>6</v>
      </c>
      <c r="N656" s="25">
        <f t="shared" si="3"/>
        <v>2023</v>
      </c>
      <c r="O656" s="27" t="str">
        <f>VLOOKUP(K656,'CA y tablas'!$B$22:$C$28,2,FALSE)</f>
        <v>EUROPEO</v>
      </c>
      <c r="P656" s="28" t="str">
        <f t="shared" si="4"/>
        <v>S1</v>
      </c>
      <c r="Q656" s="29">
        <v>2.0</v>
      </c>
      <c r="R656" s="29" t="str">
        <f t="shared" si="5"/>
        <v>Q2</v>
      </c>
    </row>
    <row r="657" ht="15.75" customHeight="1">
      <c r="A657" s="30">
        <v>45090.0</v>
      </c>
      <c r="B657" s="31">
        <v>9.730677515E9</v>
      </c>
      <c r="C657" s="32" t="s">
        <v>660</v>
      </c>
      <c r="D657" s="31"/>
      <c r="E657" s="30">
        <v>45104.0</v>
      </c>
      <c r="F657" s="33" t="s">
        <v>69</v>
      </c>
      <c r="G657" s="34">
        <v>4.0</v>
      </c>
      <c r="H657" s="33" t="s">
        <v>70</v>
      </c>
      <c r="I657" s="33" t="s">
        <v>77</v>
      </c>
      <c r="J657" s="33" t="s">
        <v>83</v>
      </c>
      <c r="K657" s="33" t="s">
        <v>99</v>
      </c>
      <c r="L657" s="33" t="str">
        <f t="shared" si="1"/>
        <v>FAMILIAR</v>
      </c>
      <c r="M657" s="33">
        <f t="shared" si="2"/>
        <v>6</v>
      </c>
      <c r="N657" s="33">
        <f t="shared" si="3"/>
        <v>2023</v>
      </c>
      <c r="O657" s="35" t="str">
        <f>VLOOKUP(K657,'CA y tablas'!$B$22:$C$28,2,FALSE)</f>
        <v>EUROPEO</v>
      </c>
      <c r="P657" s="28" t="str">
        <f t="shared" si="4"/>
        <v>S1</v>
      </c>
      <c r="Q657" s="29">
        <v>2.0</v>
      </c>
      <c r="R657" s="29" t="str">
        <f t="shared" si="5"/>
        <v>Q2</v>
      </c>
    </row>
    <row r="658" ht="15.75" customHeight="1">
      <c r="A658" s="22">
        <v>45100.0</v>
      </c>
      <c r="B658" s="23">
        <v>1.570086615E9</v>
      </c>
      <c r="C658" s="24" t="s">
        <v>661</v>
      </c>
      <c r="D658" s="23">
        <v>3.5029694E7</v>
      </c>
      <c r="E658" s="22">
        <v>45104.0</v>
      </c>
      <c r="F658" s="25" t="s">
        <v>76</v>
      </c>
      <c r="G658" s="26">
        <v>2.0</v>
      </c>
      <c r="H658" s="25" t="s">
        <v>70</v>
      </c>
      <c r="I658" s="25" t="s">
        <v>77</v>
      </c>
      <c r="J658" s="25" t="s">
        <v>83</v>
      </c>
      <c r="K658" s="25" t="s">
        <v>99</v>
      </c>
      <c r="L658" s="25" t="str">
        <f t="shared" si="1"/>
        <v>FAMILIAR</v>
      </c>
      <c r="M658" s="25">
        <f t="shared" si="2"/>
        <v>6</v>
      </c>
      <c r="N658" s="25">
        <f t="shared" si="3"/>
        <v>2023</v>
      </c>
      <c r="O658" s="27" t="str">
        <f>VLOOKUP(K658,'CA y tablas'!$B$22:$C$28,2,FALSE)</f>
        <v>EUROPEO</v>
      </c>
      <c r="P658" s="28" t="str">
        <f t="shared" si="4"/>
        <v>S1</v>
      </c>
      <c r="Q658" s="29">
        <v>2.0</v>
      </c>
      <c r="R658" s="29" t="str">
        <f t="shared" si="5"/>
        <v>Q2</v>
      </c>
    </row>
    <row r="659" ht="15.75" customHeight="1">
      <c r="A659" s="30">
        <v>45100.0</v>
      </c>
      <c r="B659" s="31">
        <v>2.514086632E9</v>
      </c>
      <c r="C659" s="32" t="s">
        <v>662</v>
      </c>
      <c r="D659" s="31">
        <v>2.6799818E7</v>
      </c>
      <c r="E659" s="30">
        <v>45104.0</v>
      </c>
      <c r="F659" s="33" t="s">
        <v>76</v>
      </c>
      <c r="G659" s="34">
        <v>2.0</v>
      </c>
      <c r="H659" s="33" t="s">
        <v>70</v>
      </c>
      <c r="I659" s="33" t="s">
        <v>71</v>
      </c>
      <c r="J659" s="33" t="s">
        <v>83</v>
      </c>
      <c r="K659" s="33" t="s">
        <v>99</v>
      </c>
      <c r="L659" s="33" t="str">
        <f t="shared" si="1"/>
        <v>FAMILIAR</v>
      </c>
      <c r="M659" s="33">
        <f t="shared" si="2"/>
        <v>6</v>
      </c>
      <c r="N659" s="33">
        <f t="shared" si="3"/>
        <v>2023</v>
      </c>
      <c r="O659" s="35" t="str">
        <f>VLOOKUP(K659,'CA y tablas'!$B$22:$C$28,2,FALSE)</f>
        <v>EUROPEO</v>
      </c>
      <c r="P659" s="28" t="str">
        <f t="shared" si="4"/>
        <v>S1</v>
      </c>
      <c r="Q659" s="29">
        <v>2.0</v>
      </c>
      <c r="R659" s="29" t="str">
        <f t="shared" si="5"/>
        <v>Q2</v>
      </c>
    </row>
    <row r="660" ht="15.75" customHeight="1">
      <c r="A660" s="22">
        <v>45100.0</v>
      </c>
      <c r="B660" s="23">
        <v>3.30755824E9</v>
      </c>
      <c r="C660" s="24" t="s">
        <v>663</v>
      </c>
      <c r="D660" s="23">
        <v>3.978155E7</v>
      </c>
      <c r="E660" s="22">
        <v>45104.0</v>
      </c>
      <c r="F660" s="25" t="s">
        <v>76</v>
      </c>
      <c r="G660" s="26">
        <v>1.0</v>
      </c>
      <c r="H660" s="25" t="s">
        <v>92</v>
      </c>
      <c r="I660" s="25" t="s">
        <v>71</v>
      </c>
      <c r="J660" s="25" t="s">
        <v>83</v>
      </c>
      <c r="K660" s="25" t="s">
        <v>107</v>
      </c>
      <c r="L660" s="25" t="str">
        <f t="shared" si="1"/>
        <v>INDIVIDUAL</v>
      </c>
      <c r="M660" s="25">
        <f t="shared" si="2"/>
        <v>6</v>
      </c>
      <c r="N660" s="25">
        <f t="shared" si="3"/>
        <v>2023</v>
      </c>
      <c r="O660" s="27" t="str">
        <f>VLOOKUP(K660,'CA y tablas'!$B$22:$C$28,2,FALSE)</f>
        <v>AMERICANO</v>
      </c>
      <c r="P660" s="28" t="str">
        <f t="shared" si="4"/>
        <v>S1</v>
      </c>
      <c r="Q660" s="29">
        <v>2.0</v>
      </c>
      <c r="R660" s="29" t="str">
        <f t="shared" si="5"/>
        <v>Q2</v>
      </c>
    </row>
    <row r="661" ht="15.75" customHeight="1">
      <c r="A661" s="30">
        <v>45100.0</v>
      </c>
      <c r="B661" s="31">
        <v>2.386080115E9</v>
      </c>
      <c r="C661" s="32" t="s">
        <v>663</v>
      </c>
      <c r="D661" s="31">
        <v>3.978155E7</v>
      </c>
      <c r="E661" s="30">
        <v>45104.0</v>
      </c>
      <c r="F661" s="33" t="s">
        <v>76</v>
      </c>
      <c r="G661" s="34">
        <v>2.0</v>
      </c>
      <c r="H661" s="33" t="s">
        <v>92</v>
      </c>
      <c r="I661" s="33" t="s">
        <v>71</v>
      </c>
      <c r="J661" s="33" t="s">
        <v>83</v>
      </c>
      <c r="K661" s="33" t="s">
        <v>107</v>
      </c>
      <c r="L661" s="33" t="str">
        <f t="shared" si="1"/>
        <v>FAMILIAR</v>
      </c>
      <c r="M661" s="33">
        <f t="shared" si="2"/>
        <v>6</v>
      </c>
      <c r="N661" s="33">
        <f t="shared" si="3"/>
        <v>2023</v>
      </c>
      <c r="O661" s="35" t="str">
        <f>VLOOKUP(K661,'CA y tablas'!$B$22:$C$28,2,FALSE)</f>
        <v>AMERICANO</v>
      </c>
      <c r="P661" s="28" t="str">
        <f t="shared" si="4"/>
        <v>S1</v>
      </c>
      <c r="Q661" s="29">
        <v>2.0</v>
      </c>
      <c r="R661" s="29" t="str">
        <f t="shared" si="5"/>
        <v>Q2</v>
      </c>
    </row>
    <row r="662" ht="15.75" customHeight="1">
      <c r="A662" s="22">
        <v>45100.0</v>
      </c>
      <c r="B662" s="23">
        <v>4.102673116E9</v>
      </c>
      <c r="C662" s="24" t="s">
        <v>664</v>
      </c>
      <c r="D662" s="23">
        <v>4.0216219E7</v>
      </c>
      <c r="E662" s="22">
        <v>45104.0</v>
      </c>
      <c r="F662" s="25" t="s">
        <v>69</v>
      </c>
      <c r="G662" s="26">
        <v>2.0</v>
      </c>
      <c r="H662" s="25" t="s">
        <v>92</v>
      </c>
      <c r="I662" s="25" t="s">
        <v>71</v>
      </c>
      <c r="J662" s="25" t="s">
        <v>83</v>
      </c>
      <c r="K662" s="25" t="s">
        <v>107</v>
      </c>
      <c r="L662" s="25" t="str">
        <f t="shared" si="1"/>
        <v>FAMILIAR</v>
      </c>
      <c r="M662" s="25">
        <f t="shared" si="2"/>
        <v>6</v>
      </c>
      <c r="N662" s="25">
        <f t="shared" si="3"/>
        <v>2023</v>
      </c>
      <c r="O662" s="27" t="str">
        <f>VLOOKUP(K662,'CA y tablas'!$B$22:$C$28,2,FALSE)</f>
        <v>AMERICANO</v>
      </c>
      <c r="P662" s="28" t="str">
        <f t="shared" si="4"/>
        <v>S1</v>
      </c>
      <c r="Q662" s="29">
        <v>2.0</v>
      </c>
      <c r="R662" s="29" t="str">
        <f t="shared" si="5"/>
        <v>Q2</v>
      </c>
    </row>
    <row r="663" ht="15.75" customHeight="1">
      <c r="A663" s="30">
        <v>45104.0</v>
      </c>
      <c r="B663" s="31">
        <v>4.588094722E9</v>
      </c>
      <c r="C663" s="32" t="s">
        <v>665</v>
      </c>
      <c r="D663" s="31">
        <v>3.1426103E7</v>
      </c>
      <c r="E663" s="30">
        <v>45104.0</v>
      </c>
      <c r="F663" s="33" t="s">
        <v>69</v>
      </c>
      <c r="G663" s="34">
        <v>1.0</v>
      </c>
      <c r="H663" s="33" t="s">
        <v>92</v>
      </c>
      <c r="I663" s="33" t="s">
        <v>71</v>
      </c>
      <c r="J663" s="33" t="s">
        <v>83</v>
      </c>
      <c r="K663" s="33" t="s">
        <v>107</v>
      </c>
      <c r="L663" s="33" t="str">
        <f t="shared" si="1"/>
        <v>INDIVIDUAL</v>
      </c>
      <c r="M663" s="33">
        <f t="shared" si="2"/>
        <v>6</v>
      </c>
      <c r="N663" s="33">
        <f t="shared" si="3"/>
        <v>2023</v>
      </c>
      <c r="O663" s="35" t="str">
        <f>VLOOKUP(K663,'CA y tablas'!$B$22:$C$28,2,FALSE)</f>
        <v>AMERICANO</v>
      </c>
      <c r="P663" s="28" t="str">
        <f t="shared" si="4"/>
        <v>S1</v>
      </c>
      <c r="Q663" s="29">
        <v>2.0</v>
      </c>
      <c r="R663" s="29" t="str">
        <f t="shared" si="5"/>
        <v>Q2</v>
      </c>
    </row>
    <row r="664" ht="15.75" customHeight="1">
      <c r="A664" s="22">
        <v>45090.0</v>
      </c>
      <c r="B664" s="23">
        <v>3.1529183E9</v>
      </c>
      <c r="C664" s="24" t="s">
        <v>666</v>
      </c>
      <c r="D664" s="23">
        <v>1.8020813E7</v>
      </c>
      <c r="E664" s="22">
        <v>45105.0</v>
      </c>
      <c r="F664" s="25" t="s">
        <v>69</v>
      </c>
      <c r="G664" s="26">
        <v>1.0</v>
      </c>
      <c r="H664" s="25" t="s">
        <v>92</v>
      </c>
      <c r="I664" s="25" t="s">
        <v>71</v>
      </c>
      <c r="J664" s="25" t="s">
        <v>83</v>
      </c>
      <c r="K664" s="25" t="s">
        <v>107</v>
      </c>
      <c r="L664" s="25" t="str">
        <f t="shared" si="1"/>
        <v>INDIVIDUAL</v>
      </c>
      <c r="M664" s="25">
        <f t="shared" si="2"/>
        <v>6</v>
      </c>
      <c r="N664" s="25">
        <f t="shared" si="3"/>
        <v>2023</v>
      </c>
      <c r="O664" s="27" t="str">
        <f>VLOOKUP(K664,'CA y tablas'!$B$22:$C$28,2,FALSE)</f>
        <v>AMERICANO</v>
      </c>
      <c r="P664" s="28" t="str">
        <f t="shared" si="4"/>
        <v>S1</v>
      </c>
      <c r="Q664" s="29">
        <v>2.0</v>
      </c>
      <c r="R664" s="29" t="str">
        <f t="shared" si="5"/>
        <v>Q2</v>
      </c>
    </row>
    <row r="665" ht="15.75" customHeight="1">
      <c r="A665" s="30">
        <v>45100.0</v>
      </c>
      <c r="B665" s="31">
        <v>6.323557925E9</v>
      </c>
      <c r="C665" s="32" t="s">
        <v>667</v>
      </c>
      <c r="D665" s="31">
        <v>3.2459203E7</v>
      </c>
      <c r="E665" s="30">
        <v>45105.0</v>
      </c>
      <c r="F665" s="33" t="s">
        <v>69</v>
      </c>
      <c r="G665" s="34">
        <v>1.0</v>
      </c>
      <c r="H665" s="33" t="s">
        <v>106</v>
      </c>
      <c r="I665" s="33" t="s">
        <v>71</v>
      </c>
      <c r="J665" s="33" t="s">
        <v>83</v>
      </c>
      <c r="K665" s="33" t="s">
        <v>107</v>
      </c>
      <c r="L665" s="33" t="str">
        <f t="shared" si="1"/>
        <v>INDIVIDUAL</v>
      </c>
      <c r="M665" s="33">
        <f t="shared" si="2"/>
        <v>6</v>
      </c>
      <c r="N665" s="33">
        <f t="shared" si="3"/>
        <v>2023</v>
      </c>
      <c r="O665" s="35" t="str">
        <f>VLOOKUP(K665,'CA y tablas'!$B$22:$C$28,2,FALSE)</f>
        <v>AMERICANO</v>
      </c>
      <c r="P665" s="28" t="str">
        <f t="shared" si="4"/>
        <v>S1</v>
      </c>
      <c r="Q665" s="29">
        <v>2.0</v>
      </c>
      <c r="R665" s="29" t="str">
        <f t="shared" si="5"/>
        <v>Q2</v>
      </c>
    </row>
    <row r="666" ht="15.75" customHeight="1">
      <c r="A666" s="22">
        <v>45104.0</v>
      </c>
      <c r="B666" s="23">
        <v>9.557279653E9</v>
      </c>
      <c r="C666" s="24" t="s">
        <v>668</v>
      </c>
      <c r="D666" s="23">
        <v>3.3884279E7</v>
      </c>
      <c r="E666" s="22">
        <v>45105.0</v>
      </c>
      <c r="F666" s="25" t="s">
        <v>76</v>
      </c>
      <c r="G666" s="26">
        <v>1.0</v>
      </c>
      <c r="H666" s="25" t="s">
        <v>106</v>
      </c>
      <c r="I666" s="25" t="s">
        <v>71</v>
      </c>
      <c r="J666" s="25" t="s">
        <v>83</v>
      </c>
      <c r="K666" s="25" t="s">
        <v>217</v>
      </c>
      <c r="L666" s="25" t="str">
        <f t="shared" si="1"/>
        <v>INDIVIDUAL</v>
      </c>
      <c r="M666" s="25">
        <f t="shared" si="2"/>
        <v>6</v>
      </c>
      <c r="N666" s="25">
        <f t="shared" si="3"/>
        <v>2023</v>
      </c>
      <c r="O666" s="27" t="str">
        <f>VLOOKUP(K666,'CA y tablas'!$B$22:$C$28,2,FALSE)</f>
        <v>ASIATICO</v>
      </c>
      <c r="P666" s="28" t="str">
        <f t="shared" si="4"/>
        <v>S1</v>
      </c>
      <c r="Q666" s="29">
        <v>2.0</v>
      </c>
      <c r="R666" s="29" t="str">
        <f t="shared" si="5"/>
        <v>Q2</v>
      </c>
    </row>
    <row r="667" ht="15.75" customHeight="1">
      <c r="A667" s="30">
        <v>45099.0</v>
      </c>
      <c r="B667" s="31">
        <v>1.155590936E9</v>
      </c>
      <c r="C667" s="32" t="s">
        <v>669</v>
      </c>
      <c r="D667" s="31">
        <v>1.7494392E7</v>
      </c>
      <c r="E667" s="30">
        <v>45106.0</v>
      </c>
      <c r="F667" s="33" t="s">
        <v>69</v>
      </c>
      <c r="G667" s="34">
        <v>1.0</v>
      </c>
      <c r="H667" s="33" t="s">
        <v>106</v>
      </c>
      <c r="I667" s="33" t="s">
        <v>71</v>
      </c>
      <c r="J667" s="33" t="s">
        <v>83</v>
      </c>
      <c r="K667" s="33" t="s">
        <v>217</v>
      </c>
      <c r="L667" s="33" t="str">
        <f t="shared" si="1"/>
        <v>INDIVIDUAL</v>
      </c>
      <c r="M667" s="33">
        <f t="shared" si="2"/>
        <v>6</v>
      </c>
      <c r="N667" s="33">
        <f t="shared" si="3"/>
        <v>2023</v>
      </c>
      <c r="O667" s="35" t="str">
        <f>VLOOKUP(K667,'CA y tablas'!$B$22:$C$28,2,FALSE)</f>
        <v>ASIATICO</v>
      </c>
      <c r="P667" s="28" t="str">
        <f t="shared" si="4"/>
        <v>S1</v>
      </c>
      <c r="Q667" s="29">
        <v>2.0</v>
      </c>
      <c r="R667" s="29" t="str">
        <f t="shared" si="5"/>
        <v>Q2</v>
      </c>
    </row>
    <row r="668" ht="15.75" customHeight="1">
      <c r="A668" s="22">
        <v>45100.0</v>
      </c>
      <c r="B668" s="23">
        <v>2.386103764E9</v>
      </c>
      <c r="C668" s="24" t="s">
        <v>670</v>
      </c>
      <c r="D668" s="23">
        <v>3.1323613E7</v>
      </c>
      <c r="E668" s="22">
        <v>45106.0</v>
      </c>
      <c r="F668" s="25" t="s">
        <v>69</v>
      </c>
      <c r="G668" s="26">
        <v>1.0</v>
      </c>
      <c r="H668" s="25" t="s">
        <v>106</v>
      </c>
      <c r="I668" s="25" t="s">
        <v>71</v>
      </c>
      <c r="J668" s="25" t="s">
        <v>83</v>
      </c>
      <c r="K668" s="25" t="s">
        <v>217</v>
      </c>
      <c r="L668" s="25" t="str">
        <f t="shared" si="1"/>
        <v>INDIVIDUAL</v>
      </c>
      <c r="M668" s="25">
        <f t="shared" si="2"/>
        <v>6</v>
      </c>
      <c r="N668" s="25">
        <f t="shared" si="3"/>
        <v>2023</v>
      </c>
      <c r="O668" s="27" t="str">
        <f>VLOOKUP(K668,'CA y tablas'!$B$22:$C$28,2,FALSE)</f>
        <v>ASIATICO</v>
      </c>
      <c r="P668" s="28" t="str">
        <f t="shared" si="4"/>
        <v>S1</v>
      </c>
      <c r="Q668" s="29">
        <v>2.0</v>
      </c>
      <c r="R668" s="29" t="str">
        <f t="shared" si="5"/>
        <v>Q2</v>
      </c>
    </row>
    <row r="669" ht="15.75" customHeight="1">
      <c r="A669" s="30">
        <v>45100.0</v>
      </c>
      <c r="B669" s="31">
        <v>3.041346151E9</v>
      </c>
      <c r="C669" s="32" t="s">
        <v>671</v>
      </c>
      <c r="D669" s="31">
        <v>3.8247892E7</v>
      </c>
      <c r="E669" s="30">
        <v>45106.0</v>
      </c>
      <c r="F669" s="33" t="s">
        <v>69</v>
      </c>
      <c r="G669" s="34">
        <v>2.0</v>
      </c>
      <c r="H669" s="33" t="s">
        <v>81</v>
      </c>
      <c r="I669" s="33" t="s">
        <v>88</v>
      </c>
      <c r="J669" s="33" t="s">
        <v>83</v>
      </c>
      <c r="K669" s="33" t="s">
        <v>84</v>
      </c>
      <c r="L669" s="33" t="str">
        <f t="shared" si="1"/>
        <v>FAMILIAR</v>
      </c>
      <c r="M669" s="33">
        <f t="shared" si="2"/>
        <v>6</v>
      </c>
      <c r="N669" s="33">
        <f t="shared" si="3"/>
        <v>2023</v>
      </c>
      <c r="O669" s="35" t="str">
        <f>VLOOKUP(K669,'CA y tablas'!$B$22:$C$28,2,FALSE)</f>
        <v>EUROPEO</v>
      </c>
      <c r="P669" s="28" t="str">
        <f t="shared" si="4"/>
        <v>S1</v>
      </c>
      <c r="Q669" s="29">
        <v>2.0</v>
      </c>
      <c r="R669" s="29" t="str">
        <f t="shared" si="5"/>
        <v>Q2</v>
      </c>
    </row>
    <row r="670" ht="15.75" customHeight="1">
      <c r="A670" s="22">
        <v>45104.0</v>
      </c>
      <c r="B670" s="23">
        <v>2.07306848E9</v>
      </c>
      <c r="C670" s="24" t="s">
        <v>672</v>
      </c>
      <c r="D670" s="23">
        <v>2.9532687E7</v>
      </c>
      <c r="E670" s="22">
        <v>45106.0</v>
      </c>
      <c r="F670" s="25" t="s">
        <v>69</v>
      </c>
      <c r="G670" s="26">
        <v>2.0</v>
      </c>
      <c r="H670" s="25" t="s">
        <v>81</v>
      </c>
      <c r="I670" s="25" t="s">
        <v>88</v>
      </c>
      <c r="J670" s="25" t="s">
        <v>98</v>
      </c>
      <c r="K670" s="25" t="s">
        <v>84</v>
      </c>
      <c r="L670" s="25" t="str">
        <f t="shared" si="1"/>
        <v>FAMILIAR</v>
      </c>
      <c r="M670" s="25">
        <f t="shared" si="2"/>
        <v>6</v>
      </c>
      <c r="N670" s="25">
        <f t="shared" si="3"/>
        <v>2023</v>
      </c>
      <c r="O670" s="27" t="str">
        <f>VLOOKUP(K670,'CA y tablas'!$B$22:$C$28,2,FALSE)</f>
        <v>EUROPEO</v>
      </c>
      <c r="P670" s="28" t="str">
        <f t="shared" si="4"/>
        <v>S1</v>
      </c>
      <c r="Q670" s="29">
        <v>2.0</v>
      </c>
      <c r="R670" s="29" t="str">
        <f t="shared" si="5"/>
        <v>Q2</v>
      </c>
    </row>
    <row r="671" ht="15.75" customHeight="1">
      <c r="A671" s="30">
        <v>45105.0</v>
      </c>
      <c r="B671" s="31">
        <v>4.729498631E9</v>
      </c>
      <c r="C671" s="32" t="s">
        <v>673</v>
      </c>
      <c r="D671" s="31">
        <v>3.8745447E7</v>
      </c>
      <c r="E671" s="30">
        <v>45106.0</v>
      </c>
      <c r="F671" s="33" t="s">
        <v>69</v>
      </c>
      <c r="G671" s="34">
        <v>3.0</v>
      </c>
      <c r="H671" s="33" t="s">
        <v>81</v>
      </c>
      <c r="I671" s="33" t="s">
        <v>88</v>
      </c>
      <c r="J671" s="33" t="s">
        <v>98</v>
      </c>
      <c r="K671" s="33" t="s">
        <v>84</v>
      </c>
      <c r="L671" s="33" t="str">
        <f t="shared" si="1"/>
        <v>FAMILIAR</v>
      </c>
      <c r="M671" s="33">
        <f t="shared" si="2"/>
        <v>6</v>
      </c>
      <c r="N671" s="33">
        <f t="shared" si="3"/>
        <v>2023</v>
      </c>
      <c r="O671" s="35" t="str">
        <f>VLOOKUP(K671,'CA y tablas'!$B$22:$C$28,2,FALSE)</f>
        <v>EUROPEO</v>
      </c>
      <c r="P671" s="28" t="str">
        <f t="shared" si="4"/>
        <v>S1</v>
      </c>
      <c r="Q671" s="29">
        <v>2.0</v>
      </c>
      <c r="R671" s="29" t="str">
        <f t="shared" si="5"/>
        <v>Q2</v>
      </c>
    </row>
    <row r="672" ht="15.75" customHeight="1">
      <c r="A672" s="22">
        <v>45079.0</v>
      </c>
      <c r="B672" s="23">
        <v>4.221063184E9</v>
      </c>
      <c r="C672" s="24" t="s">
        <v>674</v>
      </c>
      <c r="D672" s="23">
        <v>2.2450129E7</v>
      </c>
      <c r="E672" s="22">
        <v>45107.0</v>
      </c>
      <c r="F672" s="25" t="s">
        <v>69</v>
      </c>
      <c r="G672" s="26">
        <v>3.0</v>
      </c>
      <c r="H672" s="25" t="s">
        <v>81</v>
      </c>
      <c r="I672" s="25" t="s">
        <v>88</v>
      </c>
      <c r="J672" s="25" t="s">
        <v>98</v>
      </c>
      <c r="K672" s="25" t="s">
        <v>84</v>
      </c>
      <c r="L672" s="25" t="str">
        <f t="shared" si="1"/>
        <v>FAMILIAR</v>
      </c>
      <c r="M672" s="25">
        <f t="shared" si="2"/>
        <v>6</v>
      </c>
      <c r="N672" s="25">
        <f t="shared" si="3"/>
        <v>2023</v>
      </c>
      <c r="O672" s="27" t="str">
        <f>VLOOKUP(K672,'CA y tablas'!$B$22:$C$28,2,FALSE)</f>
        <v>EUROPEO</v>
      </c>
      <c r="P672" s="28" t="str">
        <f t="shared" si="4"/>
        <v>S1</v>
      </c>
      <c r="Q672" s="29">
        <v>2.0</v>
      </c>
      <c r="R672" s="29" t="str">
        <f t="shared" si="5"/>
        <v>Q2</v>
      </c>
    </row>
    <row r="673" ht="15.75" customHeight="1">
      <c r="A673" s="30">
        <v>45086.0</v>
      </c>
      <c r="B673" s="31">
        <v>9.769146365E9</v>
      </c>
      <c r="C673" s="32" t="s">
        <v>675</v>
      </c>
      <c r="D673" s="31">
        <v>1.6314829E7</v>
      </c>
      <c r="E673" s="30">
        <v>45107.0</v>
      </c>
      <c r="F673" s="33" t="s">
        <v>76</v>
      </c>
      <c r="G673" s="34">
        <v>1.0</v>
      </c>
      <c r="H673" s="33" t="s">
        <v>81</v>
      </c>
      <c r="I673" s="33" t="s">
        <v>88</v>
      </c>
      <c r="J673" s="33" t="s">
        <v>98</v>
      </c>
      <c r="K673" s="33" t="s">
        <v>84</v>
      </c>
      <c r="L673" s="33" t="str">
        <f t="shared" si="1"/>
        <v>INDIVIDUAL</v>
      </c>
      <c r="M673" s="33">
        <f t="shared" si="2"/>
        <v>6</v>
      </c>
      <c r="N673" s="33">
        <f t="shared" si="3"/>
        <v>2023</v>
      </c>
      <c r="O673" s="35" t="str">
        <f>VLOOKUP(K673,'CA y tablas'!$B$22:$C$28,2,FALSE)</f>
        <v>EUROPEO</v>
      </c>
      <c r="P673" s="28" t="str">
        <f t="shared" si="4"/>
        <v>S1</v>
      </c>
      <c r="Q673" s="29">
        <v>2.0</v>
      </c>
      <c r="R673" s="29" t="str">
        <f t="shared" si="5"/>
        <v>Q2</v>
      </c>
    </row>
    <row r="674" ht="15.75" customHeight="1">
      <c r="A674" s="22">
        <v>45090.0</v>
      </c>
      <c r="B674" s="23">
        <v>9.730684191E9</v>
      </c>
      <c r="C674" s="24" t="s">
        <v>675</v>
      </c>
      <c r="D674" s="23">
        <v>1.6314829E7</v>
      </c>
      <c r="E674" s="22">
        <v>45107.0</v>
      </c>
      <c r="F674" s="25" t="s">
        <v>69</v>
      </c>
      <c r="G674" s="26">
        <v>3.0</v>
      </c>
      <c r="H674" s="25" t="s">
        <v>116</v>
      </c>
      <c r="I674" s="25" t="s">
        <v>88</v>
      </c>
      <c r="J674" s="25" t="s">
        <v>98</v>
      </c>
      <c r="K674" s="25" t="s">
        <v>84</v>
      </c>
      <c r="L674" s="25" t="str">
        <f t="shared" si="1"/>
        <v>FAMILIAR</v>
      </c>
      <c r="M674" s="25">
        <f t="shared" si="2"/>
        <v>6</v>
      </c>
      <c r="N674" s="25">
        <f t="shared" si="3"/>
        <v>2023</v>
      </c>
      <c r="O674" s="27" t="str">
        <f>VLOOKUP(K674,'CA y tablas'!$B$22:$C$28,2,FALSE)</f>
        <v>EUROPEO</v>
      </c>
      <c r="P674" s="28" t="str">
        <f t="shared" si="4"/>
        <v>S1</v>
      </c>
      <c r="Q674" s="29">
        <v>2.0</v>
      </c>
      <c r="R674" s="29" t="str">
        <f t="shared" si="5"/>
        <v>Q2</v>
      </c>
    </row>
    <row r="675" ht="15.75" customHeight="1">
      <c r="A675" s="30">
        <v>45099.0</v>
      </c>
      <c r="B675" s="31">
        <v>2.61953335E9</v>
      </c>
      <c r="C675" s="32" t="s">
        <v>676</v>
      </c>
      <c r="D675" s="31">
        <v>8095376.0</v>
      </c>
      <c r="E675" s="30">
        <v>45107.0</v>
      </c>
      <c r="F675" s="33" t="s">
        <v>76</v>
      </c>
      <c r="G675" s="34">
        <v>3.0</v>
      </c>
      <c r="H675" s="33" t="s">
        <v>116</v>
      </c>
      <c r="I675" s="33" t="s">
        <v>88</v>
      </c>
      <c r="J675" s="33" t="s">
        <v>98</v>
      </c>
      <c r="K675" s="33" t="s">
        <v>84</v>
      </c>
      <c r="L675" s="33" t="str">
        <f t="shared" si="1"/>
        <v>FAMILIAR</v>
      </c>
      <c r="M675" s="33">
        <f t="shared" si="2"/>
        <v>6</v>
      </c>
      <c r="N675" s="33">
        <f t="shared" si="3"/>
        <v>2023</v>
      </c>
      <c r="O675" s="35" t="str">
        <f>VLOOKUP(K675,'CA y tablas'!$B$22:$C$28,2,FALSE)</f>
        <v>EUROPEO</v>
      </c>
      <c r="P675" s="28" t="str">
        <f t="shared" si="4"/>
        <v>S1</v>
      </c>
      <c r="Q675" s="29">
        <v>2.0</v>
      </c>
      <c r="R675" s="29" t="str">
        <f t="shared" si="5"/>
        <v>Q2</v>
      </c>
    </row>
    <row r="676" ht="15.75" customHeight="1">
      <c r="A676" s="22">
        <v>45104.0</v>
      </c>
      <c r="B676" s="23">
        <v>4.588083765E9</v>
      </c>
      <c r="C676" s="24" t="s">
        <v>677</v>
      </c>
      <c r="D676" s="23">
        <v>1.7924148E7</v>
      </c>
      <c r="E676" s="22">
        <v>45107.0</v>
      </c>
      <c r="F676" s="25" t="s">
        <v>69</v>
      </c>
      <c r="G676" s="26">
        <v>3.0</v>
      </c>
      <c r="H676" s="25" t="s">
        <v>116</v>
      </c>
      <c r="I676" s="25" t="s">
        <v>77</v>
      </c>
      <c r="J676" s="25" t="s">
        <v>98</v>
      </c>
      <c r="K676" s="25" t="s">
        <v>90</v>
      </c>
      <c r="L676" s="25" t="str">
        <f t="shared" si="1"/>
        <v>FAMILIAR</v>
      </c>
      <c r="M676" s="25">
        <f t="shared" si="2"/>
        <v>6</v>
      </c>
      <c r="N676" s="25">
        <f t="shared" si="3"/>
        <v>2023</v>
      </c>
      <c r="O676" s="27" t="str">
        <f>VLOOKUP(K676,'CA y tablas'!$B$22:$C$28,2,FALSE)</f>
        <v>EUROPEO</v>
      </c>
      <c r="P676" s="28" t="str">
        <f t="shared" si="4"/>
        <v>S1</v>
      </c>
      <c r="Q676" s="29">
        <v>2.0</v>
      </c>
      <c r="R676" s="29" t="str">
        <f t="shared" si="5"/>
        <v>Q2</v>
      </c>
    </row>
    <row r="677" ht="15.75" customHeight="1">
      <c r="A677" s="30">
        <v>45104.0</v>
      </c>
      <c r="B677" s="31">
        <v>1.768877666E9</v>
      </c>
      <c r="C677" s="32" t="s">
        <v>678</v>
      </c>
      <c r="D677" s="31">
        <v>4.2500317E7</v>
      </c>
      <c r="E677" s="30">
        <v>45107.0</v>
      </c>
      <c r="F677" s="33" t="s">
        <v>69</v>
      </c>
      <c r="G677" s="34">
        <v>4.0</v>
      </c>
      <c r="H677" s="33" t="s">
        <v>116</v>
      </c>
      <c r="I677" s="33" t="s">
        <v>77</v>
      </c>
      <c r="J677" s="33" t="s">
        <v>98</v>
      </c>
      <c r="K677" s="33" t="s">
        <v>90</v>
      </c>
      <c r="L677" s="33" t="str">
        <f t="shared" si="1"/>
        <v>FAMILIAR</v>
      </c>
      <c r="M677" s="33">
        <f t="shared" si="2"/>
        <v>6</v>
      </c>
      <c r="N677" s="33">
        <f t="shared" si="3"/>
        <v>2023</v>
      </c>
      <c r="O677" s="35" t="str">
        <f>VLOOKUP(K677,'CA y tablas'!$B$22:$C$28,2,FALSE)</f>
        <v>EUROPEO</v>
      </c>
      <c r="P677" s="28" t="str">
        <f t="shared" si="4"/>
        <v>S1</v>
      </c>
      <c r="Q677" s="29">
        <v>2.0</v>
      </c>
      <c r="R677" s="29" t="str">
        <f t="shared" si="5"/>
        <v>Q2</v>
      </c>
    </row>
    <row r="678" ht="15.75" customHeight="1">
      <c r="A678" s="22">
        <v>45104.0</v>
      </c>
      <c r="B678" s="23">
        <v>4.588094501E9</v>
      </c>
      <c r="C678" s="24" t="s">
        <v>679</v>
      </c>
      <c r="D678" s="23">
        <v>3.6998288E7</v>
      </c>
      <c r="E678" s="22">
        <v>45107.0</v>
      </c>
      <c r="F678" s="25" t="s">
        <v>69</v>
      </c>
      <c r="G678" s="26">
        <v>4.0</v>
      </c>
      <c r="H678" s="25" t="s">
        <v>116</v>
      </c>
      <c r="I678" s="25" t="s">
        <v>77</v>
      </c>
      <c r="J678" s="25" t="s">
        <v>98</v>
      </c>
      <c r="K678" s="25" t="s">
        <v>90</v>
      </c>
      <c r="L678" s="25" t="str">
        <f t="shared" si="1"/>
        <v>FAMILIAR</v>
      </c>
      <c r="M678" s="25">
        <f t="shared" si="2"/>
        <v>6</v>
      </c>
      <c r="N678" s="25">
        <f t="shared" si="3"/>
        <v>2023</v>
      </c>
      <c r="O678" s="27" t="str">
        <f>VLOOKUP(K678,'CA y tablas'!$B$22:$C$28,2,FALSE)</f>
        <v>EUROPEO</v>
      </c>
      <c r="P678" s="28" t="str">
        <f t="shared" si="4"/>
        <v>S1</v>
      </c>
      <c r="Q678" s="29">
        <v>2.0</v>
      </c>
      <c r="R678" s="29" t="str">
        <f t="shared" si="5"/>
        <v>Q2</v>
      </c>
    </row>
    <row r="679" ht="15.75" customHeight="1">
      <c r="A679" s="30">
        <v>45104.0</v>
      </c>
      <c r="B679" s="31">
        <v>2.434469354E9</v>
      </c>
      <c r="C679" s="32" t="s">
        <v>680</v>
      </c>
      <c r="D679" s="31">
        <v>3.973257E7</v>
      </c>
      <c r="E679" s="30">
        <v>45107.0</v>
      </c>
      <c r="F679" s="33" t="s">
        <v>69</v>
      </c>
      <c r="G679" s="34">
        <v>1.0</v>
      </c>
      <c r="H679" s="33" t="s">
        <v>116</v>
      </c>
      <c r="I679" s="33" t="s">
        <v>77</v>
      </c>
      <c r="J679" s="33" t="s">
        <v>98</v>
      </c>
      <c r="K679" s="33" t="s">
        <v>90</v>
      </c>
      <c r="L679" s="33" t="str">
        <f t="shared" si="1"/>
        <v>INDIVIDUAL</v>
      </c>
      <c r="M679" s="33">
        <f t="shared" si="2"/>
        <v>6</v>
      </c>
      <c r="N679" s="33">
        <f t="shared" si="3"/>
        <v>2023</v>
      </c>
      <c r="O679" s="35" t="str">
        <f>VLOOKUP(K679,'CA y tablas'!$B$22:$C$28,2,FALSE)</f>
        <v>EUROPEO</v>
      </c>
      <c r="P679" s="28" t="str">
        <f t="shared" si="4"/>
        <v>S1</v>
      </c>
      <c r="Q679" s="29">
        <v>2.0</v>
      </c>
      <c r="R679" s="29" t="str">
        <f t="shared" si="5"/>
        <v>Q2</v>
      </c>
    </row>
    <row r="680" ht="15.75" customHeight="1">
      <c r="A680" s="22">
        <v>45106.0</v>
      </c>
      <c r="B680" s="23">
        <v>6.18309916E9</v>
      </c>
      <c r="C680" s="24" t="s">
        <v>681</v>
      </c>
      <c r="D680" s="23">
        <v>2.073237E7</v>
      </c>
      <c r="E680" s="22">
        <v>45107.0</v>
      </c>
      <c r="F680" s="25" t="s">
        <v>69</v>
      </c>
      <c r="G680" s="26">
        <v>1.0</v>
      </c>
      <c r="H680" s="25" t="s">
        <v>70</v>
      </c>
      <c r="I680" s="25" t="s">
        <v>77</v>
      </c>
      <c r="J680" s="25" t="s">
        <v>98</v>
      </c>
      <c r="K680" s="25" t="s">
        <v>90</v>
      </c>
      <c r="L680" s="25" t="str">
        <f t="shared" si="1"/>
        <v>INDIVIDUAL</v>
      </c>
      <c r="M680" s="25">
        <f t="shared" si="2"/>
        <v>6</v>
      </c>
      <c r="N680" s="25">
        <f t="shared" si="3"/>
        <v>2023</v>
      </c>
      <c r="O680" s="27" t="str">
        <f>VLOOKUP(K680,'CA y tablas'!$B$22:$C$28,2,FALSE)</f>
        <v>EUROPEO</v>
      </c>
      <c r="P680" s="28" t="str">
        <f t="shared" si="4"/>
        <v>S1</v>
      </c>
      <c r="Q680" s="29">
        <v>2.0</v>
      </c>
      <c r="R680" s="29" t="str">
        <f t="shared" si="5"/>
        <v>Q2</v>
      </c>
    </row>
    <row r="681" ht="15.75" customHeight="1">
      <c r="A681" s="30">
        <v>45106.0</v>
      </c>
      <c r="B681" s="31">
        <v>4.257969192E9</v>
      </c>
      <c r="C681" s="32" t="s">
        <v>682</v>
      </c>
      <c r="D681" s="31">
        <v>2.2414034E7</v>
      </c>
      <c r="E681" s="30">
        <v>45107.0</v>
      </c>
      <c r="F681" s="33" t="s">
        <v>69</v>
      </c>
      <c r="G681" s="34">
        <v>1.0</v>
      </c>
      <c r="H681" s="33" t="s">
        <v>70</v>
      </c>
      <c r="I681" s="33" t="s">
        <v>77</v>
      </c>
      <c r="J681" s="33" t="s">
        <v>93</v>
      </c>
      <c r="K681" s="33" t="s">
        <v>90</v>
      </c>
      <c r="L681" s="33" t="str">
        <f t="shared" si="1"/>
        <v>INDIVIDUAL</v>
      </c>
      <c r="M681" s="33">
        <f t="shared" si="2"/>
        <v>6</v>
      </c>
      <c r="N681" s="33">
        <f t="shared" si="3"/>
        <v>2023</v>
      </c>
      <c r="O681" s="35" t="str">
        <f>VLOOKUP(K681,'CA y tablas'!$B$22:$C$28,2,FALSE)</f>
        <v>EUROPEO</v>
      </c>
      <c r="P681" s="28" t="str">
        <f t="shared" si="4"/>
        <v>S1</v>
      </c>
      <c r="Q681" s="29">
        <v>2.0</v>
      </c>
      <c r="R681" s="29" t="str">
        <f t="shared" si="5"/>
        <v>Q2</v>
      </c>
    </row>
    <row r="682" ht="15.75" customHeight="1">
      <c r="A682" s="22">
        <v>45107.0</v>
      </c>
      <c r="B682" s="23">
        <v>7.930926404E9</v>
      </c>
      <c r="C682" s="24" t="s">
        <v>683</v>
      </c>
      <c r="D682" s="23">
        <v>3.3703262E7</v>
      </c>
      <c r="E682" s="22">
        <v>45107.0</v>
      </c>
      <c r="F682" s="25" t="s">
        <v>69</v>
      </c>
      <c r="G682" s="26">
        <v>1.0</v>
      </c>
      <c r="H682" s="25" t="s">
        <v>70</v>
      </c>
      <c r="I682" s="25" t="s">
        <v>77</v>
      </c>
      <c r="J682" s="25" t="s">
        <v>93</v>
      </c>
      <c r="K682" s="25" t="s">
        <v>90</v>
      </c>
      <c r="L682" s="25" t="str">
        <f t="shared" si="1"/>
        <v>INDIVIDUAL</v>
      </c>
      <c r="M682" s="25">
        <f t="shared" si="2"/>
        <v>6</v>
      </c>
      <c r="N682" s="25">
        <f t="shared" si="3"/>
        <v>2023</v>
      </c>
      <c r="O682" s="27" t="str">
        <f>VLOOKUP(K682,'CA y tablas'!$B$22:$C$28,2,FALSE)</f>
        <v>EUROPEO</v>
      </c>
      <c r="P682" s="28" t="str">
        <f t="shared" si="4"/>
        <v>S2</v>
      </c>
      <c r="Q682" s="29">
        <v>2.0</v>
      </c>
      <c r="R682" s="29" t="str">
        <f t="shared" si="5"/>
        <v>Q2</v>
      </c>
    </row>
    <row r="683" ht="15.75" customHeight="1">
      <c r="A683" s="30">
        <v>45107.0</v>
      </c>
      <c r="B683" s="31">
        <v>4.670943653E9</v>
      </c>
      <c r="C683" s="32" t="s">
        <v>684</v>
      </c>
      <c r="D683" s="31">
        <v>4.4478488E7</v>
      </c>
      <c r="E683" s="30">
        <v>45110.0</v>
      </c>
      <c r="F683" s="33" t="s">
        <v>69</v>
      </c>
      <c r="G683" s="34">
        <v>3.0</v>
      </c>
      <c r="H683" s="33" t="s">
        <v>70</v>
      </c>
      <c r="I683" s="33" t="s">
        <v>77</v>
      </c>
      <c r="J683" s="33" t="s">
        <v>93</v>
      </c>
      <c r="K683" s="33" t="s">
        <v>90</v>
      </c>
      <c r="L683" s="33" t="str">
        <f t="shared" si="1"/>
        <v>FAMILIAR</v>
      </c>
      <c r="M683" s="33">
        <f t="shared" si="2"/>
        <v>7</v>
      </c>
      <c r="N683" s="33">
        <f t="shared" si="3"/>
        <v>2023</v>
      </c>
      <c r="O683" s="35" t="str">
        <f>VLOOKUP(K683,'CA y tablas'!$B$22:$C$28,2,FALSE)</f>
        <v>EUROPEO</v>
      </c>
      <c r="P683" s="28" t="str">
        <f t="shared" si="4"/>
        <v>S2</v>
      </c>
      <c r="Q683" s="29">
        <v>2.0</v>
      </c>
      <c r="R683" s="29" t="str">
        <f t="shared" si="5"/>
        <v>Q2</v>
      </c>
    </row>
    <row r="684" ht="15.75" customHeight="1">
      <c r="A684" s="22">
        <v>45107.0</v>
      </c>
      <c r="B684" s="23">
        <v>6.793689011E9</v>
      </c>
      <c r="C684" s="24" t="s">
        <v>685</v>
      </c>
      <c r="D684" s="23">
        <v>1.3279123E7</v>
      </c>
      <c r="E684" s="22">
        <v>45110.0</v>
      </c>
      <c r="F684" s="25" t="s">
        <v>69</v>
      </c>
      <c r="G684" s="26">
        <v>3.0</v>
      </c>
      <c r="H684" s="25" t="s">
        <v>70</v>
      </c>
      <c r="I684" s="25" t="s">
        <v>77</v>
      </c>
      <c r="J684" s="25" t="s">
        <v>93</v>
      </c>
      <c r="K684" s="25" t="s">
        <v>73</v>
      </c>
      <c r="L684" s="25" t="str">
        <f t="shared" si="1"/>
        <v>FAMILIAR</v>
      </c>
      <c r="M684" s="25">
        <f t="shared" si="2"/>
        <v>7</v>
      </c>
      <c r="N684" s="25">
        <f t="shared" si="3"/>
        <v>2023</v>
      </c>
      <c r="O684" s="27" t="str">
        <f>VLOOKUP(K684,'CA y tablas'!$B$22:$C$28,2,FALSE)</f>
        <v>AMERICANO</v>
      </c>
      <c r="P684" s="28" t="str">
        <f t="shared" si="4"/>
        <v>S2</v>
      </c>
      <c r="Q684" s="29">
        <v>2.0</v>
      </c>
      <c r="R684" s="29" t="str">
        <f t="shared" si="5"/>
        <v>Q2</v>
      </c>
    </row>
    <row r="685" ht="15.75" customHeight="1">
      <c r="A685" s="30">
        <v>45099.0</v>
      </c>
      <c r="B685" s="31">
        <v>1.15561117E9</v>
      </c>
      <c r="C685" s="32" t="s">
        <v>686</v>
      </c>
      <c r="D685" s="31">
        <v>3.4708919E7</v>
      </c>
      <c r="E685" s="30">
        <v>45111.0</v>
      </c>
      <c r="F685" s="33" t="s">
        <v>69</v>
      </c>
      <c r="G685" s="34">
        <v>3.0</v>
      </c>
      <c r="H685" s="33" t="s">
        <v>70</v>
      </c>
      <c r="I685" s="33" t="s">
        <v>77</v>
      </c>
      <c r="J685" s="33" t="s">
        <v>93</v>
      </c>
      <c r="K685" s="33" t="s">
        <v>73</v>
      </c>
      <c r="L685" s="33" t="str">
        <f t="shared" si="1"/>
        <v>FAMILIAR</v>
      </c>
      <c r="M685" s="33">
        <f t="shared" si="2"/>
        <v>7</v>
      </c>
      <c r="N685" s="33">
        <f t="shared" si="3"/>
        <v>2023</v>
      </c>
      <c r="O685" s="35" t="str">
        <f>VLOOKUP(K685,'CA y tablas'!$B$22:$C$28,2,FALSE)</f>
        <v>AMERICANO</v>
      </c>
      <c r="P685" s="28" t="str">
        <f t="shared" si="4"/>
        <v>S2</v>
      </c>
      <c r="Q685" s="29">
        <v>2.0</v>
      </c>
      <c r="R685" s="29" t="str">
        <f t="shared" si="5"/>
        <v>Q2</v>
      </c>
    </row>
    <row r="686" ht="15.75" customHeight="1">
      <c r="A686" s="22">
        <v>45107.0</v>
      </c>
      <c r="B686" s="23">
        <v>4.886999541E9</v>
      </c>
      <c r="C686" s="24" t="s">
        <v>687</v>
      </c>
      <c r="D686" s="23">
        <v>1.4984811E7</v>
      </c>
      <c r="E686" s="22">
        <v>45111.0</v>
      </c>
      <c r="F686" s="25" t="s">
        <v>69</v>
      </c>
      <c r="G686" s="26">
        <v>1.0</v>
      </c>
      <c r="H686" s="25" t="s">
        <v>70</v>
      </c>
      <c r="I686" s="25" t="s">
        <v>77</v>
      </c>
      <c r="J686" s="25" t="s">
        <v>93</v>
      </c>
      <c r="K686" s="25" t="s">
        <v>73</v>
      </c>
      <c r="L686" s="25" t="str">
        <f t="shared" si="1"/>
        <v>INDIVIDUAL</v>
      </c>
      <c r="M686" s="25">
        <f t="shared" si="2"/>
        <v>7</v>
      </c>
      <c r="N686" s="25">
        <f t="shared" si="3"/>
        <v>2023</v>
      </c>
      <c r="O686" s="27" t="str">
        <f>VLOOKUP(K686,'CA y tablas'!$B$22:$C$28,2,FALSE)</f>
        <v>AMERICANO</v>
      </c>
      <c r="P686" s="28" t="str">
        <f t="shared" si="4"/>
        <v>S2</v>
      </c>
      <c r="Q686" s="29">
        <v>2.0</v>
      </c>
      <c r="R686" s="29" t="str">
        <f t="shared" si="5"/>
        <v>Q2</v>
      </c>
    </row>
    <row r="687" ht="15.75" customHeight="1">
      <c r="A687" s="30">
        <v>45110.0</v>
      </c>
      <c r="B687" s="31">
        <v>8.951989885E9</v>
      </c>
      <c r="C687" s="32" t="s">
        <v>688</v>
      </c>
      <c r="D687" s="31" t="s">
        <v>689</v>
      </c>
      <c r="E687" s="30">
        <v>45111.0</v>
      </c>
      <c r="F687" s="33" t="s">
        <v>76</v>
      </c>
      <c r="G687" s="34">
        <v>4.0</v>
      </c>
      <c r="H687" s="33" t="s">
        <v>70</v>
      </c>
      <c r="I687" s="33" t="s">
        <v>77</v>
      </c>
      <c r="J687" s="33" t="s">
        <v>93</v>
      </c>
      <c r="K687" s="33" t="s">
        <v>73</v>
      </c>
      <c r="L687" s="33" t="str">
        <f t="shared" si="1"/>
        <v>FAMILIAR</v>
      </c>
      <c r="M687" s="33">
        <f t="shared" si="2"/>
        <v>7</v>
      </c>
      <c r="N687" s="33">
        <f t="shared" si="3"/>
        <v>2023</v>
      </c>
      <c r="O687" s="35" t="str">
        <f>VLOOKUP(K687,'CA y tablas'!$B$22:$C$28,2,FALSE)</f>
        <v>AMERICANO</v>
      </c>
      <c r="P687" s="28" t="str">
        <f t="shared" si="4"/>
        <v>S2</v>
      </c>
      <c r="Q687" s="29">
        <v>2.0</v>
      </c>
      <c r="R687" s="29" t="str">
        <f t="shared" si="5"/>
        <v>Q2</v>
      </c>
    </row>
    <row r="688" ht="15.75" customHeight="1">
      <c r="A688" s="22">
        <v>45100.0</v>
      </c>
      <c r="B688" s="23">
        <v>3.891946984E9</v>
      </c>
      <c r="C688" s="24" t="s">
        <v>690</v>
      </c>
      <c r="D688" s="23">
        <v>2.8681722E7</v>
      </c>
      <c r="E688" s="22">
        <v>45112.0</v>
      </c>
      <c r="F688" s="25" t="s">
        <v>76</v>
      </c>
      <c r="G688" s="26">
        <v>4.0</v>
      </c>
      <c r="H688" s="25" t="s">
        <v>70</v>
      </c>
      <c r="I688" s="25" t="s">
        <v>77</v>
      </c>
      <c r="J688" s="25" t="s">
        <v>93</v>
      </c>
      <c r="K688" s="25" t="s">
        <v>73</v>
      </c>
      <c r="L688" s="25" t="str">
        <f t="shared" si="1"/>
        <v>FAMILIAR</v>
      </c>
      <c r="M688" s="25">
        <f t="shared" si="2"/>
        <v>7</v>
      </c>
      <c r="N688" s="25">
        <f t="shared" si="3"/>
        <v>2023</v>
      </c>
      <c r="O688" s="27" t="str">
        <f>VLOOKUP(K688,'CA y tablas'!$B$22:$C$28,2,FALSE)</f>
        <v>AMERICANO</v>
      </c>
      <c r="P688" s="28" t="str">
        <f t="shared" si="4"/>
        <v>S2</v>
      </c>
      <c r="Q688" s="29">
        <v>2.0</v>
      </c>
      <c r="R688" s="29" t="str">
        <f t="shared" si="5"/>
        <v>Q2</v>
      </c>
    </row>
    <row r="689" ht="15.75" customHeight="1">
      <c r="A689" s="30">
        <v>45106.0</v>
      </c>
      <c r="B689" s="31">
        <v>1.305261591E9</v>
      </c>
      <c r="C689" s="32" t="s">
        <v>555</v>
      </c>
      <c r="D689" s="31">
        <v>4.1446172E7</v>
      </c>
      <c r="E689" s="30">
        <v>45112.0</v>
      </c>
      <c r="F689" s="33" t="s">
        <v>76</v>
      </c>
      <c r="G689" s="34">
        <v>1.0</v>
      </c>
      <c r="H689" s="33" t="s">
        <v>70</v>
      </c>
      <c r="I689" s="33" t="s">
        <v>77</v>
      </c>
      <c r="J689" s="33" t="s">
        <v>93</v>
      </c>
      <c r="K689" s="33" t="s">
        <v>73</v>
      </c>
      <c r="L689" s="33" t="str">
        <f t="shared" si="1"/>
        <v>INDIVIDUAL</v>
      </c>
      <c r="M689" s="33">
        <f t="shared" si="2"/>
        <v>7</v>
      </c>
      <c r="N689" s="33">
        <f t="shared" si="3"/>
        <v>2023</v>
      </c>
      <c r="O689" s="35" t="str">
        <f>VLOOKUP(K689,'CA y tablas'!$B$22:$C$28,2,FALSE)</f>
        <v>AMERICANO</v>
      </c>
      <c r="P689" s="28" t="str">
        <f t="shared" si="4"/>
        <v>S2</v>
      </c>
      <c r="Q689" s="29">
        <v>2.0</v>
      </c>
      <c r="R689" s="29" t="str">
        <f t="shared" si="5"/>
        <v>Q2</v>
      </c>
    </row>
    <row r="690" ht="15.75" customHeight="1">
      <c r="A690" s="22">
        <v>45107.0</v>
      </c>
      <c r="B690" s="23">
        <v>3.361051315E9</v>
      </c>
      <c r="C690" s="24" t="s">
        <v>691</v>
      </c>
      <c r="D690" s="23">
        <v>2.6660561E7</v>
      </c>
      <c r="E690" s="22">
        <v>45112.0</v>
      </c>
      <c r="F690" s="25" t="s">
        <v>76</v>
      </c>
      <c r="G690" s="26">
        <v>1.0</v>
      </c>
      <c r="H690" s="25" t="s">
        <v>70</v>
      </c>
      <c r="I690" s="25" t="s">
        <v>71</v>
      </c>
      <c r="J690" s="25" t="s">
        <v>93</v>
      </c>
      <c r="K690" s="25" t="s">
        <v>73</v>
      </c>
      <c r="L690" s="25" t="str">
        <f t="shared" si="1"/>
        <v>INDIVIDUAL</v>
      </c>
      <c r="M690" s="25">
        <f t="shared" si="2"/>
        <v>7</v>
      </c>
      <c r="N690" s="25">
        <f t="shared" si="3"/>
        <v>2023</v>
      </c>
      <c r="O690" s="27" t="str">
        <f>VLOOKUP(K690,'CA y tablas'!$B$22:$C$28,2,FALSE)</f>
        <v>AMERICANO</v>
      </c>
      <c r="P690" s="28" t="str">
        <f t="shared" si="4"/>
        <v>S2</v>
      </c>
      <c r="Q690" s="29">
        <v>2.0</v>
      </c>
      <c r="R690" s="29" t="str">
        <f t="shared" si="5"/>
        <v>Q2</v>
      </c>
    </row>
    <row r="691" ht="15.75" customHeight="1">
      <c r="A691" s="30">
        <v>45111.0</v>
      </c>
      <c r="B691" s="31">
        <v>3.830165496E9</v>
      </c>
      <c r="C691" s="32" t="s">
        <v>692</v>
      </c>
      <c r="D691" s="31">
        <v>1.4480888E7</v>
      </c>
      <c r="E691" s="30">
        <v>45112.0</v>
      </c>
      <c r="F691" s="33" t="s">
        <v>76</v>
      </c>
      <c r="G691" s="34">
        <v>1.0</v>
      </c>
      <c r="H691" s="33" t="s">
        <v>70</v>
      </c>
      <c r="I691" s="33" t="s">
        <v>71</v>
      </c>
      <c r="J691" s="33" t="s">
        <v>93</v>
      </c>
      <c r="K691" s="33" t="s">
        <v>73</v>
      </c>
      <c r="L691" s="33" t="str">
        <f t="shared" si="1"/>
        <v>INDIVIDUAL</v>
      </c>
      <c r="M691" s="33">
        <f t="shared" si="2"/>
        <v>7</v>
      </c>
      <c r="N691" s="33">
        <f t="shared" si="3"/>
        <v>2023</v>
      </c>
      <c r="O691" s="35" t="str">
        <f>VLOOKUP(K691,'CA y tablas'!$B$22:$C$28,2,FALSE)</f>
        <v>AMERICANO</v>
      </c>
      <c r="P691" s="28" t="str">
        <f t="shared" si="4"/>
        <v>S2</v>
      </c>
      <c r="Q691" s="29">
        <v>2.0</v>
      </c>
      <c r="R691" s="29" t="str">
        <f t="shared" si="5"/>
        <v>Q2</v>
      </c>
    </row>
    <row r="692" ht="15.75" customHeight="1">
      <c r="A692" s="22">
        <v>45111.0</v>
      </c>
      <c r="B692" s="23">
        <v>2.868656906E9</v>
      </c>
      <c r="C692" s="24" t="s">
        <v>693</v>
      </c>
      <c r="D692" s="23">
        <v>2.5212197E7</v>
      </c>
      <c r="E692" s="22">
        <v>45112.0</v>
      </c>
      <c r="F692" s="25" t="s">
        <v>69</v>
      </c>
      <c r="G692" s="26">
        <v>1.0</v>
      </c>
      <c r="H692" s="25" t="s">
        <v>70</v>
      </c>
      <c r="I692" s="25" t="s">
        <v>71</v>
      </c>
      <c r="J692" s="25" t="s">
        <v>93</v>
      </c>
      <c r="K692" s="25" t="s">
        <v>73</v>
      </c>
      <c r="L692" s="25" t="str">
        <f t="shared" si="1"/>
        <v>INDIVIDUAL</v>
      </c>
      <c r="M692" s="25">
        <f t="shared" si="2"/>
        <v>7</v>
      </c>
      <c r="N692" s="25">
        <f t="shared" si="3"/>
        <v>2023</v>
      </c>
      <c r="O692" s="27" t="str">
        <f>VLOOKUP(K692,'CA y tablas'!$B$22:$C$28,2,FALSE)</f>
        <v>AMERICANO</v>
      </c>
      <c r="P692" s="28" t="str">
        <f t="shared" si="4"/>
        <v>S2</v>
      </c>
      <c r="Q692" s="29">
        <v>2.0</v>
      </c>
      <c r="R692" s="29" t="str">
        <f t="shared" si="5"/>
        <v>Q2</v>
      </c>
    </row>
    <row r="693" ht="15.75" customHeight="1">
      <c r="A693" s="30">
        <v>45111.0</v>
      </c>
      <c r="B693" s="31">
        <v>6.18656892E9</v>
      </c>
      <c r="C693" s="32" t="s">
        <v>694</v>
      </c>
      <c r="D693" s="31">
        <v>3.6040265E7</v>
      </c>
      <c r="E693" s="30">
        <v>45112.0</v>
      </c>
      <c r="F693" s="33" t="s">
        <v>69</v>
      </c>
      <c r="G693" s="34">
        <v>2.0</v>
      </c>
      <c r="H693" s="33" t="s">
        <v>70</v>
      </c>
      <c r="I693" s="33" t="s">
        <v>71</v>
      </c>
      <c r="J693" s="33" t="s">
        <v>93</v>
      </c>
      <c r="K693" s="33" t="s">
        <v>107</v>
      </c>
      <c r="L693" s="33" t="str">
        <f t="shared" si="1"/>
        <v>FAMILIAR</v>
      </c>
      <c r="M693" s="33">
        <f t="shared" si="2"/>
        <v>7</v>
      </c>
      <c r="N693" s="33">
        <f t="shared" si="3"/>
        <v>2023</v>
      </c>
      <c r="O693" s="35" t="str">
        <f>VLOOKUP(K693,'CA y tablas'!$B$22:$C$28,2,FALSE)</f>
        <v>AMERICANO</v>
      </c>
      <c r="P693" s="28" t="str">
        <f t="shared" si="4"/>
        <v>S2</v>
      </c>
      <c r="Q693" s="29">
        <v>2.0</v>
      </c>
      <c r="R693" s="29" t="str">
        <f t="shared" si="5"/>
        <v>Q2</v>
      </c>
    </row>
    <row r="694" ht="15.75" customHeight="1">
      <c r="A694" s="22">
        <v>45111.0</v>
      </c>
      <c r="B694" s="23">
        <v>3.268710395E9</v>
      </c>
      <c r="C694" s="24" t="s">
        <v>692</v>
      </c>
      <c r="D694" s="23">
        <v>1.4480888E7</v>
      </c>
      <c r="E694" s="22">
        <v>45112.0</v>
      </c>
      <c r="F694" s="25" t="s">
        <v>69</v>
      </c>
      <c r="G694" s="26">
        <v>3.0</v>
      </c>
      <c r="H694" s="25" t="s">
        <v>70</v>
      </c>
      <c r="I694" s="25" t="s">
        <v>71</v>
      </c>
      <c r="J694" s="25" t="s">
        <v>79</v>
      </c>
      <c r="K694" s="25" t="s">
        <v>107</v>
      </c>
      <c r="L694" s="25" t="str">
        <f t="shared" si="1"/>
        <v>FAMILIAR</v>
      </c>
      <c r="M694" s="25">
        <f t="shared" si="2"/>
        <v>7</v>
      </c>
      <c r="N694" s="25">
        <f t="shared" si="3"/>
        <v>2023</v>
      </c>
      <c r="O694" s="27" t="str">
        <f>VLOOKUP(K694,'CA y tablas'!$B$22:$C$28,2,FALSE)</f>
        <v>AMERICANO</v>
      </c>
      <c r="P694" s="28" t="str">
        <f t="shared" si="4"/>
        <v>S2</v>
      </c>
      <c r="Q694" s="29">
        <v>2.0</v>
      </c>
      <c r="R694" s="29" t="str">
        <f t="shared" si="5"/>
        <v>Q2</v>
      </c>
    </row>
    <row r="695" ht="15.75" customHeight="1">
      <c r="A695" s="30">
        <v>45111.0</v>
      </c>
      <c r="B695" s="31">
        <v>8.174030023E9</v>
      </c>
      <c r="C695" s="32" t="s">
        <v>695</v>
      </c>
      <c r="D695" s="31">
        <v>4.4919174E7</v>
      </c>
      <c r="E695" s="30">
        <v>45112.0</v>
      </c>
      <c r="F695" s="33" t="s">
        <v>69</v>
      </c>
      <c r="G695" s="34">
        <v>1.0</v>
      </c>
      <c r="H695" s="33" t="s">
        <v>70</v>
      </c>
      <c r="I695" s="33" t="s">
        <v>71</v>
      </c>
      <c r="J695" s="33" t="s">
        <v>79</v>
      </c>
      <c r="K695" s="33" t="s">
        <v>107</v>
      </c>
      <c r="L695" s="33" t="str">
        <f t="shared" si="1"/>
        <v>INDIVIDUAL</v>
      </c>
      <c r="M695" s="33">
        <f t="shared" si="2"/>
        <v>7</v>
      </c>
      <c r="N695" s="33">
        <f t="shared" si="3"/>
        <v>2023</v>
      </c>
      <c r="O695" s="35" t="str">
        <f>VLOOKUP(K695,'CA y tablas'!$B$22:$C$28,2,FALSE)</f>
        <v>AMERICANO</v>
      </c>
      <c r="P695" s="28" t="str">
        <f t="shared" si="4"/>
        <v>S2</v>
      </c>
      <c r="Q695" s="29">
        <v>2.0</v>
      </c>
      <c r="R695" s="29" t="str">
        <f t="shared" si="5"/>
        <v>Q2</v>
      </c>
    </row>
    <row r="696" ht="15.75" customHeight="1">
      <c r="A696" s="22">
        <v>45111.0</v>
      </c>
      <c r="B696" s="23">
        <v>3.639376215E9</v>
      </c>
      <c r="C696" s="24" t="s">
        <v>696</v>
      </c>
      <c r="D696" s="23">
        <v>2.5862043E7</v>
      </c>
      <c r="E696" s="22">
        <v>45112.0</v>
      </c>
      <c r="F696" s="25" t="s">
        <v>76</v>
      </c>
      <c r="G696" s="26">
        <v>3.0</v>
      </c>
      <c r="H696" s="25" t="s">
        <v>70</v>
      </c>
      <c r="I696" s="25" t="s">
        <v>71</v>
      </c>
      <c r="J696" s="25" t="s">
        <v>79</v>
      </c>
      <c r="K696" s="25" t="s">
        <v>107</v>
      </c>
      <c r="L696" s="25" t="str">
        <f t="shared" si="1"/>
        <v>FAMILIAR</v>
      </c>
      <c r="M696" s="25">
        <f t="shared" si="2"/>
        <v>7</v>
      </c>
      <c r="N696" s="25">
        <f t="shared" si="3"/>
        <v>2023</v>
      </c>
      <c r="O696" s="27" t="str">
        <f>VLOOKUP(K696,'CA y tablas'!$B$22:$C$28,2,FALSE)</f>
        <v>AMERICANO</v>
      </c>
      <c r="P696" s="28" t="str">
        <f t="shared" si="4"/>
        <v>S2</v>
      </c>
      <c r="Q696" s="29">
        <v>2.0</v>
      </c>
      <c r="R696" s="29" t="str">
        <f t="shared" si="5"/>
        <v>Q2</v>
      </c>
    </row>
    <row r="697" ht="15.75" customHeight="1">
      <c r="A697" s="30">
        <v>45111.0</v>
      </c>
      <c r="B697" s="31">
        <v>3.0238677E9</v>
      </c>
      <c r="C697" s="32" t="s">
        <v>697</v>
      </c>
      <c r="D697" s="31">
        <v>2.765136E7</v>
      </c>
      <c r="E697" s="30">
        <v>45112.0</v>
      </c>
      <c r="F697" s="33" t="s">
        <v>69</v>
      </c>
      <c r="G697" s="34">
        <v>4.0</v>
      </c>
      <c r="H697" s="33" t="s">
        <v>70</v>
      </c>
      <c r="I697" s="33" t="s">
        <v>71</v>
      </c>
      <c r="J697" s="33" t="s">
        <v>79</v>
      </c>
      <c r="K697" s="33" t="s">
        <v>107</v>
      </c>
      <c r="L697" s="33" t="str">
        <f t="shared" si="1"/>
        <v>FAMILIAR</v>
      </c>
      <c r="M697" s="33">
        <f t="shared" si="2"/>
        <v>7</v>
      </c>
      <c r="N697" s="33">
        <f t="shared" si="3"/>
        <v>2023</v>
      </c>
      <c r="O697" s="35" t="str">
        <f>VLOOKUP(K697,'CA y tablas'!$B$22:$C$28,2,FALSE)</f>
        <v>AMERICANO</v>
      </c>
      <c r="P697" s="28" t="str">
        <f t="shared" si="4"/>
        <v>S2</v>
      </c>
      <c r="Q697" s="29">
        <v>2.0</v>
      </c>
      <c r="R697" s="29" t="str">
        <f t="shared" si="5"/>
        <v>Q2</v>
      </c>
    </row>
    <row r="698" ht="15.75" customHeight="1">
      <c r="A698" s="22">
        <v>45111.0</v>
      </c>
      <c r="B698" s="23">
        <v>7.205562151E9</v>
      </c>
      <c r="C698" s="24" t="s">
        <v>693</v>
      </c>
      <c r="D698" s="23">
        <v>2.5212197E7</v>
      </c>
      <c r="E698" s="22">
        <v>45112.0</v>
      </c>
      <c r="F698" s="25" t="s">
        <v>69</v>
      </c>
      <c r="G698" s="26">
        <v>4.0</v>
      </c>
      <c r="H698" s="25" t="s">
        <v>92</v>
      </c>
      <c r="I698" s="25" t="s">
        <v>71</v>
      </c>
      <c r="J698" s="25" t="s">
        <v>79</v>
      </c>
      <c r="K698" s="25" t="s">
        <v>73</v>
      </c>
      <c r="L698" s="25" t="str">
        <f t="shared" si="1"/>
        <v>FAMILIAR</v>
      </c>
      <c r="M698" s="25">
        <f t="shared" si="2"/>
        <v>7</v>
      </c>
      <c r="N698" s="25">
        <f t="shared" si="3"/>
        <v>2023</v>
      </c>
      <c r="O698" s="27" t="str">
        <f>VLOOKUP(K698,'CA y tablas'!$B$22:$C$28,2,FALSE)</f>
        <v>AMERICANO</v>
      </c>
      <c r="P698" s="28" t="str">
        <f t="shared" si="4"/>
        <v>S2</v>
      </c>
      <c r="Q698" s="29">
        <v>2.0</v>
      </c>
      <c r="R698" s="29" t="str">
        <f t="shared" si="5"/>
        <v>Q2</v>
      </c>
    </row>
    <row r="699" ht="15.75" customHeight="1">
      <c r="A699" s="30">
        <v>45111.0</v>
      </c>
      <c r="B699" s="31">
        <v>8.17405197E9</v>
      </c>
      <c r="C699" s="32" t="s">
        <v>698</v>
      </c>
      <c r="D699" s="31">
        <v>1.4351666E7</v>
      </c>
      <c r="E699" s="30">
        <v>45112.0</v>
      </c>
      <c r="F699" s="33" t="s">
        <v>69</v>
      </c>
      <c r="G699" s="34">
        <v>2.0</v>
      </c>
      <c r="H699" s="33" t="s">
        <v>92</v>
      </c>
      <c r="I699" s="33" t="s">
        <v>71</v>
      </c>
      <c r="J699" s="33" t="s">
        <v>79</v>
      </c>
      <c r="K699" s="33" t="s">
        <v>73</v>
      </c>
      <c r="L699" s="33" t="str">
        <f t="shared" si="1"/>
        <v>FAMILIAR</v>
      </c>
      <c r="M699" s="33">
        <f t="shared" si="2"/>
        <v>7</v>
      </c>
      <c r="N699" s="33">
        <f t="shared" si="3"/>
        <v>2023</v>
      </c>
      <c r="O699" s="35" t="str">
        <f>VLOOKUP(K699,'CA y tablas'!$B$22:$C$28,2,FALSE)</f>
        <v>AMERICANO</v>
      </c>
      <c r="P699" s="28" t="str">
        <f t="shared" si="4"/>
        <v>S2</v>
      </c>
      <c r="Q699" s="29">
        <v>2.0</v>
      </c>
      <c r="R699" s="29" t="str">
        <f t="shared" si="5"/>
        <v>Q2</v>
      </c>
    </row>
    <row r="700" ht="15.75" customHeight="1">
      <c r="A700" s="22">
        <v>45111.0</v>
      </c>
      <c r="B700" s="23">
        <v>5.527582863E9</v>
      </c>
      <c r="C700" s="24" t="s">
        <v>699</v>
      </c>
      <c r="D700" s="23">
        <v>1.4494673E7</v>
      </c>
      <c r="E700" s="22">
        <v>45112.0</v>
      </c>
      <c r="F700" s="25" t="s">
        <v>69</v>
      </c>
      <c r="G700" s="26">
        <v>2.0</v>
      </c>
      <c r="H700" s="25" t="s">
        <v>92</v>
      </c>
      <c r="I700" s="25" t="s">
        <v>71</v>
      </c>
      <c r="J700" s="25" t="s">
        <v>79</v>
      </c>
      <c r="K700" s="25" t="s">
        <v>73</v>
      </c>
      <c r="L700" s="25" t="str">
        <f t="shared" si="1"/>
        <v>FAMILIAR</v>
      </c>
      <c r="M700" s="25">
        <f t="shared" si="2"/>
        <v>7</v>
      </c>
      <c r="N700" s="25">
        <f t="shared" si="3"/>
        <v>2023</v>
      </c>
      <c r="O700" s="27" t="str">
        <f>VLOOKUP(K700,'CA y tablas'!$B$22:$C$28,2,FALSE)</f>
        <v>AMERICANO</v>
      </c>
      <c r="P700" s="28" t="str">
        <f t="shared" si="4"/>
        <v>S2</v>
      </c>
      <c r="Q700" s="29">
        <v>2.0</v>
      </c>
      <c r="R700" s="29" t="str">
        <f t="shared" si="5"/>
        <v>Q2</v>
      </c>
    </row>
    <row r="701" ht="15.75" customHeight="1">
      <c r="A701" s="30">
        <v>45107.0</v>
      </c>
      <c r="B701" s="31">
        <v>7.73941427E9</v>
      </c>
      <c r="C701" s="32" t="s">
        <v>700</v>
      </c>
      <c r="D701" s="31">
        <v>1.1239238E7</v>
      </c>
      <c r="E701" s="30">
        <v>45113.0</v>
      </c>
      <c r="F701" s="33" t="s">
        <v>69</v>
      </c>
      <c r="G701" s="34">
        <v>1.0</v>
      </c>
      <c r="H701" s="33" t="s">
        <v>81</v>
      </c>
      <c r="I701" s="33" t="s">
        <v>71</v>
      </c>
      <c r="J701" s="33" t="s">
        <v>79</v>
      </c>
      <c r="K701" s="33" t="s">
        <v>73</v>
      </c>
      <c r="L701" s="33" t="str">
        <f t="shared" si="1"/>
        <v>INDIVIDUAL</v>
      </c>
      <c r="M701" s="33">
        <f t="shared" si="2"/>
        <v>7</v>
      </c>
      <c r="N701" s="33">
        <f t="shared" si="3"/>
        <v>2023</v>
      </c>
      <c r="O701" s="35" t="str">
        <f>VLOOKUP(K701,'CA y tablas'!$B$22:$C$28,2,FALSE)</f>
        <v>AMERICANO</v>
      </c>
      <c r="P701" s="28" t="str">
        <f t="shared" si="4"/>
        <v>S2</v>
      </c>
      <c r="Q701" s="29">
        <v>2.0</v>
      </c>
      <c r="R701" s="29" t="str">
        <f t="shared" si="5"/>
        <v>Q2</v>
      </c>
    </row>
    <row r="702" ht="15.75" customHeight="1">
      <c r="A702" s="22">
        <v>45107.0</v>
      </c>
      <c r="B702" s="23">
        <v>3.405601743E9</v>
      </c>
      <c r="C702" s="24" t="s">
        <v>701</v>
      </c>
      <c r="D702" s="23">
        <v>1.1091393E7</v>
      </c>
      <c r="E702" s="22">
        <v>45113.0</v>
      </c>
      <c r="F702" s="25" t="s">
        <v>69</v>
      </c>
      <c r="G702" s="26">
        <v>1.0</v>
      </c>
      <c r="H702" s="25" t="s">
        <v>81</v>
      </c>
      <c r="I702" s="25" t="s">
        <v>71</v>
      </c>
      <c r="J702" s="25" t="s">
        <v>79</v>
      </c>
      <c r="K702" s="25" t="s">
        <v>73</v>
      </c>
      <c r="L702" s="25" t="str">
        <f t="shared" si="1"/>
        <v>INDIVIDUAL</v>
      </c>
      <c r="M702" s="25">
        <f t="shared" si="2"/>
        <v>7</v>
      </c>
      <c r="N702" s="25">
        <f t="shared" si="3"/>
        <v>2023</v>
      </c>
      <c r="O702" s="27" t="str">
        <f>VLOOKUP(K702,'CA y tablas'!$B$22:$C$28,2,FALSE)</f>
        <v>AMERICANO</v>
      </c>
      <c r="P702" s="28" t="str">
        <f t="shared" si="4"/>
        <v>S2</v>
      </c>
      <c r="Q702" s="29">
        <v>2.0</v>
      </c>
      <c r="R702" s="29" t="str">
        <f t="shared" si="5"/>
        <v>Q2</v>
      </c>
    </row>
    <row r="703" ht="15.75" customHeight="1">
      <c r="A703" s="30">
        <v>45107.0</v>
      </c>
      <c r="B703" s="31">
        <v>6.79369012E9</v>
      </c>
      <c r="C703" s="32" t="s">
        <v>702</v>
      </c>
      <c r="D703" s="31"/>
      <c r="E703" s="30">
        <v>45113.0</v>
      </c>
      <c r="F703" s="33" t="s">
        <v>76</v>
      </c>
      <c r="G703" s="34">
        <v>1.0</v>
      </c>
      <c r="H703" s="33" t="s">
        <v>81</v>
      </c>
      <c r="I703" s="33" t="s">
        <v>71</v>
      </c>
      <c r="J703" s="33" t="s">
        <v>79</v>
      </c>
      <c r="K703" s="33" t="s">
        <v>73</v>
      </c>
      <c r="L703" s="33" t="str">
        <f t="shared" si="1"/>
        <v>INDIVIDUAL</v>
      </c>
      <c r="M703" s="33">
        <f t="shared" si="2"/>
        <v>7</v>
      </c>
      <c r="N703" s="33">
        <f t="shared" si="3"/>
        <v>2023</v>
      </c>
      <c r="O703" s="35" t="str">
        <f>VLOOKUP(K703,'CA y tablas'!$B$22:$C$28,2,FALSE)</f>
        <v>AMERICANO</v>
      </c>
      <c r="P703" s="28" t="str">
        <f t="shared" si="4"/>
        <v>S2</v>
      </c>
      <c r="Q703" s="29">
        <v>2.0</v>
      </c>
      <c r="R703" s="29" t="str">
        <f t="shared" si="5"/>
        <v>Q2</v>
      </c>
    </row>
    <row r="704" ht="15.75" customHeight="1">
      <c r="A704" s="22">
        <v>45111.0</v>
      </c>
      <c r="B704" s="23">
        <v>5.527575406E9</v>
      </c>
      <c r="C704" s="24" t="s">
        <v>703</v>
      </c>
      <c r="D704" s="23">
        <v>8590200.0</v>
      </c>
      <c r="E704" s="22">
        <v>45113.0</v>
      </c>
      <c r="F704" s="25" t="s">
        <v>76</v>
      </c>
      <c r="G704" s="26">
        <v>2.0</v>
      </c>
      <c r="H704" s="25" t="s">
        <v>81</v>
      </c>
      <c r="I704" s="25" t="s">
        <v>71</v>
      </c>
      <c r="J704" s="25" t="s">
        <v>79</v>
      </c>
      <c r="K704" s="25" t="s">
        <v>73</v>
      </c>
      <c r="L704" s="25" t="str">
        <f t="shared" si="1"/>
        <v>FAMILIAR</v>
      </c>
      <c r="M704" s="25">
        <f t="shared" si="2"/>
        <v>7</v>
      </c>
      <c r="N704" s="25">
        <f t="shared" si="3"/>
        <v>2023</v>
      </c>
      <c r="O704" s="27" t="str">
        <f>VLOOKUP(K704,'CA y tablas'!$B$22:$C$28,2,FALSE)</f>
        <v>AMERICANO</v>
      </c>
      <c r="P704" s="28" t="str">
        <f t="shared" si="4"/>
        <v>S2</v>
      </c>
      <c r="Q704" s="29">
        <v>2.0</v>
      </c>
      <c r="R704" s="29" t="str">
        <f t="shared" si="5"/>
        <v>Q2</v>
      </c>
    </row>
    <row r="705" ht="15.75" customHeight="1">
      <c r="A705" s="30">
        <v>45111.0</v>
      </c>
      <c r="B705" s="31">
        <v>5.056235166E9</v>
      </c>
      <c r="C705" s="32" t="s">
        <v>704</v>
      </c>
      <c r="D705" s="31">
        <v>1.8184909E7</v>
      </c>
      <c r="E705" s="30">
        <v>45113.0</v>
      </c>
      <c r="F705" s="33" t="s">
        <v>76</v>
      </c>
      <c r="G705" s="34">
        <v>2.0</v>
      </c>
      <c r="H705" s="33" t="s">
        <v>81</v>
      </c>
      <c r="I705" s="33" t="s">
        <v>71</v>
      </c>
      <c r="J705" s="33" t="s">
        <v>93</v>
      </c>
      <c r="K705" s="33" t="s">
        <v>73</v>
      </c>
      <c r="L705" s="33" t="str">
        <f t="shared" si="1"/>
        <v>FAMILIAR</v>
      </c>
      <c r="M705" s="33">
        <f t="shared" si="2"/>
        <v>7</v>
      </c>
      <c r="N705" s="33">
        <f t="shared" si="3"/>
        <v>2023</v>
      </c>
      <c r="O705" s="35" t="str">
        <f>VLOOKUP(K705,'CA y tablas'!$B$22:$C$28,2,FALSE)</f>
        <v>AMERICANO</v>
      </c>
      <c r="P705" s="28" t="str">
        <f t="shared" si="4"/>
        <v>S2</v>
      </c>
      <c r="Q705" s="29">
        <v>2.0</v>
      </c>
      <c r="R705" s="29" t="str">
        <f t="shared" si="5"/>
        <v>Q2</v>
      </c>
    </row>
    <row r="706" ht="15.75" customHeight="1">
      <c r="A706" s="22">
        <v>45111.0</v>
      </c>
      <c r="B706" s="23">
        <v>2.868663136E9</v>
      </c>
      <c r="C706" s="24" t="s">
        <v>705</v>
      </c>
      <c r="D706" s="23">
        <v>2.2264543E7</v>
      </c>
      <c r="E706" s="22">
        <v>45113.0</v>
      </c>
      <c r="F706" s="25" t="s">
        <v>69</v>
      </c>
      <c r="G706" s="26">
        <v>2.0</v>
      </c>
      <c r="H706" s="25" t="s">
        <v>81</v>
      </c>
      <c r="I706" s="25" t="s">
        <v>71</v>
      </c>
      <c r="J706" s="25" t="s">
        <v>93</v>
      </c>
      <c r="K706" s="25" t="s">
        <v>73</v>
      </c>
      <c r="L706" s="25" t="str">
        <f t="shared" si="1"/>
        <v>FAMILIAR</v>
      </c>
      <c r="M706" s="25">
        <f t="shared" si="2"/>
        <v>7</v>
      </c>
      <c r="N706" s="25">
        <f t="shared" si="3"/>
        <v>2023</v>
      </c>
      <c r="O706" s="27" t="str">
        <f>VLOOKUP(K706,'CA y tablas'!$B$22:$C$28,2,FALSE)</f>
        <v>AMERICANO</v>
      </c>
      <c r="P706" s="28" t="str">
        <f t="shared" si="4"/>
        <v>S2</v>
      </c>
      <c r="Q706" s="29">
        <v>2.0</v>
      </c>
      <c r="R706" s="29" t="str">
        <f t="shared" si="5"/>
        <v>Q2</v>
      </c>
    </row>
    <row r="707" ht="15.75" customHeight="1">
      <c r="A707" s="30">
        <v>45111.0</v>
      </c>
      <c r="B707" s="31">
        <v>7.205564236E9</v>
      </c>
      <c r="C707" s="32" t="s">
        <v>705</v>
      </c>
      <c r="D707" s="31">
        <v>2.2264543E7</v>
      </c>
      <c r="E707" s="30">
        <v>45113.0</v>
      </c>
      <c r="F707" s="33" t="s">
        <v>69</v>
      </c>
      <c r="G707" s="34">
        <v>3.0</v>
      </c>
      <c r="H707" s="33" t="s">
        <v>81</v>
      </c>
      <c r="I707" s="33" t="s">
        <v>71</v>
      </c>
      <c r="J707" s="33" t="s">
        <v>93</v>
      </c>
      <c r="K707" s="33" t="s">
        <v>73</v>
      </c>
      <c r="L707" s="33" t="str">
        <f t="shared" si="1"/>
        <v>FAMILIAR</v>
      </c>
      <c r="M707" s="33">
        <f t="shared" si="2"/>
        <v>7</v>
      </c>
      <c r="N707" s="33">
        <f t="shared" si="3"/>
        <v>2023</v>
      </c>
      <c r="O707" s="35" t="str">
        <f>VLOOKUP(K707,'CA y tablas'!$B$22:$C$28,2,FALSE)</f>
        <v>AMERICANO</v>
      </c>
      <c r="P707" s="28" t="str">
        <f t="shared" si="4"/>
        <v>S2</v>
      </c>
      <c r="Q707" s="29">
        <v>2.0</v>
      </c>
      <c r="R707" s="29" t="str">
        <f t="shared" si="5"/>
        <v>Q2</v>
      </c>
    </row>
    <row r="708" ht="15.75" customHeight="1">
      <c r="A708" s="22">
        <v>45111.0</v>
      </c>
      <c r="B708" s="23">
        <v>3.26862809E9</v>
      </c>
      <c r="C708" s="24" t="s">
        <v>705</v>
      </c>
      <c r="D708" s="23">
        <v>2.2264543E7</v>
      </c>
      <c r="E708" s="22">
        <v>45113.0</v>
      </c>
      <c r="F708" s="25" t="s">
        <v>69</v>
      </c>
      <c r="G708" s="26">
        <v>3.0</v>
      </c>
      <c r="H708" s="25" t="s">
        <v>81</v>
      </c>
      <c r="I708" s="25" t="s">
        <v>71</v>
      </c>
      <c r="J708" s="25" t="s">
        <v>93</v>
      </c>
      <c r="K708" s="25" t="s">
        <v>73</v>
      </c>
      <c r="L708" s="25" t="str">
        <f t="shared" si="1"/>
        <v>FAMILIAR</v>
      </c>
      <c r="M708" s="25">
        <f t="shared" si="2"/>
        <v>7</v>
      </c>
      <c r="N708" s="25">
        <f t="shared" si="3"/>
        <v>2023</v>
      </c>
      <c r="O708" s="27" t="str">
        <f>VLOOKUP(K708,'CA y tablas'!$B$22:$C$28,2,FALSE)</f>
        <v>AMERICANO</v>
      </c>
      <c r="P708" s="28" t="str">
        <f t="shared" si="4"/>
        <v>S2</v>
      </c>
      <c r="Q708" s="29">
        <v>2.0</v>
      </c>
      <c r="R708" s="29" t="str">
        <f t="shared" si="5"/>
        <v>Q2</v>
      </c>
    </row>
    <row r="709" ht="15.75" customHeight="1">
      <c r="A709" s="30">
        <v>45112.0</v>
      </c>
      <c r="B709" s="31">
        <v>7.970855911E9</v>
      </c>
      <c r="C709" s="32" t="s">
        <v>706</v>
      </c>
      <c r="D709" s="31">
        <v>1.65408E7</v>
      </c>
      <c r="E709" s="30">
        <v>45113.0</v>
      </c>
      <c r="F709" s="33" t="s">
        <v>69</v>
      </c>
      <c r="G709" s="34">
        <v>3.0</v>
      </c>
      <c r="H709" s="33" t="s">
        <v>106</v>
      </c>
      <c r="I709" s="33" t="s">
        <v>71</v>
      </c>
      <c r="J709" s="33" t="s">
        <v>93</v>
      </c>
      <c r="K709" s="33" t="s">
        <v>73</v>
      </c>
      <c r="L709" s="33" t="str">
        <f t="shared" si="1"/>
        <v>FAMILIAR</v>
      </c>
      <c r="M709" s="33">
        <f t="shared" si="2"/>
        <v>7</v>
      </c>
      <c r="N709" s="33">
        <f t="shared" si="3"/>
        <v>2023</v>
      </c>
      <c r="O709" s="35" t="str">
        <f>VLOOKUP(K709,'CA y tablas'!$B$22:$C$28,2,FALSE)</f>
        <v>AMERICANO</v>
      </c>
      <c r="P709" s="28" t="str">
        <f t="shared" si="4"/>
        <v>S2</v>
      </c>
      <c r="Q709" s="29">
        <v>2.0</v>
      </c>
      <c r="R709" s="29" t="str">
        <f t="shared" si="5"/>
        <v>Q2</v>
      </c>
    </row>
    <row r="710" ht="15.75" customHeight="1">
      <c r="A710" s="22">
        <v>45112.0</v>
      </c>
      <c r="B710" s="23">
        <v>5.005946374E9</v>
      </c>
      <c r="C710" s="24" t="s">
        <v>707</v>
      </c>
      <c r="D710" s="23">
        <v>2.2664571E7</v>
      </c>
      <c r="E710" s="22">
        <v>45113.0</v>
      </c>
      <c r="F710" s="25" t="s">
        <v>76</v>
      </c>
      <c r="G710" s="26">
        <v>3.0</v>
      </c>
      <c r="H710" s="25" t="s">
        <v>106</v>
      </c>
      <c r="I710" s="25" t="s">
        <v>71</v>
      </c>
      <c r="J710" s="25" t="s">
        <v>93</v>
      </c>
      <c r="K710" s="25" t="s">
        <v>99</v>
      </c>
      <c r="L710" s="25" t="str">
        <f t="shared" si="1"/>
        <v>FAMILIAR</v>
      </c>
      <c r="M710" s="25">
        <f t="shared" si="2"/>
        <v>7</v>
      </c>
      <c r="N710" s="25">
        <f t="shared" si="3"/>
        <v>2023</v>
      </c>
      <c r="O710" s="27" t="str">
        <f>VLOOKUP(K710,'CA y tablas'!$B$22:$C$28,2,FALSE)</f>
        <v>EUROPEO</v>
      </c>
      <c r="P710" s="28" t="str">
        <f t="shared" si="4"/>
        <v>S2</v>
      </c>
      <c r="Q710" s="29">
        <v>2.0</v>
      </c>
      <c r="R710" s="29" t="str">
        <f t="shared" si="5"/>
        <v>Q2</v>
      </c>
    </row>
    <row r="711" ht="15.75" customHeight="1">
      <c r="A711" s="30">
        <v>45112.0</v>
      </c>
      <c r="B711" s="31">
        <v>7.479323961E9</v>
      </c>
      <c r="C711" s="32" t="s">
        <v>708</v>
      </c>
      <c r="D711" s="31">
        <v>2.4059533E7</v>
      </c>
      <c r="E711" s="30">
        <v>45113.0</v>
      </c>
      <c r="F711" s="33" t="s">
        <v>76</v>
      </c>
      <c r="G711" s="34">
        <v>2.0</v>
      </c>
      <c r="H711" s="33" t="s">
        <v>106</v>
      </c>
      <c r="I711" s="33" t="s">
        <v>71</v>
      </c>
      <c r="J711" s="33" t="s">
        <v>93</v>
      </c>
      <c r="K711" s="33" t="s">
        <v>99</v>
      </c>
      <c r="L711" s="33" t="str">
        <f t="shared" si="1"/>
        <v>FAMILIAR</v>
      </c>
      <c r="M711" s="33">
        <f t="shared" si="2"/>
        <v>7</v>
      </c>
      <c r="N711" s="33">
        <f t="shared" si="3"/>
        <v>2023</v>
      </c>
      <c r="O711" s="35" t="str">
        <f>VLOOKUP(K711,'CA y tablas'!$B$22:$C$28,2,FALSE)</f>
        <v>EUROPEO</v>
      </c>
      <c r="P711" s="28" t="str">
        <f t="shared" si="4"/>
        <v>S2</v>
      </c>
      <c r="Q711" s="29">
        <v>2.0</v>
      </c>
      <c r="R711" s="29" t="str">
        <f t="shared" si="5"/>
        <v>Q2</v>
      </c>
    </row>
    <row r="712" ht="15.75" customHeight="1">
      <c r="A712" s="22">
        <v>45112.0</v>
      </c>
      <c r="B712" s="23">
        <v>5.005970454E9</v>
      </c>
      <c r="C712" s="24" t="s">
        <v>709</v>
      </c>
      <c r="D712" s="23">
        <v>5427600.0</v>
      </c>
      <c r="E712" s="22">
        <v>45113.0</v>
      </c>
      <c r="F712" s="25" t="s">
        <v>76</v>
      </c>
      <c r="G712" s="26">
        <v>2.0</v>
      </c>
      <c r="H712" s="25" t="s">
        <v>106</v>
      </c>
      <c r="I712" s="25" t="s">
        <v>71</v>
      </c>
      <c r="J712" s="25" t="s">
        <v>93</v>
      </c>
      <c r="K712" s="25" t="s">
        <v>99</v>
      </c>
      <c r="L712" s="25" t="str">
        <f t="shared" si="1"/>
        <v>FAMILIAR</v>
      </c>
      <c r="M712" s="25">
        <f t="shared" si="2"/>
        <v>7</v>
      </c>
      <c r="N712" s="25">
        <f t="shared" si="3"/>
        <v>2023</v>
      </c>
      <c r="O712" s="27" t="str">
        <f>VLOOKUP(K712,'CA y tablas'!$B$22:$C$28,2,FALSE)</f>
        <v>EUROPEO</v>
      </c>
      <c r="P712" s="28" t="str">
        <f t="shared" si="4"/>
        <v>S2</v>
      </c>
      <c r="Q712" s="29">
        <v>2.0</v>
      </c>
      <c r="R712" s="29" t="str">
        <f t="shared" si="5"/>
        <v>Q2</v>
      </c>
    </row>
    <row r="713" ht="15.75" customHeight="1">
      <c r="A713" s="30">
        <v>45104.0</v>
      </c>
      <c r="B713" s="31">
        <v>2.434426153E9</v>
      </c>
      <c r="C713" s="32" t="s">
        <v>710</v>
      </c>
      <c r="D713" s="31">
        <v>1.1546173E7</v>
      </c>
      <c r="E713" s="30">
        <v>45114.0</v>
      </c>
      <c r="F713" s="33" t="s">
        <v>76</v>
      </c>
      <c r="G713" s="34">
        <v>2.0</v>
      </c>
      <c r="H713" s="33" t="s">
        <v>106</v>
      </c>
      <c r="I713" s="33" t="s">
        <v>71</v>
      </c>
      <c r="J713" s="33" t="s">
        <v>93</v>
      </c>
      <c r="K713" s="33" t="s">
        <v>99</v>
      </c>
      <c r="L713" s="33" t="str">
        <f t="shared" si="1"/>
        <v>FAMILIAR</v>
      </c>
      <c r="M713" s="33">
        <f t="shared" si="2"/>
        <v>7</v>
      </c>
      <c r="N713" s="33">
        <f t="shared" si="3"/>
        <v>2023</v>
      </c>
      <c r="O713" s="35" t="str">
        <f>VLOOKUP(K713,'CA y tablas'!$B$22:$C$28,2,FALSE)</f>
        <v>EUROPEO</v>
      </c>
      <c r="P713" s="28" t="str">
        <f t="shared" si="4"/>
        <v>S2</v>
      </c>
      <c r="Q713" s="29">
        <v>2.0</v>
      </c>
      <c r="R713" s="29" t="str">
        <f t="shared" si="5"/>
        <v>Q2</v>
      </c>
    </row>
    <row r="714" ht="15.75" customHeight="1">
      <c r="A714" s="22">
        <v>45105.0</v>
      </c>
      <c r="B714" s="23">
        <v>4.729466324E9</v>
      </c>
      <c r="C714" s="24" t="s">
        <v>711</v>
      </c>
      <c r="D714" s="23">
        <v>2.5212484E7</v>
      </c>
      <c r="E714" s="22">
        <v>45114.0</v>
      </c>
      <c r="F714" s="25" t="s">
        <v>76</v>
      </c>
      <c r="G714" s="26">
        <v>2.0</v>
      </c>
      <c r="H714" s="25" t="s">
        <v>106</v>
      </c>
      <c r="I714" s="25" t="s">
        <v>71</v>
      </c>
      <c r="J714" s="25" t="s">
        <v>93</v>
      </c>
      <c r="K714" s="25" t="s">
        <v>99</v>
      </c>
      <c r="L714" s="25" t="str">
        <f t="shared" si="1"/>
        <v>FAMILIAR</v>
      </c>
      <c r="M714" s="25">
        <f t="shared" si="2"/>
        <v>7</v>
      </c>
      <c r="N714" s="25">
        <f t="shared" si="3"/>
        <v>2023</v>
      </c>
      <c r="O714" s="27" t="str">
        <f>VLOOKUP(K714,'CA y tablas'!$B$22:$C$28,2,FALSE)</f>
        <v>EUROPEO</v>
      </c>
      <c r="P714" s="28" t="str">
        <f t="shared" si="4"/>
        <v>S2</v>
      </c>
      <c r="Q714" s="29">
        <v>2.0</v>
      </c>
      <c r="R714" s="29" t="str">
        <f t="shared" si="5"/>
        <v>Q2</v>
      </c>
    </row>
    <row r="715" ht="15.75" customHeight="1">
      <c r="A715" s="30">
        <v>45111.0</v>
      </c>
      <c r="B715" s="31">
        <v>5.16191305E9</v>
      </c>
      <c r="C715" s="32" t="s">
        <v>712</v>
      </c>
      <c r="D715" s="31">
        <v>3.2460083E7</v>
      </c>
      <c r="E715" s="30">
        <v>45114.0</v>
      </c>
      <c r="F715" s="33" t="s">
        <v>76</v>
      </c>
      <c r="G715" s="34">
        <v>2.0</v>
      </c>
      <c r="H715" s="33" t="s">
        <v>112</v>
      </c>
      <c r="I715" s="33" t="s">
        <v>77</v>
      </c>
      <c r="J715" s="33" t="s">
        <v>93</v>
      </c>
      <c r="K715" s="33" t="s">
        <v>99</v>
      </c>
      <c r="L715" s="33" t="str">
        <f t="shared" si="1"/>
        <v>FAMILIAR</v>
      </c>
      <c r="M715" s="33">
        <f t="shared" si="2"/>
        <v>7</v>
      </c>
      <c r="N715" s="33">
        <f t="shared" si="3"/>
        <v>2023</v>
      </c>
      <c r="O715" s="35" t="str">
        <f>VLOOKUP(K715,'CA y tablas'!$B$22:$C$28,2,FALSE)</f>
        <v>EUROPEO</v>
      </c>
      <c r="P715" s="28" t="str">
        <f t="shared" si="4"/>
        <v>S2</v>
      </c>
      <c r="Q715" s="29">
        <v>2.0</v>
      </c>
      <c r="R715" s="29" t="str">
        <f t="shared" si="5"/>
        <v>Q2</v>
      </c>
    </row>
    <row r="716" ht="15.75" customHeight="1">
      <c r="A716" s="22">
        <v>45111.0</v>
      </c>
      <c r="B716" s="23">
        <v>3.639377416E9</v>
      </c>
      <c r="C716" s="24" t="s">
        <v>713</v>
      </c>
      <c r="D716" s="23">
        <v>3.2224757E7</v>
      </c>
      <c r="E716" s="22">
        <v>45114.0</v>
      </c>
      <c r="F716" s="25" t="s">
        <v>69</v>
      </c>
      <c r="G716" s="26">
        <v>3.0</v>
      </c>
      <c r="H716" s="25" t="s">
        <v>112</v>
      </c>
      <c r="I716" s="25" t="s">
        <v>77</v>
      </c>
      <c r="J716" s="25" t="s">
        <v>93</v>
      </c>
      <c r="K716" s="25" t="s">
        <v>99</v>
      </c>
      <c r="L716" s="25" t="str">
        <f t="shared" si="1"/>
        <v>FAMILIAR</v>
      </c>
      <c r="M716" s="25">
        <f t="shared" si="2"/>
        <v>7</v>
      </c>
      <c r="N716" s="25">
        <f t="shared" si="3"/>
        <v>2023</v>
      </c>
      <c r="O716" s="27" t="str">
        <f>VLOOKUP(K716,'CA y tablas'!$B$22:$C$28,2,FALSE)</f>
        <v>EUROPEO</v>
      </c>
      <c r="P716" s="28" t="str">
        <f t="shared" si="4"/>
        <v>S2</v>
      </c>
      <c r="Q716" s="29">
        <v>2.0</v>
      </c>
      <c r="R716" s="29" t="str">
        <f t="shared" si="5"/>
        <v>Q2</v>
      </c>
    </row>
    <row r="717" ht="15.75" customHeight="1">
      <c r="A717" s="30">
        <v>45098.0</v>
      </c>
      <c r="B717" s="31">
        <v>5.541954681E9</v>
      </c>
      <c r="C717" s="32" t="s">
        <v>714</v>
      </c>
      <c r="D717" s="31">
        <v>3.6866651E7</v>
      </c>
      <c r="E717" s="30">
        <v>45117.0</v>
      </c>
      <c r="F717" s="33" t="s">
        <v>69</v>
      </c>
      <c r="G717" s="34">
        <v>3.0</v>
      </c>
      <c r="H717" s="33" t="s">
        <v>112</v>
      </c>
      <c r="I717" s="33" t="s">
        <v>77</v>
      </c>
      <c r="J717" s="33" t="s">
        <v>93</v>
      </c>
      <c r="K717" s="33" t="s">
        <v>99</v>
      </c>
      <c r="L717" s="33" t="str">
        <f t="shared" si="1"/>
        <v>FAMILIAR</v>
      </c>
      <c r="M717" s="33">
        <f t="shared" si="2"/>
        <v>7</v>
      </c>
      <c r="N717" s="33">
        <f t="shared" si="3"/>
        <v>2023</v>
      </c>
      <c r="O717" s="35" t="str">
        <f>VLOOKUP(K717,'CA y tablas'!$B$22:$C$28,2,FALSE)</f>
        <v>EUROPEO</v>
      </c>
      <c r="P717" s="28" t="str">
        <f t="shared" si="4"/>
        <v>S2</v>
      </c>
      <c r="Q717" s="29">
        <v>2.0</v>
      </c>
      <c r="R717" s="29" t="str">
        <f t="shared" si="5"/>
        <v>Q2</v>
      </c>
    </row>
    <row r="718" ht="15.75" customHeight="1">
      <c r="A718" s="22">
        <v>45099.0</v>
      </c>
      <c r="B718" s="23">
        <v>6.282909253E9</v>
      </c>
      <c r="C718" s="24" t="s">
        <v>715</v>
      </c>
      <c r="D718" s="23">
        <v>3.7725374E7</v>
      </c>
      <c r="E718" s="22">
        <v>45117.0</v>
      </c>
      <c r="F718" s="25" t="s">
        <v>69</v>
      </c>
      <c r="G718" s="26">
        <v>3.0</v>
      </c>
      <c r="H718" s="25" t="s">
        <v>112</v>
      </c>
      <c r="I718" s="25" t="s">
        <v>77</v>
      </c>
      <c r="J718" s="25" t="s">
        <v>93</v>
      </c>
      <c r="K718" s="25" t="s">
        <v>84</v>
      </c>
      <c r="L718" s="25" t="str">
        <f t="shared" si="1"/>
        <v>FAMILIAR</v>
      </c>
      <c r="M718" s="25">
        <f t="shared" si="2"/>
        <v>7</v>
      </c>
      <c r="N718" s="25">
        <f t="shared" si="3"/>
        <v>2023</v>
      </c>
      <c r="O718" s="27" t="str">
        <f>VLOOKUP(K718,'CA y tablas'!$B$22:$C$28,2,FALSE)</f>
        <v>EUROPEO</v>
      </c>
      <c r="P718" s="28" t="str">
        <f t="shared" si="4"/>
        <v>S2</v>
      </c>
      <c r="Q718" s="29">
        <v>2.0</v>
      </c>
      <c r="R718" s="29" t="str">
        <f t="shared" si="5"/>
        <v>Q2</v>
      </c>
    </row>
    <row r="719" ht="15.75" customHeight="1">
      <c r="A719" s="30">
        <v>45110.0</v>
      </c>
      <c r="B719" s="31">
        <v>4.902152883E9</v>
      </c>
      <c r="C719" s="32" t="s">
        <v>716</v>
      </c>
      <c r="D719" s="31">
        <v>2.1998191E7</v>
      </c>
      <c r="E719" s="30">
        <v>45117.0</v>
      </c>
      <c r="F719" s="33" t="s">
        <v>69</v>
      </c>
      <c r="G719" s="34">
        <v>3.0</v>
      </c>
      <c r="H719" s="33" t="s">
        <v>106</v>
      </c>
      <c r="I719" s="33" t="s">
        <v>77</v>
      </c>
      <c r="J719" s="33" t="s">
        <v>79</v>
      </c>
      <c r="K719" s="33" t="s">
        <v>84</v>
      </c>
      <c r="L719" s="33" t="str">
        <f t="shared" si="1"/>
        <v>FAMILIAR</v>
      </c>
      <c r="M719" s="33">
        <f t="shared" si="2"/>
        <v>7</v>
      </c>
      <c r="N719" s="33">
        <f t="shared" si="3"/>
        <v>2023</v>
      </c>
      <c r="O719" s="35" t="str">
        <f>VLOOKUP(K719,'CA y tablas'!$B$22:$C$28,2,FALSE)</f>
        <v>EUROPEO</v>
      </c>
      <c r="P719" s="28" t="str">
        <f t="shared" si="4"/>
        <v>S2</v>
      </c>
      <c r="Q719" s="29">
        <v>2.0</v>
      </c>
      <c r="R719" s="29" t="str">
        <f t="shared" si="5"/>
        <v>Q2</v>
      </c>
    </row>
    <row r="720" ht="15.75" customHeight="1">
      <c r="A720" s="22">
        <v>45111.0</v>
      </c>
      <c r="B720" s="23">
        <v>5.250484013E9</v>
      </c>
      <c r="C720" s="24" t="s">
        <v>717</v>
      </c>
      <c r="D720" s="23">
        <v>1.8523814E7</v>
      </c>
      <c r="E720" s="22">
        <v>45117.0</v>
      </c>
      <c r="F720" s="25" t="s">
        <v>76</v>
      </c>
      <c r="G720" s="26">
        <v>3.0</v>
      </c>
      <c r="H720" s="25" t="s">
        <v>106</v>
      </c>
      <c r="I720" s="25" t="s">
        <v>77</v>
      </c>
      <c r="J720" s="25" t="s">
        <v>79</v>
      </c>
      <c r="K720" s="25" t="s">
        <v>84</v>
      </c>
      <c r="L720" s="25" t="str">
        <f t="shared" si="1"/>
        <v>FAMILIAR</v>
      </c>
      <c r="M720" s="25">
        <f t="shared" si="2"/>
        <v>7</v>
      </c>
      <c r="N720" s="25">
        <f t="shared" si="3"/>
        <v>2023</v>
      </c>
      <c r="O720" s="27" t="str">
        <f>VLOOKUP(K720,'CA y tablas'!$B$22:$C$28,2,FALSE)</f>
        <v>EUROPEO</v>
      </c>
      <c r="P720" s="28" t="str">
        <f t="shared" si="4"/>
        <v>S2</v>
      </c>
      <c r="Q720" s="29">
        <v>2.0</v>
      </c>
      <c r="R720" s="29" t="str">
        <f t="shared" si="5"/>
        <v>Q2</v>
      </c>
    </row>
    <row r="721" ht="15.75" customHeight="1">
      <c r="A721" s="30">
        <v>45114.0</v>
      </c>
      <c r="B721" s="31">
        <v>3.867929111E9</v>
      </c>
      <c r="C721" s="32" t="s">
        <v>718</v>
      </c>
      <c r="D721" s="31">
        <v>1.1708615E7</v>
      </c>
      <c r="E721" s="30">
        <v>45117.0</v>
      </c>
      <c r="F721" s="33" t="s">
        <v>76</v>
      </c>
      <c r="G721" s="34">
        <v>3.0</v>
      </c>
      <c r="H721" s="33" t="s">
        <v>106</v>
      </c>
      <c r="I721" s="33" t="s">
        <v>77</v>
      </c>
      <c r="J721" s="33" t="s">
        <v>79</v>
      </c>
      <c r="K721" s="33" t="s">
        <v>84</v>
      </c>
      <c r="L721" s="33" t="str">
        <f t="shared" si="1"/>
        <v>FAMILIAR</v>
      </c>
      <c r="M721" s="33">
        <f t="shared" si="2"/>
        <v>7</v>
      </c>
      <c r="N721" s="33">
        <f t="shared" si="3"/>
        <v>2023</v>
      </c>
      <c r="O721" s="35" t="str">
        <f>VLOOKUP(K721,'CA y tablas'!$B$22:$C$28,2,FALSE)</f>
        <v>EUROPEO</v>
      </c>
      <c r="P721" s="28" t="str">
        <f t="shared" si="4"/>
        <v>S2</v>
      </c>
      <c r="Q721" s="29">
        <v>2.0</v>
      </c>
      <c r="R721" s="29" t="str">
        <f t="shared" si="5"/>
        <v>Q2</v>
      </c>
    </row>
    <row r="722" ht="15.75" customHeight="1">
      <c r="A722" s="22">
        <v>45114.0</v>
      </c>
      <c r="B722" s="23">
        <v>3.86526273E9</v>
      </c>
      <c r="C722" s="24" t="s">
        <v>719</v>
      </c>
      <c r="D722" s="23">
        <v>3.3815077E7</v>
      </c>
      <c r="E722" s="22">
        <v>45117.0</v>
      </c>
      <c r="F722" s="25" t="s">
        <v>76</v>
      </c>
      <c r="G722" s="26">
        <v>2.0</v>
      </c>
      <c r="H722" s="25" t="s">
        <v>106</v>
      </c>
      <c r="I722" s="25" t="s">
        <v>77</v>
      </c>
      <c r="J722" s="25" t="s">
        <v>79</v>
      </c>
      <c r="K722" s="25" t="s">
        <v>84</v>
      </c>
      <c r="L722" s="25" t="str">
        <f t="shared" si="1"/>
        <v>FAMILIAR</v>
      </c>
      <c r="M722" s="25">
        <f t="shared" si="2"/>
        <v>7</v>
      </c>
      <c r="N722" s="25">
        <f t="shared" si="3"/>
        <v>2023</v>
      </c>
      <c r="O722" s="27" t="str">
        <f>VLOOKUP(K722,'CA y tablas'!$B$22:$C$28,2,FALSE)</f>
        <v>EUROPEO</v>
      </c>
      <c r="P722" s="28" t="str">
        <f t="shared" si="4"/>
        <v>S2</v>
      </c>
      <c r="Q722" s="29">
        <v>2.0</v>
      </c>
      <c r="R722" s="29" t="str">
        <f t="shared" si="5"/>
        <v>Q2</v>
      </c>
    </row>
    <row r="723" ht="15.75" customHeight="1">
      <c r="A723" s="30">
        <v>45100.0</v>
      </c>
      <c r="B723" s="31">
        <v>7.729490705E9</v>
      </c>
      <c r="C723" s="32" t="s">
        <v>720</v>
      </c>
      <c r="D723" s="31">
        <v>2.17443E7</v>
      </c>
      <c r="E723" s="30">
        <v>45118.0</v>
      </c>
      <c r="F723" s="33" t="s">
        <v>76</v>
      </c>
      <c r="G723" s="34">
        <v>2.0</v>
      </c>
      <c r="H723" s="33" t="s">
        <v>106</v>
      </c>
      <c r="I723" s="33" t="s">
        <v>77</v>
      </c>
      <c r="J723" s="33" t="s">
        <v>79</v>
      </c>
      <c r="K723" s="33" t="s">
        <v>84</v>
      </c>
      <c r="L723" s="33" t="str">
        <f t="shared" si="1"/>
        <v>FAMILIAR</v>
      </c>
      <c r="M723" s="33">
        <f t="shared" si="2"/>
        <v>7</v>
      </c>
      <c r="N723" s="33">
        <f t="shared" si="3"/>
        <v>2023</v>
      </c>
      <c r="O723" s="35" t="str">
        <f>VLOOKUP(K723,'CA y tablas'!$B$22:$C$28,2,FALSE)</f>
        <v>EUROPEO</v>
      </c>
      <c r="P723" s="28" t="str">
        <f t="shared" si="4"/>
        <v>S2</v>
      </c>
      <c r="Q723" s="29">
        <v>2.0</v>
      </c>
      <c r="R723" s="29" t="str">
        <f t="shared" si="5"/>
        <v>Q2</v>
      </c>
    </row>
    <row r="724" ht="15.75" customHeight="1">
      <c r="A724" s="22">
        <v>45107.0</v>
      </c>
      <c r="B724" s="23">
        <v>7.819776064E9</v>
      </c>
      <c r="C724" s="24" t="s">
        <v>721</v>
      </c>
      <c r="D724" s="23">
        <v>1.761493E7</v>
      </c>
      <c r="E724" s="22">
        <v>45118.0</v>
      </c>
      <c r="F724" s="25" t="s">
        <v>69</v>
      </c>
      <c r="G724" s="26">
        <v>2.0</v>
      </c>
      <c r="H724" s="25" t="s">
        <v>116</v>
      </c>
      <c r="I724" s="25" t="s">
        <v>77</v>
      </c>
      <c r="J724" s="25" t="s">
        <v>79</v>
      </c>
      <c r="K724" s="25" t="s">
        <v>90</v>
      </c>
      <c r="L724" s="25" t="str">
        <f t="shared" si="1"/>
        <v>FAMILIAR</v>
      </c>
      <c r="M724" s="25">
        <f t="shared" si="2"/>
        <v>7</v>
      </c>
      <c r="N724" s="25">
        <f t="shared" si="3"/>
        <v>2023</v>
      </c>
      <c r="O724" s="27" t="str">
        <f>VLOOKUP(K724,'CA y tablas'!$B$22:$C$28,2,FALSE)</f>
        <v>EUROPEO</v>
      </c>
      <c r="P724" s="28" t="str">
        <f t="shared" si="4"/>
        <v>S2</v>
      </c>
      <c r="Q724" s="29">
        <v>2.0</v>
      </c>
      <c r="R724" s="29" t="str">
        <f t="shared" si="5"/>
        <v>Q2</v>
      </c>
    </row>
    <row r="725" ht="15.75" customHeight="1">
      <c r="A725" s="30">
        <v>45111.0</v>
      </c>
      <c r="B725" s="31">
        <v>3.268706792E9</v>
      </c>
      <c r="C725" s="32" t="s">
        <v>722</v>
      </c>
      <c r="D725" s="31">
        <v>2.3930219E7</v>
      </c>
      <c r="E725" s="30">
        <v>45118.0</v>
      </c>
      <c r="F725" s="33" t="s">
        <v>69</v>
      </c>
      <c r="G725" s="34">
        <v>3.0</v>
      </c>
      <c r="H725" s="33" t="s">
        <v>116</v>
      </c>
      <c r="I725" s="33" t="s">
        <v>77</v>
      </c>
      <c r="J725" s="33" t="s">
        <v>79</v>
      </c>
      <c r="K725" s="33" t="s">
        <v>90</v>
      </c>
      <c r="L725" s="33" t="str">
        <f t="shared" si="1"/>
        <v>FAMILIAR</v>
      </c>
      <c r="M725" s="33">
        <f t="shared" si="2"/>
        <v>7</v>
      </c>
      <c r="N725" s="33">
        <f t="shared" si="3"/>
        <v>2023</v>
      </c>
      <c r="O725" s="35" t="str">
        <f>VLOOKUP(K725,'CA y tablas'!$B$22:$C$28,2,FALSE)</f>
        <v>EUROPEO</v>
      </c>
      <c r="P725" s="28" t="str">
        <f t="shared" si="4"/>
        <v>S2</v>
      </c>
      <c r="Q725" s="29">
        <v>2.0</v>
      </c>
      <c r="R725" s="29" t="str">
        <f t="shared" si="5"/>
        <v>Q2</v>
      </c>
    </row>
    <row r="726" ht="15.75" customHeight="1">
      <c r="A726" s="22">
        <v>45114.0</v>
      </c>
      <c r="B726" s="23">
        <v>3.048174441E9</v>
      </c>
      <c r="C726" s="24" t="s">
        <v>723</v>
      </c>
      <c r="D726" s="23">
        <v>2.2450969E7</v>
      </c>
      <c r="E726" s="22">
        <v>45118.0</v>
      </c>
      <c r="F726" s="25" t="s">
        <v>69</v>
      </c>
      <c r="G726" s="26">
        <v>3.0</v>
      </c>
      <c r="H726" s="25" t="s">
        <v>116</v>
      </c>
      <c r="I726" s="25" t="s">
        <v>77</v>
      </c>
      <c r="J726" s="25" t="s">
        <v>79</v>
      </c>
      <c r="K726" s="25" t="s">
        <v>90</v>
      </c>
      <c r="L726" s="25" t="str">
        <f t="shared" si="1"/>
        <v>FAMILIAR</v>
      </c>
      <c r="M726" s="25">
        <f t="shared" si="2"/>
        <v>7</v>
      </c>
      <c r="N726" s="25">
        <f t="shared" si="3"/>
        <v>2023</v>
      </c>
      <c r="O726" s="27" t="str">
        <f>VLOOKUP(K726,'CA y tablas'!$B$22:$C$28,2,FALSE)</f>
        <v>EUROPEO</v>
      </c>
      <c r="P726" s="28" t="str">
        <f t="shared" si="4"/>
        <v>S2</v>
      </c>
      <c r="Q726" s="29">
        <v>2.0</v>
      </c>
      <c r="R726" s="29" t="str">
        <f t="shared" si="5"/>
        <v>Q2</v>
      </c>
    </row>
    <row r="727" ht="15.75" customHeight="1">
      <c r="A727" s="30">
        <v>45114.0</v>
      </c>
      <c r="B727" s="31">
        <v>8.992147522E9</v>
      </c>
      <c r="C727" s="32" t="s">
        <v>724</v>
      </c>
      <c r="D727" s="31">
        <v>3.9731219E7</v>
      </c>
      <c r="E727" s="30">
        <v>45118.0</v>
      </c>
      <c r="F727" s="33" t="s">
        <v>69</v>
      </c>
      <c r="G727" s="34">
        <v>3.0</v>
      </c>
      <c r="H727" s="33" t="s">
        <v>116</v>
      </c>
      <c r="I727" s="33" t="s">
        <v>77</v>
      </c>
      <c r="J727" s="33" t="s">
        <v>79</v>
      </c>
      <c r="K727" s="33" t="s">
        <v>90</v>
      </c>
      <c r="L727" s="33" t="str">
        <f t="shared" si="1"/>
        <v>FAMILIAR</v>
      </c>
      <c r="M727" s="33">
        <f t="shared" si="2"/>
        <v>7</v>
      </c>
      <c r="N727" s="33">
        <f t="shared" si="3"/>
        <v>2023</v>
      </c>
      <c r="O727" s="35" t="str">
        <f>VLOOKUP(K727,'CA y tablas'!$B$22:$C$28,2,FALSE)</f>
        <v>EUROPEO</v>
      </c>
      <c r="P727" s="28" t="str">
        <f t="shared" si="4"/>
        <v>S2</v>
      </c>
      <c r="Q727" s="29">
        <v>2.0</v>
      </c>
      <c r="R727" s="29" t="str">
        <f t="shared" si="5"/>
        <v>Q2</v>
      </c>
    </row>
    <row r="728" ht="15.75" customHeight="1">
      <c r="A728" s="22">
        <v>45118.0</v>
      </c>
      <c r="B728" s="23">
        <v>4.009012081E9</v>
      </c>
      <c r="C728" s="24" t="s">
        <v>718</v>
      </c>
      <c r="D728" s="23">
        <v>1.1708615E7</v>
      </c>
      <c r="E728" s="22">
        <v>45118.0</v>
      </c>
      <c r="F728" s="25" t="s">
        <v>69</v>
      </c>
      <c r="G728" s="26">
        <v>3.0</v>
      </c>
      <c r="H728" s="25" t="s">
        <v>116</v>
      </c>
      <c r="I728" s="25" t="s">
        <v>77</v>
      </c>
      <c r="J728" s="25" t="s">
        <v>79</v>
      </c>
      <c r="K728" s="25" t="s">
        <v>84</v>
      </c>
      <c r="L728" s="25" t="str">
        <f t="shared" si="1"/>
        <v>FAMILIAR</v>
      </c>
      <c r="M728" s="25">
        <f t="shared" si="2"/>
        <v>7</v>
      </c>
      <c r="N728" s="25">
        <f t="shared" si="3"/>
        <v>2023</v>
      </c>
      <c r="O728" s="27" t="str">
        <f>VLOOKUP(K728,'CA y tablas'!$B$22:$C$28,2,FALSE)</f>
        <v>EUROPEO</v>
      </c>
      <c r="P728" s="28" t="str">
        <f t="shared" si="4"/>
        <v>S2</v>
      </c>
      <c r="Q728" s="29">
        <v>2.0</v>
      </c>
      <c r="R728" s="29" t="str">
        <f t="shared" si="5"/>
        <v>Q2</v>
      </c>
    </row>
    <row r="729" ht="15.75" customHeight="1">
      <c r="A729" s="30">
        <v>45107.0</v>
      </c>
      <c r="B729" s="31">
        <v>7.930919883E9</v>
      </c>
      <c r="C729" s="32" t="s">
        <v>725</v>
      </c>
      <c r="D729" s="31">
        <v>3.1254083E7</v>
      </c>
      <c r="E729" s="30">
        <v>45119.0</v>
      </c>
      <c r="F729" s="33" t="s">
        <v>69</v>
      </c>
      <c r="G729" s="34">
        <v>3.0</v>
      </c>
      <c r="H729" s="33" t="s">
        <v>116</v>
      </c>
      <c r="I729" s="33" t="s">
        <v>88</v>
      </c>
      <c r="J729" s="33" t="s">
        <v>83</v>
      </c>
      <c r="K729" s="33" t="s">
        <v>84</v>
      </c>
      <c r="L729" s="33" t="str">
        <f t="shared" si="1"/>
        <v>FAMILIAR</v>
      </c>
      <c r="M729" s="33">
        <f t="shared" si="2"/>
        <v>7</v>
      </c>
      <c r="N729" s="33">
        <f t="shared" si="3"/>
        <v>2023</v>
      </c>
      <c r="O729" s="35" t="str">
        <f>VLOOKUP(K729,'CA y tablas'!$B$22:$C$28,2,FALSE)</f>
        <v>EUROPEO</v>
      </c>
      <c r="P729" s="28" t="str">
        <f t="shared" si="4"/>
        <v>S2</v>
      </c>
      <c r="Q729" s="29">
        <v>2.0</v>
      </c>
      <c r="R729" s="29" t="str">
        <f t="shared" si="5"/>
        <v>Q2</v>
      </c>
    </row>
    <row r="730" ht="15.75" customHeight="1">
      <c r="A730" s="22">
        <v>45110.0</v>
      </c>
      <c r="B730" s="23">
        <v>2.871174456E9</v>
      </c>
      <c r="C730" s="24" t="s">
        <v>726</v>
      </c>
      <c r="D730" s="23">
        <v>4.0953029E7</v>
      </c>
      <c r="E730" s="22">
        <v>45119.0</v>
      </c>
      <c r="F730" s="25" t="s">
        <v>69</v>
      </c>
      <c r="G730" s="26">
        <v>2.0</v>
      </c>
      <c r="H730" s="25" t="s">
        <v>116</v>
      </c>
      <c r="I730" s="25" t="s">
        <v>88</v>
      </c>
      <c r="J730" s="25" t="s">
        <v>83</v>
      </c>
      <c r="K730" s="25" t="s">
        <v>84</v>
      </c>
      <c r="L730" s="25" t="str">
        <f t="shared" si="1"/>
        <v>FAMILIAR</v>
      </c>
      <c r="M730" s="25">
        <f t="shared" si="2"/>
        <v>7</v>
      </c>
      <c r="N730" s="25">
        <f t="shared" si="3"/>
        <v>2023</v>
      </c>
      <c r="O730" s="27" t="str">
        <f>VLOOKUP(K730,'CA y tablas'!$B$22:$C$28,2,FALSE)</f>
        <v>EUROPEO</v>
      </c>
      <c r="P730" s="28" t="str">
        <f t="shared" si="4"/>
        <v>S2</v>
      </c>
      <c r="Q730" s="29">
        <v>2.0</v>
      </c>
      <c r="R730" s="29" t="str">
        <f t="shared" si="5"/>
        <v>Q2</v>
      </c>
    </row>
    <row r="731" ht="15.75" customHeight="1">
      <c r="A731" s="30">
        <v>45110.0</v>
      </c>
      <c r="B731" s="31">
        <v>6.926539863E9</v>
      </c>
      <c r="C731" s="32" t="s">
        <v>727</v>
      </c>
      <c r="D731" s="31">
        <v>4.320297E7</v>
      </c>
      <c r="E731" s="30">
        <v>45119.0</v>
      </c>
      <c r="F731" s="33" t="s">
        <v>69</v>
      </c>
      <c r="G731" s="34">
        <v>2.0</v>
      </c>
      <c r="H731" s="33" t="s">
        <v>116</v>
      </c>
      <c r="I731" s="33" t="s">
        <v>88</v>
      </c>
      <c r="J731" s="33" t="s">
        <v>83</v>
      </c>
      <c r="K731" s="33" t="s">
        <v>84</v>
      </c>
      <c r="L731" s="33" t="str">
        <f t="shared" si="1"/>
        <v>FAMILIAR</v>
      </c>
      <c r="M731" s="33">
        <f t="shared" si="2"/>
        <v>7</v>
      </c>
      <c r="N731" s="33">
        <f t="shared" si="3"/>
        <v>2023</v>
      </c>
      <c r="O731" s="35" t="str">
        <f>VLOOKUP(K731,'CA y tablas'!$B$22:$C$28,2,FALSE)</f>
        <v>EUROPEO</v>
      </c>
      <c r="P731" s="28" t="str">
        <f t="shared" si="4"/>
        <v>S2</v>
      </c>
      <c r="Q731" s="29">
        <v>2.0</v>
      </c>
      <c r="R731" s="29" t="str">
        <f t="shared" si="5"/>
        <v>Q2</v>
      </c>
    </row>
    <row r="732" ht="15.75" customHeight="1">
      <c r="A732" s="22">
        <v>45114.0</v>
      </c>
      <c r="B732" s="23">
        <v>8.992180595E9</v>
      </c>
      <c r="C732" s="24" t="s">
        <v>728</v>
      </c>
      <c r="D732" s="23">
        <v>3.6585681E7</v>
      </c>
      <c r="E732" s="22">
        <v>45119.0</v>
      </c>
      <c r="F732" s="25" t="s">
        <v>69</v>
      </c>
      <c r="G732" s="26">
        <v>2.0</v>
      </c>
      <c r="H732" s="25" t="s">
        <v>116</v>
      </c>
      <c r="I732" s="25" t="s">
        <v>88</v>
      </c>
      <c r="J732" s="25" t="s">
        <v>83</v>
      </c>
      <c r="K732" s="25" t="s">
        <v>84</v>
      </c>
      <c r="L732" s="25" t="str">
        <f t="shared" si="1"/>
        <v>FAMILIAR</v>
      </c>
      <c r="M732" s="25">
        <f t="shared" si="2"/>
        <v>7</v>
      </c>
      <c r="N732" s="25">
        <f t="shared" si="3"/>
        <v>2023</v>
      </c>
      <c r="O732" s="27" t="str">
        <f>VLOOKUP(K732,'CA y tablas'!$B$22:$C$28,2,FALSE)</f>
        <v>EUROPEO</v>
      </c>
      <c r="P732" s="28" t="str">
        <f t="shared" si="4"/>
        <v>S2</v>
      </c>
      <c r="Q732" s="29">
        <v>2.0</v>
      </c>
      <c r="R732" s="29" t="str">
        <f t="shared" si="5"/>
        <v>Q2</v>
      </c>
    </row>
    <row r="733" ht="15.75" customHeight="1">
      <c r="A733" s="30">
        <v>45118.0</v>
      </c>
      <c r="B733" s="31">
        <v>4.009038622E9</v>
      </c>
      <c r="C733" s="32" t="s">
        <v>729</v>
      </c>
      <c r="D733" s="31">
        <v>2.678383E7</v>
      </c>
      <c r="E733" s="30">
        <v>45119.0</v>
      </c>
      <c r="F733" s="33" t="s">
        <v>69</v>
      </c>
      <c r="G733" s="34">
        <v>2.0</v>
      </c>
      <c r="H733" s="33" t="s">
        <v>116</v>
      </c>
      <c r="I733" s="33" t="s">
        <v>88</v>
      </c>
      <c r="J733" s="33" t="s">
        <v>318</v>
      </c>
      <c r="K733" s="33" t="s">
        <v>107</v>
      </c>
      <c r="L733" s="33" t="str">
        <f t="shared" si="1"/>
        <v>FAMILIAR</v>
      </c>
      <c r="M733" s="33">
        <f t="shared" si="2"/>
        <v>7</v>
      </c>
      <c r="N733" s="33">
        <f t="shared" si="3"/>
        <v>2023</v>
      </c>
      <c r="O733" s="35" t="str">
        <f>VLOOKUP(K733,'CA y tablas'!$B$22:$C$28,2,FALSE)</f>
        <v>AMERICANO</v>
      </c>
      <c r="P733" s="28" t="str">
        <f t="shared" si="4"/>
        <v>S2</v>
      </c>
      <c r="Q733" s="29">
        <v>2.0</v>
      </c>
      <c r="R733" s="29" t="str">
        <f t="shared" si="5"/>
        <v>Q2</v>
      </c>
    </row>
    <row r="734" ht="15.75" customHeight="1">
      <c r="A734" s="22">
        <v>45118.0</v>
      </c>
      <c r="B734" s="23">
        <v>7.203615145E9</v>
      </c>
      <c r="C734" s="24" t="s">
        <v>730</v>
      </c>
      <c r="D734" s="23">
        <v>2.9878613E7</v>
      </c>
      <c r="E734" s="22">
        <v>45119.0</v>
      </c>
      <c r="F734" s="25" t="s">
        <v>69</v>
      </c>
      <c r="G734" s="26">
        <v>5.0</v>
      </c>
      <c r="H734" s="25" t="s">
        <v>116</v>
      </c>
      <c r="I734" s="25" t="s">
        <v>88</v>
      </c>
      <c r="J734" s="25" t="s">
        <v>318</v>
      </c>
      <c r="K734" s="25" t="s">
        <v>107</v>
      </c>
      <c r="L734" s="25" t="str">
        <f t="shared" si="1"/>
        <v>FAMILIAR</v>
      </c>
      <c r="M734" s="25">
        <f t="shared" si="2"/>
        <v>7</v>
      </c>
      <c r="N734" s="25">
        <f t="shared" si="3"/>
        <v>2023</v>
      </c>
      <c r="O734" s="27" t="str">
        <f>VLOOKUP(K734,'CA y tablas'!$B$22:$C$28,2,FALSE)</f>
        <v>AMERICANO</v>
      </c>
      <c r="P734" s="28" t="str">
        <f t="shared" si="4"/>
        <v>S2</v>
      </c>
      <c r="Q734" s="29">
        <v>2.0</v>
      </c>
      <c r="R734" s="29" t="str">
        <f t="shared" si="5"/>
        <v>Q2</v>
      </c>
    </row>
    <row r="735" ht="15.75" customHeight="1">
      <c r="A735" s="30">
        <v>45118.0</v>
      </c>
      <c r="B735" s="31">
        <v>9.812651262E9</v>
      </c>
      <c r="C735" s="32" t="s">
        <v>731</v>
      </c>
      <c r="D735" s="31">
        <v>1.2734032E7</v>
      </c>
      <c r="E735" s="30">
        <v>45119.0</v>
      </c>
      <c r="F735" s="33" t="s">
        <v>69</v>
      </c>
      <c r="G735" s="34">
        <v>5.0</v>
      </c>
      <c r="H735" s="33" t="s">
        <v>116</v>
      </c>
      <c r="I735" s="33" t="s">
        <v>88</v>
      </c>
      <c r="J735" s="33" t="s">
        <v>318</v>
      </c>
      <c r="K735" s="33" t="s">
        <v>107</v>
      </c>
      <c r="L735" s="33" t="str">
        <f t="shared" si="1"/>
        <v>FAMILIAR</v>
      </c>
      <c r="M735" s="33">
        <f t="shared" si="2"/>
        <v>7</v>
      </c>
      <c r="N735" s="33">
        <f t="shared" si="3"/>
        <v>2023</v>
      </c>
      <c r="O735" s="35" t="str">
        <f>VLOOKUP(K735,'CA y tablas'!$B$22:$C$28,2,FALSE)</f>
        <v>AMERICANO</v>
      </c>
      <c r="P735" s="28" t="str">
        <f t="shared" si="4"/>
        <v>S2</v>
      </c>
      <c r="Q735" s="29">
        <v>2.0</v>
      </c>
      <c r="R735" s="29" t="str">
        <f t="shared" si="5"/>
        <v>Q2</v>
      </c>
    </row>
    <row r="736" ht="15.75" customHeight="1">
      <c r="A736" s="22">
        <v>45092.0</v>
      </c>
      <c r="B736" s="23">
        <v>4.233753543E9</v>
      </c>
      <c r="C736" s="24" t="s">
        <v>732</v>
      </c>
      <c r="D736" s="23">
        <v>3.6328678E7</v>
      </c>
      <c r="E736" s="22">
        <v>45120.0</v>
      </c>
      <c r="F736" s="25" t="s">
        <v>69</v>
      </c>
      <c r="G736" s="26">
        <v>5.0</v>
      </c>
      <c r="H736" s="25" t="s">
        <v>116</v>
      </c>
      <c r="I736" s="25" t="s">
        <v>88</v>
      </c>
      <c r="J736" s="25" t="s">
        <v>318</v>
      </c>
      <c r="K736" s="25" t="s">
        <v>107</v>
      </c>
      <c r="L736" s="25" t="str">
        <f t="shared" si="1"/>
        <v>FAMILIAR</v>
      </c>
      <c r="M736" s="25">
        <f t="shared" si="2"/>
        <v>7</v>
      </c>
      <c r="N736" s="25">
        <f t="shared" si="3"/>
        <v>2023</v>
      </c>
      <c r="O736" s="27" t="str">
        <f>VLOOKUP(K736,'CA y tablas'!$B$22:$C$28,2,FALSE)</f>
        <v>AMERICANO</v>
      </c>
      <c r="P736" s="28" t="str">
        <f t="shared" si="4"/>
        <v>S2</v>
      </c>
      <c r="Q736" s="29">
        <v>2.0</v>
      </c>
      <c r="R736" s="29" t="str">
        <f t="shared" si="5"/>
        <v>Q2</v>
      </c>
    </row>
    <row r="737" ht="15.75" customHeight="1">
      <c r="A737" s="30">
        <v>45114.0</v>
      </c>
      <c r="B737" s="31">
        <v>7.098505503E9</v>
      </c>
      <c r="C737" s="32" t="s">
        <v>733</v>
      </c>
      <c r="D737" s="31">
        <v>2.8883409E7</v>
      </c>
      <c r="E737" s="30">
        <v>45120.0</v>
      </c>
      <c r="F737" s="33" t="s">
        <v>69</v>
      </c>
      <c r="G737" s="34">
        <v>6.0</v>
      </c>
      <c r="H737" s="33" t="s">
        <v>116</v>
      </c>
      <c r="I737" s="33" t="s">
        <v>88</v>
      </c>
      <c r="J737" s="33" t="s">
        <v>318</v>
      </c>
      <c r="K737" s="33" t="s">
        <v>107</v>
      </c>
      <c r="L737" s="33" t="str">
        <f t="shared" si="1"/>
        <v>FAMILIAR</v>
      </c>
      <c r="M737" s="33">
        <f t="shared" si="2"/>
        <v>7</v>
      </c>
      <c r="N737" s="33">
        <f t="shared" si="3"/>
        <v>2023</v>
      </c>
      <c r="O737" s="35" t="str">
        <f>VLOOKUP(K737,'CA y tablas'!$B$22:$C$28,2,FALSE)</f>
        <v>AMERICANO</v>
      </c>
      <c r="P737" s="28" t="str">
        <f t="shared" si="4"/>
        <v>S2</v>
      </c>
      <c r="Q737" s="29">
        <v>2.0</v>
      </c>
      <c r="R737" s="29" t="str">
        <f t="shared" si="5"/>
        <v>Q2</v>
      </c>
    </row>
    <row r="738" ht="15.75" customHeight="1">
      <c r="A738" s="22">
        <v>45114.0</v>
      </c>
      <c r="B738" s="23">
        <v>3.865271384E9</v>
      </c>
      <c r="C738" s="24" t="s">
        <v>734</v>
      </c>
      <c r="D738" s="23">
        <v>1.726943E7</v>
      </c>
      <c r="E738" s="22">
        <v>45120.0</v>
      </c>
      <c r="F738" s="25" t="s">
        <v>69</v>
      </c>
      <c r="G738" s="26">
        <v>2.0</v>
      </c>
      <c r="H738" s="25" t="s">
        <v>116</v>
      </c>
      <c r="I738" s="25" t="s">
        <v>88</v>
      </c>
      <c r="J738" s="25" t="s">
        <v>318</v>
      </c>
      <c r="K738" s="25" t="s">
        <v>217</v>
      </c>
      <c r="L738" s="25" t="str">
        <f t="shared" si="1"/>
        <v>FAMILIAR</v>
      </c>
      <c r="M738" s="25">
        <f t="shared" si="2"/>
        <v>7</v>
      </c>
      <c r="N738" s="25">
        <f t="shared" si="3"/>
        <v>2023</v>
      </c>
      <c r="O738" s="27" t="str">
        <f>VLOOKUP(K738,'CA y tablas'!$B$22:$C$28,2,FALSE)</f>
        <v>ASIATICO</v>
      </c>
      <c r="P738" s="28" t="str">
        <f t="shared" si="4"/>
        <v>S2</v>
      </c>
      <c r="Q738" s="29">
        <v>2.0</v>
      </c>
      <c r="R738" s="29" t="str">
        <f t="shared" si="5"/>
        <v>Q2</v>
      </c>
    </row>
    <row r="739" ht="15.75" customHeight="1">
      <c r="A739" s="30">
        <v>45117.0</v>
      </c>
      <c r="B739" s="31">
        <v>8.318918742E9</v>
      </c>
      <c r="C739" s="32" t="s">
        <v>735</v>
      </c>
      <c r="D739" s="31">
        <v>5877684.0</v>
      </c>
      <c r="E739" s="30">
        <v>45120.0</v>
      </c>
      <c r="F739" s="33" t="s">
        <v>69</v>
      </c>
      <c r="G739" s="34">
        <v>2.0</v>
      </c>
      <c r="H739" s="33" t="s">
        <v>116</v>
      </c>
      <c r="I739" s="33" t="s">
        <v>71</v>
      </c>
      <c r="J739" s="33" t="s">
        <v>318</v>
      </c>
      <c r="K739" s="33" t="s">
        <v>217</v>
      </c>
      <c r="L739" s="33" t="str">
        <f t="shared" si="1"/>
        <v>FAMILIAR</v>
      </c>
      <c r="M739" s="33">
        <f t="shared" si="2"/>
        <v>7</v>
      </c>
      <c r="N739" s="33">
        <f t="shared" si="3"/>
        <v>2023</v>
      </c>
      <c r="O739" s="35" t="str">
        <f>VLOOKUP(K739,'CA y tablas'!$B$22:$C$28,2,FALSE)</f>
        <v>ASIATICO</v>
      </c>
      <c r="P739" s="28" t="str">
        <f t="shared" si="4"/>
        <v>S2</v>
      </c>
      <c r="Q739" s="29">
        <v>2.0</v>
      </c>
      <c r="R739" s="29" t="str">
        <f t="shared" si="5"/>
        <v>Q2</v>
      </c>
    </row>
    <row r="740" ht="15.75" customHeight="1">
      <c r="A740" s="22">
        <v>45117.0</v>
      </c>
      <c r="B740" s="23">
        <v>9.941793735E9</v>
      </c>
      <c r="C740" s="24" t="s">
        <v>736</v>
      </c>
      <c r="D740" s="23">
        <v>5877684.0</v>
      </c>
      <c r="E740" s="22">
        <v>45120.0</v>
      </c>
      <c r="F740" s="25" t="s">
        <v>76</v>
      </c>
      <c r="G740" s="26">
        <v>2.0</v>
      </c>
      <c r="H740" s="25" t="s">
        <v>116</v>
      </c>
      <c r="I740" s="25" t="s">
        <v>71</v>
      </c>
      <c r="J740" s="25" t="s">
        <v>72</v>
      </c>
      <c r="K740" s="25" t="s">
        <v>217</v>
      </c>
      <c r="L740" s="25" t="str">
        <f t="shared" si="1"/>
        <v>FAMILIAR</v>
      </c>
      <c r="M740" s="25">
        <f t="shared" si="2"/>
        <v>7</v>
      </c>
      <c r="N740" s="25">
        <f t="shared" si="3"/>
        <v>2023</v>
      </c>
      <c r="O740" s="27" t="str">
        <f>VLOOKUP(K740,'CA y tablas'!$B$22:$C$28,2,FALSE)</f>
        <v>ASIATICO</v>
      </c>
      <c r="P740" s="28" t="str">
        <f t="shared" si="4"/>
        <v>S2</v>
      </c>
      <c r="Q740" s="29">
        <v>2.0</v>
      </c>
      <c r="R740" s="29" t="str">
        <f t="shared" si="5"/>
        <v>Q2</v>
      </c>
    </row>
    <row r="741" ht="15.75" customHeight="1">
      <c r="A741" s="30">
        <v>45117.0</v>
      </c>
      <c r="B741" s="31">
        <v>2.212850872E9</v>
      </c>
      <c r="C741" s="32" t="s">
        <v>737</v>
      </c>
      <c r="D741" s="31">
        <v>4.0355587E7</v>
      </c>
      <c r="E741" s="30">
        <v>45120.0</v>
      </c>
      <c r="F741" s="33" t="s">
        <v>69</v>
      </c>
      <c r="G741" s="34">
        <v>2.0</v>
      </c>
      <c r="H741" s="33" t="s">
        <v>70</v>
      </c>
      <c r="I741" s="33" t="s">
        <v>71</v>
      </c>
      <c r="J741" s="33" t="s">
        <v>72</v>
      </c>
      <c r="K741" s="33" t="s">
        <v>217</v>
      </c>
      <c r="L741" s="33" t="str">
        <f t="shared" si="1"/>
        <v>FAMILIAR</v>
      </c>
      <c r="M741" s="33">
        <f t="shared" si="2"/>
        <v>7</v>
      </c>
      <c r="N741" s="33">
        <f t="shared" si="3"/>
        <v>2023</v>
      </c>
      <c r="O741" s="35" t="str">
        <f>VLOOKUP(K741,'CA y tablas'!$B$22:$C$28,2,FALSE)</f>
        <v>ASIATICO</v>
      </c>
      <c r="P741" s="28" t="str">
        <f t="shared" si="4"/>
        <v>S2</v>
      </c>
      <c r="Q741" s="29">
        <v>2.0</v>
      </c>
      <c r="R741" s="29" t="str">
        <f t="shared" si="5"/>
        <v>Q2</v>
      </c>
    </row>
    <row r="742" ht="15.75" customHeight="1">
      <c r="A742" s="22">
        <v>45117.0</v>
      </c>
      <c r="B742" s="23">
        <v>3.273118413E9</v>
      </c>
      <c r="C742" s="24" t="s">
        <v>737</v>
      </c>
      <c r="D742" s="23">
        <v>4.0355587E7</v>
      </c>
      <c r="E742" s="22">
        <v>45120.0</v>
      </c>
      <c r="F742" s="25" t="s">
        <v>69</v>
      </c>
      <c r="G742" s="26">
        <v>7.0</v>
      </c>
      <c r="H742" s="25" t="s">
        <v>70</v>
      </c>
      <c r="I742" s="25" t="s">
        <v>71</v>
      </c>
      <c r="J742" s="25" t="s">
        <v>72</v>
      </c>
      <c r="K742" s="25" t="s">
        <v>99</v>
      </c>
      <c r="L742" s="25" t="str">
        <f t="shared" si="1"/>
        <v>FAMILIAR</v>
      </c>
      <c r="M742" s="25">
        <f t="shared" si="2"/>
        <v>7</v>
      </c>
      <c r="N742" s="25">
        <f t="shared" si="3"/>
        <v>2023</v>
      </c>
      <c r="O742" s="27" t="str">
        <f>VLOOKUP(K742,'CA y tablas'!$B$22:$C$28,2,FALSE)</f>
        <v>EUROPEO</v>
      </c>
      <c r="P742" s="28" t="str">
        <f t="shared" si="4"/>
        <v>S2</v>
      </c>
      <c r="Q742" s="29">
        <v>2.0</v>
      </c>
      <c r="R742" s="29" t="str">
        <f t="shared" si="5"/>
        <v>Q2</v>
      </c>
    </row>
    <row r="743" ht="15.75" customHeight="1">
      <c r="A743" s="30">
        <v>45119.0</v>
      </c>
      <c r="B743" s="31">
        <v>8.318932425E9</v>
      </c>
      <c r="C743" s="32" t="s">
        <v>738</v>
      </c>
      <c r="D743" s="31">
        <v>3.4326778E7</v>
      </c>
      <c r="E743" s="30">
        <v>45120.0</v>
      </c>
      <c r="F743" s="33" t="s">
        <v>69</v>
      </c>
      <c r="G743" s="34">
        <v>2.0</v>
      </c>
      <c r="H743" s="33" t="s">
        <v>70</v>
      </c>
      <c r="I743" s="33" t="s">
        <v>71</v>
      </c>
      <c r="J743" s="33" t="s">
        <v>72</v>
      </c>
      <c r="K743" s="33" t="s">
        <v>99</v>
      </c>
      <c r="L743" s="33" t="str">
        <f t="shared" si="1"/>
        <v>FAMILIAR</v>
      </c>
      <c r="M743" s="33">
        <f t="shared" si="2"/>
        <v>7</v>
      </c>
      <c r="N743" s="33">
        <f t="shared" si="3"/>
        <v>2023</v>
      </c>
      <c r="O743" s="35" t="str">
        <f>VLOOKUP(K743,'CA y tablas'!$B$22:$C$28,2,FALSE)</f>
        <v>EUROPEO</v>
      </c>
      <c r="P743" s="28" t="str">
        <f t="shared" si="4"/>
        <v>S2</v>
      </c>
      <c r="Q743" s="29">
        <v>2.0</v>
      </c>
      <c r="R743" s="29" t="str">
        <f t="shared" si="5"/>
        <v>Q2</v>
      </c>
    </row>
    <row r="744" ht="15.75" customHeight="1">
      <c r="A744" s="22">
        <v>45119.0</v>
      </c>
      <c r="B744" s="23">
        <v>6.119499201E9</v>
      </c>
      <c r="C744" s="24" t="s">
        <v>739</v>
      </c>
      <c r="D744" s="23">
        <v>2.2877665E7</v>
      </c>
      <c r="E744" s="22">
        <v>45120.0</v>
      </c>
      <c r="F744" s="25" t="s">
        <v>69</v>
      </c>
      <c r="G744" s="26">
        <v>2.0</v>
      </c>
      <c r="H744" s="25" t="s">
        <v>106</v>
      </c>
      <c r="I744" s="25" t="s">
        <v>71</v>
      </c>
      <c r="J744" s="25" t="s">
        <v>72</v>
      </c>
      <c r="K744" s="25" t="s">
        <v>99</v>
      </c>
      <c r="L744" s="25" t="str">
        <f t="shared" si="1"/>
        <v>FAMILIAR</v>
      </c>
      <c r="M744" s="25">
        <f t="shared" si="2"/>
        <v>7</v>
      </c>
      <c r="N744" s="25">
        <f t="shared" si="3"/>
        <v>2023</v>
      </c>
      <c r="O744" s="27" t="str">
        <f>VLOOKUP(K744,'CA y tablas'!$B$22:$C$28,2,FALSE)</f>
        <v>EUROPEO</v>
      </c>
      <c r="P744" s="28" t="str">
        <f t="shared" si="4"/>
        <v>S2</v>
      </c>
      <c r="Q744" s="29">
        <v>2.0</v>
      </c>
      <c r="R744" s="29" t="str">
        <f t="shared" si="5"/>
        <v>Q2</v>
      </c>
    </row>
    <row r="745" ht="15.75" customHeight="1">
      <c r="A745" s="30">
        <v>45119.0</v>
      </c>
      <c r="B745" s="31">
        <v>1.157946182E9</v>
      </c>
      <c r="C745" s="32" t="s">
        <v>740</v>
      </c>
      <c r="D745" s="31">
        <v>3.7507931E7</v>
      </c>
      <c r="E745" s="30">
        <v>45120.0</v>
      </c>
      <c r="F745" s="33" t="s">
        <v>69</v>
      </c>
      <c r="G745" s="34">
        <v>2.0</v>
      </c>
      <c r="H745" s="33" t="s">
        <v>106</v>
      </c>
      <c r="I745" s="33" t="s">
        <v>71</v>
      </c>
      <c r="J745" s="33" t="s">
        <v>72</v>
      </c>
      <c r="K745" s="33" t="s">
        <v>99</v>
      </c>
      <c r="L745" s="33" t="str">
        <f t="shared" si="1"/>
        <v>FAMILIAR</v>
      </c>
      <c r="M745" s="33">
        <f t="shared" si="2"/>
        <v>7</v>
      </c>
      <c r="N745" s="33">
        <f t="shared" si="3"/>
        <v>2023</v>
      </c>
      <c r="O745" s="35" t="str">
        <f>VLOOKUP(K745,'CA y tablas'!$B$22:$C$28,2,FALSE)</f>
        <v>EUROPEO</v>
      </c>
      <c r="P745" s="28" t="str">
        <f t="shared" si="4"/>
        <v>S2</v>
      </c>
      <c r="Q745" s="29">
        <v>2.0</v>
      </c>
      <c r="R745" s="29" t="str">
        <f t="shared" si="5"/>
        <v>Q2</v>
      </c>
    </row>
    <row r="746" ht="15.75" customHeight="1">
      <c r="A746" s="22">
        <v>45099.0</v>
      </c>
      <c r="B746" s="23">
        <v>1.155619356E9</v>
      </c>
      <c r="C746" s="24" t="s">
        <v>741</v>
      </c>
      <c r="D746" s="23">
        <v>2.8314082E7</v>
      </c>
      <c r="E746" s="22">
        <v>45121.0</v>
      </c>
      <c r="F746" s="25" t="s">
        <v>69</v>
      </c>
      <c r="G746" s="26">
        <v>1.0</v>
      </c>
      <c r="H746" s="25" t="s">
        <v>106</v>
      </c>
      <c r="I746" s="25" t="s">
        <v>71</v>
      </c>
      <c r="J746" s="25" t="s">
        <v>72</v>
      </c>
      <c r="K746" s="25" t="s">
        <v>90</v>
      </c>
      <c r="L746" s="25" t="str">
        <f t="shared" si="1"/>
        <v>INDIVIDUAL</v>
      </c>
      <c r="M746" s="25">
        <f t="shared" si="2"/>
        <v>7</v>
      </c>
      <c r="N746" s="25">
        <f t="shared" si="3"/>
        <v>2023</v>
      </c>
      <c r="O746" s="27" t="str">
        <f>VLOOKUP(K746,'CA y tablas'!$B$22:$C$28,2,FALSE)</f>
        <v>EUROPEO</v>
      </c>
      <c r="P746" s="28" t="str">
        <f t="shared" si="4"/>
        <v>S2</v>
      </c>
      <c r="Q746" s="29">
        <v>2.0</v>
      </c>
      <c r="R746" s="29" t="str">
        <f t="shared" si="5"/>
        <v>Q2</v>
      </c>
    </row>
    <row r="747" ht="15.75" customHeight="1">
      <c r="A747" s="30">
        <v>45100.0</v>
      </c>
      <c r="B747" s="31">
        <v>1.77046541E9</v>
      </c>
      <c r="C747" s="32" t="s">
        <v>742</v>
      </c>
      <c r="D747" s="31">
        <v>3.4285208E7</v>
      </c>
      <c r="E747" s="30">
        <v>45121.0</v>
      </c>
      <c r="F747" s="33" t="s">
        <v>76</v>
      </c>
      <c r="G747" s="34">
        <v>1.0</v>
      </c>
      <c r="H747" s="33" t="s">
        <v>106</v>
      </c>
      <c r="I747" s="33" t="s">
        <v>71</v>
      </c>
      <c r="J747" s="33" t="s">
        <v>72</v>
      </c>
      <c r="K747" s="33" t="s">
        <v>90</v>
      </c>
      <c r="L747" s="33" t="str">
        <f t="shared" si="1"/>
        <v>INDIVIDUAL</v>
      </c>
      <c r="M747" s="33">
        <f t="shared" si="2"/>
        <v>7</v>
      </c>
      <c r="N747" s="33">
        <f t="shared" si="3"/>
        <v>2023</v>
      </c>
      <c r="O747" s="35" t="str">
        <f>VLOOKUP(K747,'CA y tablas'!$B$22:$C$28,2,FALSE)</f>
        <v>EUROPEO</v>
      </c>
      <c r="P747" s="28" t="str">
        <f t="shared" si="4"/>
        <v>S2</v>
      </c>
      <c r="Q747" s="29">
        <v>2.0</v>
      </c>
      <c r="R747" s="29" t="str">
        <f t="shared" si="5"/>
        <v>Q2</v>
      </c>
    </row>
    <row r="748" ht="15.75" customHeight="1">
      <c r="A748" s="22">
        <v>45112.0</v>
      </c>
      <c r="B748" s="23">
        <v>7.47929994E9</v>
      </c>
      <c r="C748" s="24" t="s">
        <v>743</v>
      </c>
      <c r="D748" s="23">
        <v>1.1985688E7</v>
      </c>
      <c r="E748" s="22">
        <v>45121.0</v>
      </c>
      <c r="F748" s="25" t="s">
        <v>69</v>
      </c>
      <c r="G748" s="26">
        <v>1.0</v>
      </c>
      <c r="H748" s="25" t="s">
        <v>106</v>
      </c>
      <c r="I748" s="25" t="s">
        <v>71</v>
      </c>
      <c r="J748" s="25" t="s">
        <v>72</v>
      </c>
      <c r="K748" s="25" t="s">
        <v>90</v>
      </c>
      <c r="L748" s="25" t="str">
        <f t="shared" si="1"/>
        <v>INDIVIDUAL</v>
      </c>
      <c r="M748" s="25">
        <f t="shared" si="2"/>
        <v>7</v>
      </c>
      <c r="N748" s="25">
        <f t="shared" si="3"/>
        <v>2023</v>
      </c>
      <c r="O748" s="27" t="str">
        <f>VLOOKUP(K748,'CA y tablas'!$B$22:$C$28,2,FALSE)</f>
        <v>EUROPEO</v>
      </c>
      <c r="P748" s="28" t="str">
        <f t="shared" si="4"/>
        <v>S2</v>
      </c>
      <c r="Q748" s="29">
        <v>2.0</v>
      </c>
      <c r="R748" s="29" t="str">
        <f t="shared" si="5"/>
        <v>Q2</v>
      </c>
    </row>
    <row r="749" ht="15.75" customHeight="1">
      <c r="A749" s="30">
        <v>45114.0</v>
      </c>
      <c r="B749" s="31">
        <v>3.867937603E9</v>
      </c>
      <c r="C749" s="32" t="s">
        <v>744</v>
      </c>
      <c r="D749" s="31">
        <v>2.2264449E7</v>
      </c>
      <c r="E749" s="30">
        <v>45121.0</v>
      </c>
      <c r="F749" s="33" t="s">
        <v>69</v>
      </c>
      <c r="G749" s="34">
        <v>1.0</v>
      </c>
      <c r="H749" s="33" t="s">
        <v>106</v>
      </c>
      <c r="I749" s="33" t="s">
        <v>71</v>
      </c>
      <c r="J749" s="33" t="s">
        <v>98</v>
      </c>
      <c r="K749" s="33" t="s">
        <v>90</v>
      </c>
      <c r="L749" s="33" t="str">
        <f t="shared" si="1"/>
        <v>INDIVIDUAL</v>
      </c>
      <c r="M749" s="33">
        <f t="shared" si="2"/>
        <v>7</v>
      </c>
      <c r="N749" s="33">
        <f t="shared" si="3"/>
        <v>2023</v>
      </c>
      <c r="O749" s="35" t="str">
        <f>VLOOKUP(K749,'CA y tablas'!$B$22:$C$28,2,FALSE)</f>
        <v>EUROPEO</v>
      </c>
      <c r="P749" s="28" t="str">
        <f t="shared" si="4"/>
        <v>S2</v>
      </c>
      <c r="Q749" s="29">
        <v>2.0</v>
      </c>
      <c r="R749" s="29" t="str">
        <f t="shared" si="5"/>
        <v>Q2</v>
      </c>
    </row>
    <row r="750" ht="15.75" customHeight="1">
      <c r="A750" s="22">
        <v>45117.0</v>
      </c>
      <c r="B750" s="23">
        <v>9.94194103E9</v>
      </c>
      <c r="C750" s="24" t="s">
        <v>745</v>
      </c>
      <c r="D750" s="23">
        <v>3.3540721E7</v>
      </c>
      <c r="E750" s="22">
        <v>45121.0</v>
      </c>
      <c r="F750" s="25" t="s">
        <v>69</v>
      </c>
      <c r="G750" s="26">
        <v>1.0</v>
      </c>
      <c r="H750" s="25" t="s">
        <v>106</v>
      </c>
      <c r="I750" s="25" t="s">
        <v>71</v>
      </c>
      <c r="J750" s="25" t="s">
        <v>98</v>
      </c>
      <c r="K750" s="25" t="s">
        <v>103</v>
      </c>
      <c r="L750" s="25" t="str">
        <f t="shared" si="1"/>
        <v>INDIVIDUAL</v>
      </c>
      <c r="M750" s="25">
        <f t="shared" si="2"/>
        <v>7</v>
      </c>
      <c r="N750" s="25">
        <f t="shared" si="3"/>
        <v>2023</v>
      </c>
      <c r="O750" s="27" t="str">
        <f>VLOOKUP(K750,'CA y tablas'!$B$22:$C$28,2,FALSE)</f>
        <v>EUROPEO</v>
      </c>
      <c r="P750" s="28" t="str">
        <f t="shared" si="4"/>
        <v>S2</v>
      </c>
      <c r="Q750" s="29">
        <v>2.0</v>
      </c>
      <c r="R750" s="29" t="str">
        <f t="shared" si="5"/>
        <v>Q2</v>
      </c>
    </row>
    <row r="751" ht="15.75" customHeight="1">
      <c r="A751" s="30">
        <v>45118.0</v>
      </c>
      <c r="B751" s="31">
        <v>2.898574803E9</v>
      </c>
      <c r="C751" s="32" t="s">
        <v>746</v>
      </c>
      <c r="D751" s="31">
        <v>2.8137525E7</v>
      </c>
      <c r="E751" s="30">
        <v>45121.0</v>
      </c>
      <c r="F751" s="33" t="s">
        <v>69</v>
      </c>
      <c r="G751" s="34">
        <v>1.0</v>
      </c>
      <c r="H751" s="33" t="s">
        <v>106</v>
      </c>
      <c r="I751" s="33" t="s">
        <v>71</v>
      </c>
      <c r="J751" s="33" t="s">
        <v>98</v>
      </c>
      <c r="K751" s="33" t="s">
        <v>103</v>
      </c>
      <c r="L751" s="33" t="str">
        <f t="shared" si="1"/>
        <v>INDIVIDUAL</v>
      </c>
      <c r="M751" s="33">
        <f t="shared" si="2"/>
        <v>7</v>
      </c>
      <c r="N751" s="33">
        <f t="shared" si="3"/>
        <v>2023</v>
      </c>
      <c r="O751" s="35" t="str">
        <f>VLOOKUP(K751,'CA y tablas'!$B$22:$C$28,2,FALSE)</f>
        <v>EUROPEO</v>
      </c>
      <c r="P751" s="28" t="str">
        <f t="shared" si="4"/>
        <v>S2</v>
      </c>
      <c r="Q751" s="29">
        <v>2.0</v>
      </c>
      <c r="R751" s="29" t="str">
        <f t="shared" si="5"/>
        <v>Q2</v>
      </c>
    </row>
    <row r="752" ht="15.75" customHeight="1">
      <c r="A752" s="22">
        <v>45119.0</v>
      </c>
      <c r="B752" s="23">
        <v>6.119496843E9</v>
      </c>
      <c r="C752" s="24" t="s">
        <v>747</v>
      </c>
      <c r="D752" s="23">
        <v>1.0012878E7</v>
      </c>
      <c r="E752" s="22">
        <v>45121.0</v>
      </c>
      <c r="F752" s="25" t="s">
        <v>69</v>
      </c>
      <c r="G752" s="26">
        <v>1.0</v>
      </c>
      <c r="H752" s="25" t="s">
        <v>106</v>
      </c>
      <c r="I752" s="25" t="s">
        <v>71</v>
      </c>
      <c r="J752" s="25" t="s">
        <v>98</v>
      </c>
      <c r="K752" s="25" t="s">
        <v>103</v>
      </c>
      <c r="L752" s="25" t="str">
        <f t="shared" si="1"/>
        <v>INDIVIDUAL</v>
      </c>
      <c r="M752" s="25">
        <f t="shared" si="2"/>
        <v>7</v>
      </c>
      <c r="N752" s="25">
        <f t="shared" si="3"/>
        <v>2023</v>
      </c>
      <c r="O752" s="27" t="str">
        <f>VLOOKUP(K752,'CA y tablas'!$B$22:$C$28,2,FALSE)</f>
        <v>EUROPEO</v>
      </c>
      <c r="P752" s="28" t="str">
        <f t="shared" si="4"/>
        <v>S2</v>
      </c>
      <c r="Q752" s="29">
        <v>2.0</v>
      </c>
      <c r="R752" s="29" t="str">
        <f t="shared" si="5"/>
        <v>Q2</v>
      </c>
    </row>
    <row r="753" ht="15.75" customHeight="1">
      <c r="A753" s="30">
        <v>45107.0</v>
      </c>
      <c r="B753" s="31">
        <v>6.793667996E9</v>
      </c>
      <c r="C753" s="32" t="s">
        <v>748</v>
      </c>
      <c r="D753" s="31">
        <v>3.3969239E7</v>
      </c>
      <c r="E753" s="30">
        <v>45124.0</v>
      </c>
      <c r="F753" s="33" t="s">
        <v>76</v>
      </c>
      <c r="G753" s="34">
        <v>1.0</v>
      </c>
      <c r="H753" s="33" t="s">
        <v>70</v>
      </c>
      <c r="I753" s="33" t="s">
        <v>71</v>
      </c>
      <c r="J753" s="33" t="s">
        <v>98</v>
      </c>
      <c r="K753" s="33" t="s">
        <v>103</v>
      </c>
      <c r="L753" s="33" t="str">
        <f t="shared" si="1"/>
        <v>INDIVIDUAL</v>
      </c>
      <c r="M753" s="33">
        <f t="shared" si="2"/>
        <v>7</v>
      </c>
      <c r="N753" s="33">
        <f t="shared" si="3"/>
        <v>2023</v>
      </c>
      <c r="O753" s="35" t="str">
        <f>VLOOKUP(K753,'CA y tablas'!$B$22:$C$28,2,FALSE)</f>
        <v>EUROPEO</v>
      </c>
      <c r="P753" s="28" t="str">
        <f t="shared" si="4"/>
        <v>S2</v>
      </c>
      <c r="Q753" s="29">
        <v>2.0</v>
      </c>
      <c r="R753" s="29" t="str">
        <f t="shared" si="5"/>
        <v>Q2</v>
      </c>
    </row>
    <row r="754" ht="15.75" customHeight="1">
      <c r="A754" s="22">
        <v>45112.0</v>
      </c>
      <c r="B754" s="23">
        <v>9.905629742E9</v>
      </c>
      <c r="C754" s="24" t="s">
        <v>749</v>
      </c>
      <c r="D754" s="23">
        <v>3.1588515E7</v>
      </c>
      <c r="E754" s="22">
        <v>45124.0</v>
      </c>
      <c r="F754" s="25" t="s">
        <v>69</v>
      </c>
      <c r="G754" s="26">
        <v>1.0</v>
      </c>
      <c r="H754" s="25" t="s">
        <v>70</v>
      </c>
      <c r="I754" s="25" t="s">
        <v>77</v>
      </c>
      <c r="J754" s="25" t="s">
        <v>98</v>
      </c>
      <c r="K754" s="25" t="s">
        <v>103</v>
      </c>
      <c r="L754" s="25" t="str">
        <f t="shared" si="1"/>
        <v>INDIVIDUAL</v>
      </c>
      <c r="M754" s="25">
        <f t="shared" si="2"/>
        <v>7</v>
      </c>
      <c r="N754" s="25">
        <f t="shared" si="3"/>
        <v>2023</v>
      </c>
      <c r="O754" s="27" t="str">
        <f>VLOOKUP(K754,'CA y tablas'!$B$22:$C$28,2,FALSE)</f>
        <v>EUROPEO</v>
      </c>
      <c r="P754" s="28" t="str">
        <f t="shared" si="4"/>
        <v>S2</v>
      </c>
      <c r="Q754" s="29">
        <v>2.0</v>
      </c>
      <c r="R754" s="29" t="str">
        <f t="shared" si="5"/>
        <v>Q2</v>
      </c>
    </row>
    <row r="755" ht="15.75" customHeight="1">
      <c r="A755" s="30">
        <v>45117.0</v>
      </c>
      <c r="B755" s="31">
        <v>2.208285914E9</v>
      </c>
      <c r="C755" s="32" t="s">
        <v>750</v>
      </c>
      <c r="D755" s="31">
        <v>8105966.0</v>
      </c>
      <c r="E755" s="30">
        <v>45124.0</v>
      </c>
      <c r="F755" s="33" t="s">
        <v>69</v>
      </c>
      <c r="G755" s="34">
        <v>1.0</v>
      </c>
      <c r="H755" s="33" t="s">
        <v>70</v>
      </c>
      <c r="I755" s="33" t="s">
        <v>77</v>
      </c>
      <c r="J755" s="33" t="s">
        <v>98</v>
      </c>
      <c r="K755" s="33" t="s">
        <v>84</v>
      </c>
      <c r="L755" s="33" t="str">
        <f t="shared" si="1"/>
        <v>INDIVIDUAL</v>
      </c>
      <c r="M755" s="33">
        <f t="shared" si="2"/>
        <v>7</v>
      </c>
      <c r="N755" s="33">
        <f t="shared" si="3"/>
        <v>2023</v>
      </c>
      <c r="O755" s="35" t="str">
        <f>VLOOKUP(K755,'CA y tablas'!$B$22:$C$28,2,FALSE)</f>
        <v>EUROPEO</v>
      </c>
      <c r="P755" s="28" t="str">
        <f t="shared" si="4"/>
        <v>S2</v>
      </c>
      <c r="Q755" s="29">
        <v>2.0</v>
      </c>
      <c r="R755" s="29" t="str">
        <f t="shared" si="5"/>
        <v>Q2</v>
      </c>
    </row>
    <row r="756" ht="15.75" customHeight="1">
      <c r="A756" s="22">
        <v>45119.0</v>
      </c>
      <c r="B756" s="23">
        <v>1.72841228E9</v>
      </c>
      <c r="C756" s="24" t="s">
        <v>751</v>
      </c>
      <c r="D756" s="23">
        <v>4.2797683E7</v>
      </c>
      <c r="E756" s="22">
        <v>45124.0</v>
      </c>
      <c r="F756" s="25" t="s">
        <v>69</v>
      </c>
      <c r="G756" s="26">
        <v>2.0</v>
      </c>
      <c r="H756" s="25" t="s">
        <v>70</v>
      </c>
      <c r="I756" s="25" t="s">
        <v>77</v>
      </c>
      <c r="J756" s="25" t="s">
        <v>98</v>
      </c>
      <c r="K756" s="25" t="s">
        <v>84</v>
      </c>
      <c r="L756" s="25" t="str">
        <f t="shared" si="1"/>
        <v>FAMILIAR</v>
      </c>
      <c r="M756" s="25">
        <f t="shared" si="2"/>
        <v>7</v>
      </c>
      <c r="N756" s="25">
        <f t="shared" si="3"/>
        <v>2023</v>
      </c>
      <c r="O756" s="27" t="str">
        <f>VLOOKUP(K756,'CA y tablas'!$B$22:$C$28,2,FALSE)</f>
        <v>EUROPEO</v>
      </c>
      <c r="P756" s="28" t="str">
        <f t="shared" si="4"/>
        <v>S2</v>
      </c>
      <c r="Q756" s="29">
        <v>2.0</v>
      </c>
      <c r="R756" s="29" t="str">
        <f t="shared" si="5"/>
        <v>Q2</v>
      </c>
    </row>
    <row r="757" ht="15.75" customHeight="1">
      <c r="A757" s="30">
        <v>45104.0</v>
      </c>
      <c r="B757" s="31">
        <v>8.275394853E9</v>
      </c>
      <c r="C757" s="32" t="s">
        <v>720</v>
      </c>
      <c r="D757" s="31">
        <v>2.17443E7</v>
      </c>
      <c r="E757" s="30">
        <v>45125.0</v>
      </c>
      <c r="F757" s="33" t="s">
        <v>76</v>
      </c>
      <c r="G757" s="34">
        <v>3.0</v>
      </c>
      <c r="H757" s="33" t="s">
        <v>70</v>
      </c>
      <c r="I757" s="33" t="s">
        <v>77</v>
      </c>
      <c r="J757" s="33" t="s">
        <v>98</v>
      </c>
      <c r="K757" s="33" t="s">
        <v>84</v>
      </c>
      <c r="L757" s="33" t="str">
        <f t="shared" si="1"/>
        <v>FAMILIAR</v>
      </c>
      <c r="M757" s="33">
        <f t="shared" si="2"/>
        <v>7</v>
      </c>
      <c r="N757" s="33">
        <f t="shared" si="3"/>
        <v>2023</v>
      </c>
      <c r="O757" s="35" t="str">
        <f>VLOOKUP(K757,'CA y tablas'!$B$22:$C$28,2,FALSE)</f>
        <v>EUROPEO</v>
      </c>
      <c r="P757" s="28" t="str">
        <f t="shared" si="4"/>
        <v>S2</v>
      </c>
      <c r="Q757" s="29">
        <v>2.0</v>
      </c>
      <c r="R757" s="29" t="str">
        <f t="shared" si="5"/>
        <v>Q2</v>
      </c>
    </row>
    <row r="758" ht="15.75" customHeight="1">
      <c r="A758" s="22">
        <v>45111.0</v>
      </c>
      <c r="B758" s="23">
        <v>7.958188604E9</v>
      </c>
      <c r="C758" s="24" t="s">
        <v>744</v>
      </c>
      <c r="D758" s="23">
        <v>2.2264499E7</v>
      </c>
      <c r="E758" s="22">
        <v>45126.0</v>
      </c>
      <c r="F758" s="25" t="s">
        <v>76</v>
      </c>
      <c r="G758" s="26">
        <v>2.0</v>
      </c>
      <c r="H758" s="25" t="s">
        <v>70</v>
      </c>
      <c r="I758" s="25" t="s">
        <v>77</v>
      </c>
      <c r="J758" s="25" t="s">
        <v>83</v>
      </c>
      <c r="K758" s="25" t="s">
        <v>84</v>
      </c>
      <c r="L758" s="25" t="str">
        <f t="shared" si="1"/>
        <v>FAMILIAR</v>
      </c>
      <c r="M758" s="25">
        <f t="shared" si="2"/>
        <v>7</v>
      </c>
      <c r="N758" s="25">
        <f t="shared" si="3"/>
        <v>2023</v>
      </c>
      <c r="O758" s="27" t="str">
        <f>VLOOKUP(K758,'CA y tablas'!$B$22:$C$28,2,FALSE)</f>
        <v>EUROPEO</v>
      </c>
      <c r="P758" s="28" t="str">
        <f t="shared" si="4"/>
        <v>S2</v>
      </c>
      <c r="Q758" s="29">
        <v>2.0</v>
      </c>
      <c r="R758" s="29" t="str">
        <f t="shared" si="5"/>
        <v>Q2</v>
      </c>
    </row>
    <row r="759" ht="15.75" customHeight="1">
      <c r="A759" s="30">
        <v>45114.0</v>
      </c>
      <c r="B759" s="31">
        <v>3.865258876E9</v>
      </c>
      <c r="C759" s="32" t="s">
        <v>752</v>
      </c>
      <c r="D759" s="31">
        <v>4.6054335E7</v>
      </c>
      <c r="E759" s="30">
        <v>45126.0</v>
      </c>
      <c r="F759" s="33" t="s">
        <v>76</v>
      </c>
      <c r="G759" s="34">
        <v>3.0</v>
      </c>
      <c r="H759" s="33" t="s">
        <v>70</v>
      </c>
      <c r="I759" s="33" t="s">
        <v>77</v>
      </c>
      <c r="J759" s="33" t="s">
        <v>83</v>
      </c>
      <c r="K759" s="33" t="s">
        <v>90</v>
      </c>
      <c r="L759" s="33" t="str">
        <f t="shared" si="1"/>
        <v>FAMILIAR</v>
      </c>
      <c r="M759" s="33">
        <f t="shared" si="2"/>
        <v>7</v>
      </c>
      <c r="N759" s="33">
        <f t="shared" si="3"/>
        <v>2023</v>
      </c>
      <c r="O759" s="35" t="str">
        <f>VLOOKUP(K759,'CA y tablas'!$B$22:$C$28,2,FALSE)</f>
        <v>EUROPEO</v>
      </c>
      <c r="P759" s="28" t="str">
        <f t="shared" si="4"/>
        <v>S2</v>
      </c>
      <c r="Q759" s="29">
        <v>2.0</v>
      </c>
      <c r="R759" s="29" t="str">
        <f t="shared" si="5"/>
        <v>Q2</v>
      </c>
    </row>
    <row r="760" ht="15.75" customHeight="1">
      <c r="A760" s="22">
        <v>45118.0</v>
      </c>
      <c r="B760" s="23">
        <v>5.872565775E9</v>
      </c>
      <c r="C760" s="24" t="s">
        <v>753</v>
      </c>
      <c r="D760" s="23">
        <v>1.4410877E7</v>
      </c>
      <c r="E760" s="22">
        <v>45126.0</v>
      </c>
      <c r="F760" s="25" t="s">
        <v>69</v>
      </c>
      <c r="G760" s="26">
        <v>3.0</v>
      </c>
      <c r="H760" s="25" t="s">
        <v>70</v>
      </c>
      <c r="I760" s="25" t="s">
        <v>77</v>
      </c>
      <c r="J760" s="25" t="s">
        <v>83</v>
      </c>
      <c r="K760" s="25" t="s">
        <v>90</v>
      </c>
      <c r="L760" s="25" t="str">
        <f t="shared" si="1"/>
        <v>FAMILIAR</v>
      </c>
      <c r="M760" s="25">
        <f t="shared" si="2"/>
        <v>7</v>
      </c>
      <c r="N760" s="25">
        <f t="shared" si="3"/>
        <v>2023</v>
      </c>
      <c r="O760" s="27" t="str">
        <f>VLOOKUP(K760,'CA y tablas'!$B$22:$C$28,2,FALSE)</f>
        <v>EUROPEO</v>
      </c>
      <c r="P760" s="28" t="str">
        <f t="shared" si="4"/>
        <v>S2</v>
      </c>
      <c r="Q760" s="29">
        <v>2.0</v>
      </c>
      <c r="R760" s="29" t="str">
        <f t="shared" si="5"/>
        <v>Q2</v>
      </c>
    </row>
    <row r="761" ht="15.75" customHeight="1">
      <c r="A761" s="30">
        <v>45125.0</v>
      </c>
      <c r="B761" s="31">
        <v>1.341126043E9</v>
      </c>
      <c r="C761" s="32" t="s">
        <v>754</v>
      </c>
      <c r="D761" s="31">
        <v>7601400.0</v>
      </c>
      <c r="E761" s="30">
        <v>45126.0</v>
      </c>
      <c r="F761" s="33" t="s">
        <v>69</v>
      </c>
      <c r="G761" s="34">
        <v>3.0</v>
      </c>
      <c r="H761" s="33" t="s">
        <v>70</v>
      </c>
      <c r="I761" s="33" t="s">
        <v>77</v>
      </c>
      <c r="J761" s="33" t="s">
        <v>83</v>
      </c>
      <c r="K761" s="33" t="s">
        <v>90</v>
      </c>
      <c r="L761" s="33" t="str">
        <f t="shared" si="1"/>
        <v>FAMILIAR</v>
      </c>
      <c r="M761" s="33">
        <f t="shared" si="2"/>
        <v>7</v>
      </c>
      <c r="N761" s="33">
        <f t="shared" si="3"/>
        <v>2023</v>
      </c>
      <c r="O761" s="35" t="str">
        <f>VLOOKUP(K761,'CA y tablas'!$B$22:$C$28,2,FALSE)</f>
        <v>EUROPEO</v>
      </c>
      <c r="P761" s="28" t="str">
        <f t="shared" si="4"/>
        <v>S2</v>
      </c>
      <c r="Q761" s="29">
        <v>2.0</v>
      </c>
      <c r="R761" s="29" t="str">
        <f t="shared" si="5"/>
        <v>Q2</v>
      </c>
    </row>
    <row r="762" ht="15.75" customHeight="1">
      <c r="A762" s="22">
        <v>45125.0</v>
      </c>
      <c r="B762" s="23">
        <v>2.864897221E9</v>
      </c>
      <c r="C762" s="24" t="s">
        <v>755</v>
      </c>
      <c r="D762" s="23">
        <v>1.7696053E7</v>
      </c>
      <c r="E762" s="22">
        <v>45126.0</v>
      </c>
      <c r="F762" s="25" t="s">
        <v>76</v>
      </c>
      <c r="G762" s="26">
        <v>3.0</v>
      </c>
      <c r="H762" s="25" t="s">
        <v>70</v>
      </c>
      <c r="I762" s="25" t="s">
        <v>77</v>
      </c>
      <c r="J762" s="25" t="s">
        <v>83</v>
      </c>
      <c r="K762" s="25" t="s">
        <v>90</v>
      </c>
      <c r="L762" s="25" t="str">
        <f t="shared" si="1"/>
        <v>FAMILIAR</v>
      </c>
      <c r="M762" s="25">
        <f t="shared" si="2"/>
        <v>7</v>
      </c>
      <c r="N762" s="25">
        <f t="shared" si="3"/>
        <v>2023</v>
      </c>
      <c r="O762" s="27" t="str">
        <f>VLOOKUP(K762,'CA y tablas'!$B$22:$C$28,2,FALSE)</f>
        <v>EUROPEO</v>
      </c>
      <c r="P762" s="28" t="str">
        <f t="shared" si="4"/>
        <v>S2</v>
      </c>
      <c r="Q762" s="29">
        <v>2.0</v>
      </c>
      <c r="R762" s="29" t="str">
        <f t="shared" si="5"/>
        <v>Q2</v>
      </c>
    </row>
    <row r="763" ht="15.75" customHeight="1">
      <c r="A763" s="30">
        <v>45125.0</v>
      </c>
      <c r="B763" s="31">
        <v>5.144498892E9</v>
      </c>
      <c r="C763" s="32" t="s">
        <v>756</v>
      </c>
      <c r="D763" s="31">
        <v>2.0284967E7</v>
      </c>
      <c r="E763" s="30">
        <v>45126.0</v>
      </c>
      <c r="F763" s="33" t="s">
        <v>69</v>
      </c>
      <c r="G763" s="34">
        <v>3.0</v>
      </c>
      <c r="H763" s="33" t="s">
        <v>70</v>
      </c>
      <c r="I763" s="33" t="s">
        <v>77</v>
      </c>
      <c r="J763" s="33" t="s">
        <v>79</v>
      </c>
      <c r="K763" s="33" t="s">
        <v>90</v>
      </c>
      <c r="L763" s="33" t="str">
        <f t="shared" si="1"/>
        <v>FAMILIAR</v>
      </c>
      <c r="M763" s="33">
        <f t="shared" si="2"/>
        <v>7</v>
      </c>
      <c r="N763" s="33">
        <f t="shared" si="3"/>
        <v>2023</v>
      </c>
      <c r="O763" s="35" t="str">
        <f>VLOOKUP(K763,'CA y tablas'!$B$22:$C$28,2,FALSE)</f>
        <v>EUROPEO</v>
      </c>
      <c r="P763" s="28" t="str">
        <f t="shared" si="4"/>
        <v>S2</v>
      </c>
      <c r="Q763" s="29">
        <v>2.0</v>
      </c>
      <c r="R763" s="29" t="str">
        <f t="shared" si="5"/>
        <v>Q2</v>
      </c>
    </row>
    <row r="764" ht="15.75" customHeight="1">
      <c r="A764" s="22">
        <v>45125.0</v>
      </c>
      <c r="B764" s="23">
        <v>6.290436106E9</v>
      </c>
      <c r="C764" s="24" t="s">
        <v>757</v>
      </c>
      <c r="D764" s="23">
        <v>2.8221025E7</v>
      </c>
      <c r="E764" s="22">
        <v>45126.0</v>
      </c>
      <c r="F764" s="25" t="s">
        <v>69</v>
      </c>
      <c r="G764" s="26">
        <v>2.0</v>
      </c>
      <c r="H764" s="25" t="s">
        <v>70</v>
      </c>
      <c r="I764" s="25" t="s">
        <v>77</v>
      </c>
      <c r="J764" s="25" t="s">
        <v>79</v>
      </c>
      <c r="K764" s="25" t="s">
        <v>84</v>
      </c>
      <c r="L764" s="25" t="str">
        <f t="shared" si="1"/>
        <v>FAMILIAR</v>
      </c>
      <c r="M764" s="25">
        <f t="shared" si="2"/>
        <v>7</v>
      </c>
      <c r="N764" s="25">
        <f t="shared" si="3"/>
        <v>2023</v>
      </c>
      <c r="O764" s="27" t="str">
        <f>VLOOKUP(K764,'CA y tablas'!$B$22:$C$28,2,FALSE)</f>
        <v>EUROPEO</v>
      </c>
      <c r="P764" s="28" t="str">
        <f t="shared" si="4"/>
        <v>S2</v>
      </c>
      <c r="Q764" s="29">
        <v>2.0</v>
      </c>
      <c r="R764" s="29" t="str">
        <f t="shared" si="5"/>
        <v>Q2</v>
      </c>
    </row>
    <row r="765" ht="15.75" customHeight="1">
      <c r="A765" s="30">
        <v>45125.0</v>
      </c>
      <c r="B765" s="31">
        <v>2.882944433E9</v>
      </c>
      <c r="C765" s="32" t="s">
        <v>758</v>
      </c>
      <c r="D765" s="31">
        <v>3.8063297E7</v>
      </c>
      <c r="E765" s="30">
        <v>45126.0</v>
      </c>
      <c r="F765" s="33" t="s">
        <v>76</v>
      </c>
      <c r="G765" s="34">
        <v>3.0</v>
      </c>
      <c r="H765" s="33" t="s">
        <v>70</v>
      </c>
      <c r="I765" s="33" t="s">
        <v>77</v>
      </c>
      <c r="J765" s="33" t="s">
        <v>79</v>
      </c>
      <c r="K765" s="33" t="s">
        <v>84</v>
      </c>
      <c r="L765" s="33" t="str">
        <f t="shared" si="1"/>
        <v>FAMILIAR</v>
      </c>
      <c r="M765" s="33">
        <f t="shared" si="2"/>
        <v>7</v>
      </c>
      <c r="N765" s="33">
        <f t="shared" si="3"/>
        <v>2023</v>
      </c>
      <c r="O765" s="35" t="str">
        <f>VLOOKUP(K765,'CA y tablas'!$B$22:$C$28,2,FALSE)</f>
        <v>EUROPEO</v>
      </c>
      <c r="P765" s="28" t="str">
        <f t="shared" si="4"/>
        <v>S2</v>
      </c>
      <c r="Q765" s="29">
        <v>2.0</v>
      </c>
      <c r="R765" s="29" t="str">
        <f t="shared" si="5"/>
        <v>Q2</v>
      </c>
    </row>
    <row r="766" ht="15.75" customHeight="1">
      <c r="A766" s="22">
        <v>45125.0</v>
      </c>
      <c r="B766" s="23">
        <v>4.96718285E9</v>
      </c>
      <c r="C766" s="24" t="s">
        <v>759</v>
      </c>
      <c r="D766" s="23">
        <v>1.8619024E7</v>
      </c>
      <c r="E766" s="22">
        <v>45126.0</v>
      </c>
      <c r="F766" s="25" t="s">
        <v>76</v>
      </c>
      <c r="G766" s="26">
        <v>2.0</v>
      </c>
      <c r="H766" s="25" t="s">
        <v>70</v>
      </c>
      <c r="I766" s="25" t="s">
        <v>77</v>
      </c>
      <c r="J766" s="25" t="s">
        <v>79</v>
      </c>
      <c r="K766" s="25" t="s">
        <v>84</v>
      </c>
      <c r="L766" s="25" t="str">
        <f t="shared" si="1"/>
        <v>FAMILIAR</v>
      </c>
      <c r="M766" s="25">
        <f t="shared" si="2"/>
        <v>7</v>
      </c>
      <c r="N766" s="25">
        <f t="shared" si="3"/>
        <v>2023</v>
      </c>
      <c r="O766" s="27" t="str">
        <f>VLOOKUP(K766,'CA y tablas'!$B$22:$C$28,2,FALSE)</f>
        <v>EUROPEO</v>
      </c>
      <c r="P766" s="28" t="str">
        <f t="shared" si="4"/>
        <v>S2</v>
      </c>
      <c r="Q766" s="29">
        <v>2.0</v>
      </c>
      <c r="R766" s="29" t="str">
        <f t="shared" si="5"/>
        <v>Q2</v>
      </c>
    </row>
    <row r="767" ht="15.75" customHeight="1">
      <c r="A767" s="30">
        <v>45125.0</v>
      </c>
      <c r="B767" s="31">
        <v>2.864919923E9</v>
      </c>
      <c r="C767" s="32" t="s">
        <v>760</v>
      </c>
      <c r="D767" s="31">
        <v>3.337497E7</v>
      </c>
      <c r="E767" s="30">
        <v>45126.0</v>
      </c>
      <c r="F767" s="33" t="s">
        <v>76</v>
      </c>
      <c r="G767" s="34">
        <v>2.0</v>
      </c>
      <c r="H767" s="33" t="s">
        <v>70</v>
      </c>
      <c r="I767" s="33" t="s">
        <v>77</v>
      </c>
      <c r="J767" s="33" t="s">
        <v>79</v>
      </c>
      <c r="K767" s="33" t="s">
        <v>84</v>
      </c>
      <c r="L767" s="33" t="str">
        <f t="shared" si="1"/>
        <v>FAMILIAR</v>
      </c>
      <c r="M767" s="33">
        <f t="shared" si="2"/>
        <v>7</v>
      </c>
      <c r="N767" s="33">
        <f t="shared" si="3"/>
        <v>2023</v>
      </c>
      <c r="O767" s="35" t="str">
        <f>VLOOKUP(K767,'CA y tablas'!$B$22:$C$28,2,FALSE)</f>
        <v>EUROPEO</v>
      </c>
      <c r="P767" s="28" t="str">
        <f t="shared" si="4"/>
        <v>S2</v>
      </c>
      <c r="Q767" s="29">
        <v>2.0</v>
      </c>
      <c r="R767" s="29" t="str">
        <f t="shared" si="5"/>
        <v>Q2</v>
      </c>
    </row>
    <row r="768" ht="15.75" customHeight="1">
      <c r="A768" s="22">
        <v>45125.0</v>
      </c>
      <c r="B768" s="23">
        <v>6.382610651E9</v>
      </c>
      <c r="C768" s="24" t="s">
        <v>760</v>
      </c>
      <c r="D768" s="23">
        <v>3.337497E7</v>
      </c>
      <c r="E768" s="22">
        <v>45126.0</v>
      </c>
      <c r="F768" s="25" t="s">
        <v>76</v>
      </c>
      <c r="G768" s="26">
        <v>3.0</v>
      </c>
      <c r="H768" s="25" t="s">
        <v>70</v>
      </c>
      <c r="I768" s="25" t="s">
        <v>77</v>
      </c>
      <c r="J768" s="25" t="s">
        <v>79</v>
      </c>
      <c r="K768" s="25" t="s">
        <v>84</v>
      </c>
      <c r="L768" s="25" t="str">
        <f t="shared" si="1"/>
        <v>FAMILIAR</v>
      </c>
      <c r="M768" s="25">
        <f t="shared" si="2"/>
        <v>7</v>
      </c>
      <c r="N768" s="25">
        <f t="shared" si="3"/>
        <v>2023</v>
      </c>
      <c r="O768" s="27" t="str">
        <f>VLOOKUP(K768,'CA y tablas'!$B$22:$C$28,2,FALSE)</f>
        <v>EUROPEO</v>
      </c>
      <c r="P768" s="28" t="str">
        <f t="shared" si="4"/>
        <v>S2</v>
      </c>
      <c r="Q768" s="29">
        <v>2.0</v>
      </c>
      <c r="R768" s="29" t="str">
        <f t="shared" si="5"/>
        <v>Q2</v>
      </c>
    </row>
    <row r="769" ht="15.75" customHeight="1">
      <c r="A769" s="30">
        <v>45125.0</v>
      </c>
      <c r="B769" s="31">
        <v>5.442297302E9</v>
      </c>
      <c r="C769" s="32" t="s">
        <v>761</v>
      </c>
      <c r="D769" s="31">
        <v>2.4169927E7</v>
      </c>
      <c r="E769" s="30">
        <v>45126.0</v>
      </c>
      <c r="F769" s="33" t="s">
        <v>69</v>
      </c>
      <c r="G769" s="34">
        <v>4.0</v>
      </c>
      <c r="H769" s="33" t="s">
        <v>112</v>
      </c>
      <c r="I769" s="33" t="s">
        <v>71</v>
      </c>
      <c r="J769" s="33" t="s">
        <v>79</v>
      </c>
      <c r="K769" s="33" t="s">
        <v>84</v>
      </c>
      <c r="L769" s="33" t="str">
        <f t="shared" si="1"/>
        <v>FAMILIAR</v>
      </c>
      <c r="M769" s="33">
        <f t="shared" si="2"/>
        <v>7</v>
      </c>
      <c r="N769" s="33">
        <f t="shared" si="3"/>
        <v>2023</v>
      </c>
      <c r="O769" s="35" t="str">
        <f>VLOOKUP(K769,'CA y tablas'!$B$22:$C$28,2,FALSE)</f>
        <v>EUROPEO</v>
      </c>
      <c r="P769" s="28" t="str">
        <f t="shared" si="4"/>
        <v>S2</v>
      </c>
      <c r="Q769" s="29">
        <v>2.0</v>
      </c>
      <c r="R769" s="29" t="str">
        <f t="shared" si="5"/>
        <v>Q2</v>
      </c>
    </row>
    <row r="770" ht="15.75" customHeight="1">
      <c r="A770" s="22">
        <v>45125.0</v>
      </c>
      <c r="B770" s="23">
        <v>2.130604722E9</v>
      </c>
      <c r="C770" s="24" t="s">
        <v>762</v>
      </c>
      <c r="D770" s="23">
        <v>3.7188867E7</v>
      </c>
      <c r="E770" s="22">
        <v>45126.0</v>
      </c>
      <c r="F770" s="25" t="s">
        <v>76</v>
      </c>
      <c r="G770" s="26">
        <v>2.0</v>
      </c>
      <c r="H770" s="25" t="s">
        <v>112</v>
      </c>
      <c r="I770" s="25" t="s">
        <v>71</v>
      </c>
      <c r="J770" s="25" t="s">
        <v>79</v>
      </c>
      <c r="K770" s="25" t="s">
        <v>84</v>
      </c>
      <c r="L770" s="25" t="str">
        <f t="shared" si="1"/>
        <v>FAMILIAR</v>
      </c>
      <c r="M770" s="25">
        <f t="shared" si="2"/>
        <v>7</v>
      </c>
      <c r="N770" s="25">
        <f t="shared" si="3"/>
        <v>2023</v>
      </c>
      <c r="O770" s="27" t="str">
        <f>VLOOKUP(K770,'CA y tablas'!$B$22:$C$28,2,FALSE)</f>
        <v>EUROPEO</v>
      </c>
      <c r="P770" s="28" t="str">
        <f t="shared" si="4"/>
        <v>S2</v>
      </c>
      <c r="Q770" s="29">
        <v>2.0</v>
      </c>
      <c r="R770" s="29" t="str">
        <f t="shared" si="5"/>
        <v>Q2</v>
      </c>
    </row>
    <row r="771" ht="15.75" customHeight="1">
      <c r="A771" s="30">
        <v>45125.0</v>
      </c>
      <c r="B771" s="31">
        <v>5.775069926E9</v>
      </c>
      <c r="C771" s="32" t="s">
        <v>762</v>
      </c>
      <c r="D771" s="31">
        <v>3.7188867E7</v>
      </c>
      <c r="E771" s="30">
        <v>45126.0</v>
      </c>
      <c r="F771" s="33" t="s">
        <v>69</v>
      </c>
      <c r="G771" s="34">
        <v>2.0</v>
      </c>
      <c r="H771" s="33" t="s">
        <v>112</v>
      </c>
      <c r="I771" s="33" t="s">
        <v>71</v>
      </c>
      <c r="J771" s="33" t="s">
        <v>79</v>
      </c>
      <c r="K771" s="33" t="s">
        <v>73</v>
      </c>
      <c r="L771" s="33" t="str">
        <f t="shared" si="1"/>
        <v>FAMILIAR</v>
      </c>
      <c r="M771" s="33">
        <f t="shared" si="2"/>
        <v>7</v>
      </c>
      <c r="N771" s="33">
        <f t="shared" si="3"/>
        <v>2023</v>
      </c>
      <c r="O771" s="35" t="str">
        <f>VLOOKUP(K771,'CA y tablas'!$B$22:$C$28,2,FALSE)</f>
        <v>AMERICANO</v>
      </c>
      <c r="P771" s="28" t="str">
        <f t="shared" si="4"/>
        <v>S2</v>
      </c>
      <c r="Q771" s="29">
        <v>2.0</v>
      </c>
      <c r="R771" s="29" t="str">
        <f t="shared" si="5"/>
        <v>Q2</v>
      </c>
    </row>
    <row r="772" ht="15.75" customHeight="1">
      <c r="A772" s="22">
        <v>45105.0</v>
      </c>
      <c r="B772" s="23">
        <v>9.609296572E9</v>
      </c>
      <c r="C772" s="24" t="s">
        <v>763</v>
      </c>
      <c r="D772" s="23">
        <v>1.0298364E7</v>
      </c>
      <c r="E772" s="22">
        <v>45127.0</v>
      </c>
      <c r="F772" s="25" t="s">
        <v>69</v>
      </c>
      <c r="G772" s="26">
        <v>3.0</v>
      </c>
      <c r="H772" s="25" t="s">
        <v>112</v>
      </c>
      <c r="I772" s="25" t="s">
        <v>71</v>
      </c>
      <c r="J772" s="25" t="s">
        <v>79</v>
      </c>
      <c r="K772" s="25" t="s">
        <v>73</v>
      </c>
      <c r="L772" s="25" t="str">
        <f t="shared" si="1"/>
        <v>FAMILIAR</v>
      </c>
      <c r="M772" s="25">
        <f t="shared" si="2"/>
        <v>7</v>
      </c>
      <c r="N772" s="25">
        <f t="shared" si="3"/>
        <v>2023</v>
      </c>
      <c r="O772" s="27" t="str">
        <f>VLOOKUP(K772,'CA y tablas'!$B$22:$C$28,2,FALSE)</f>
        <v>AMERICANO</v>
      </c>
      <c r="P772" s="28" t="str">
        <f t="shared" si="4"/>
        <v>S2</v>
      </c>
      <c r="Q772" s="29">
        <v>2.0</v>
      </c>
      <c r="R772" s="29" t="str">
        <f t="shared" si="5"/>
        <v>Q2</v>
      </c>
    </row>
    <row r="773" ht="15.75" customHeight="1">
      <c r="A773" s="30">
        <v>45106.0</v>
      </c>
      <c r="B773" s="31">
        <v>8.730430914E9</v>
      </c>
      <c r="C773" s="32" t="s">
        <v>763</v>
      </c>
      <c r="D773" s="31">
        <v>1.0298364E7</v>
      </c>
      <c r="E773" s="30">
        <v>45127.0</v>
      </c>
      <c r="F773" s="33" t="s">
        <v>69</v>
      </c>
      <c r="G773" s="34">
        <v>4.0</v>
      </c>
      <c r="H773" s="33" t="s">
        <v>112</v>
      </c>
      <c r="I773" s="33" t="s">
        <v>71</v>
      </c>
      <c r="J773" s="33" t="s">
        <v>98</v>
      </c>
      <c r="K773" s="33" t="s">
        <v>73</v>
      </c>
      <c r="L773" s="33" t="str">
        <f t="shared" si="1"/>
        <v>FAMILIAR</v>
      </c>
      <c r="M773" s="33">
        <f t="shared" si="2"/>
        <v>7</v>
      </c>
      <c r="N773" s="33">
        <f t="shared" si="3"/>
        <v>2023</v>
      </c>
      <c r="O773" s="35" t="str">
        <f>VLOOKUP(K773,'CA y tablas'!$B$22:$C$28,2,FALSE)</f>
        <v>AMERICANO</v>
      </c>
      <c r="P773" s="28" t="str">
        <f t="shared" si="4"/>
        <v>S2</v>
      </c>
      <c r="Q773" s="29">
        <v>2.0</v>
      </c>
      <c r="R773" s="29" t="str">
        <f t="shared" si="5"/>
        <v>Q2</v>
      </c>
    </row>
    <row r="774" ht="15.75" customHeight="1">
      <c r="A774" s="22">
        <v>45106.0</v>
      </c>
      <c r="B774" s="23">
        <v>1.239132716E9</v>
      </c>
      <c r="C774" s="24" t="s">
        <v>764</v>
      </c>
      <c r="D774" s="23">
        <v>2.393012E7</v>
      </c>
      <c r="E774" s="22">
        <v>45127.0</v>
      </c>
      <c r="F774" s="25" t="s">
        <v>69</v>
      </c>
      <c r="G774" s="26">
        <v>2.0</v>
      </c>
      <c r="H774" s="25" t="s">
        <v>112</v>
      </c>
      <c r="I774" s="25" t="s">
        <v>71</v>
      </c>
      <c r="J774" s="25" t="s">
        <v>98</v>
      </c>
      <c r="K774" s="25" t="s">
        <v>73</v>
      </c>
      <c r="L774" s="25" t="str">
        <f t="shared" si="1"/>
        <v>FAMILIAR</v>
      </c>
      <c r="M774" s="25">
        <f t="shared" si="2"/>
        <v>7</v>
      </c>
      <c r="N774" s="25">
        <f t="shared" si="3"/>
        <v>2023</v>
      </c>
      <c r="O774" s="27" t="str">
        <f>VLOOKUP(K774,'CA y tablas'!$B$22:$C$28,2,FALSE)</f>
        <v>AMERICANO</v>
      </c>
      <c r="P774" s="28" t="str">
        <f t="shared" si="4"/>
        <v>S2</v>
      </c>
      <c r="Q774" s="29">
        <v>2.0</v>
      </c>
      <c r="R774" s="29" t="str">
        <f t="shared" si="5"/>
        <v>Q2</v>
      </c>
    </row>
    <row r="775" ht="15.75" customHeight="1">
      <c r="A775" s="30">
        <v>45119.0</v>
      </c>
      <c r="B775" s="31">
        <v>4.431213555E9</v>
      </c>
      <c r="C775" s="32" t="s">
        <v>765</v>
      </c>
      <c r="D775" s="31">
        <v>2.2263137E7</v>
      </c>
      <c r="E775" s="30">
        <v>45127.0</v>
      </c>
      <c r="F775" s="33" t="s">
        <v>69</v>
      </c>
      <c r="G775" s="34">
        <v>4.0</v>
      </c>
      <c r="H775" s="33" t="s">
        <v>106</v>
      </c>
      <c r="I775" s="33" t="s">
        <v>71</v>
      </c>
      <c r="J775" s="33" t="s">
        <v>98</v>
      </c>
      <c r="K775" s="33" t="s">
        <v>90</v>
      </c>
      <c r="L775" s="33" t="str">
        <f t="shared" si="1"/>
        <v>FAMILIAR</v>
      </c>
      <c r="M775" s="33">
        <f t="shared" si="2"/>
        <v>7</v>
      </c>
      <c r="N775" s="33">
        <f t="shared" si="3"/>
        <v>2023</v>
      </c>
      <c r="O775" s="35" t="str">
        <f>VLOOKUP(K775,'CA y tablas'!$B$22:$C$28,2,FALSE)</f>
        <v>EUROPEO</v>
      </c>
      <c r="P775" s="28" t="str">
        <f t="shared" si="4"/>
        <v>S2</v>
      </c>
      <c r="Q775" s="29">
        <v>2.0</v>
      </c>
      <c r="R775" s="29" t="str">
        <f t="shared" si="5"/>
        <v>Q2</v>
      </c>
    </row>
    <row r="776" ht="15.75" customHeight="1">
      <c r="A776" s="22">
        <v>45125.0</v>
      </c>
      <c r="B776" s="23">
        <v>7.982468966E9</v>
      </c>
      <c r="C776" s="24" t="s">
        <v>766</v>
      </c>
      <c r="D776" s="23">
        <v>2.4553061E7</v>
      </c>
      <c r="E776" s="22">
        <v>45127.0</v>
      </c>
      <c r="F776" s="25" t="s">
        <v>69</v>
      </c>
      <c r="G776" s="26">
        <v>5.0</v>
      </c>
      <c r="H776" s="25" t="s">
        <v>106</v>
      </c>
      <c r="I776" s="25" t="s">
        <v>71</v>
      </c>
      <c r="J776" s="25" t="s">
        <v>98</v>
      </c>
      <c r="K776" s="25" t="s">
        <v>90</v>
      </c>
      <c r="L776" s="25" t="str">
        <f t="shared" si="1"/>
        <v>FAMILIAR</v>
      </c>
      <c r="M776" s="25">
        <f t="shared" si="2"/>
        <v>7</v>
      </c>
      <c r="N776" s="25">
        <f t="shared" si="3"/>
        <v>2023</v>
      </c>
      <c r="O776" s="27" t="str">
        <f>VLOOKUP(K776,'CA y tablas'!$B$22:$C$28,2,FALSE)</f>
        <v>EUROPEO</v>
      </c>
      <c r="P776" s="28" t="str">
        <f t="shared" si="4"/>
        <v>S2</v>
      </c>
      <c r="Q776" s="29">
        <v>2.0</v>
      </c>
      <c r="R776" s="29" t="str">
        <f t="shared" si="5"/>
        <v>Q2</v>
      </c>
    </row>
    <row r="777" ht="15.75" customHeight="1">
      <c r="A777" s="30">
        <v>45125.0</v>
      </c>
      <c r="B777" s="31">
        <v>7.703331274E9</v>
      </c>
      <c r="C777" s="32" t="s">
        <v>767</v>
      </c>
      <c r="D777" s="31">
        <v>2.6400114E7</v>
      </c>
      <c r="E777" s="30">
        <v>45127.0</v>
      </c>
      <c r="F777" s="33" t="s">
        <v>69</v>
      </c>
      <c r="G777" s="34">
        <v>4.0</v>
      </c>
      <c r="H777" s="33" t="s">
        <v>106</v>
      </c>
      <c r="I777" s="33" t="s">
        <v>71</v>
      </c>
      <c r="J777" s="33" t="s">
        <v>98</v>
      </c>
      <c r="K777" s="33" t="s">
        <v>90</v>
      </c>
      <c r="L777" s="33" t="str">
        <f t="shared" si="1"/>
        <v>FAMILIAR</v>
      </c>
      <c r="M777" s="33">
        <f t="shared" si="2"/>
        <v>7</v>
      </c>
      <c r="N777" s="33">
        <f t="shared" si="3"/>
        <v>2023</v>
      </c>
      <c r="O777" s="35" t="str">
        <f>VLOOKUP(K777,'CA y tablas'!$B$22:$C$28,2,FALSE)</f>
        <v>EUROPEO</v>
      </c>
      <c r="P777" s="28" t="str">
        <f t="shared" si="4"/>
        <v>S2</v>
      </c>
      <c r="Q777" s="29">
        <v>2.0</v>
      </c>
      <c r="R777" s="29" t="str">
        <f t="shared" si="5"/>
        <v>Q2</v>
      </c>
    </row>
    <row r="778" ht="15.75" customHeight="1">
      <c r="A778" s="22">
        <v>45125.0</v>
      </c>
      <c r="B778" s="23">
        <v>9.228505915E9</v>
      </c>
      <c r="C778" s="24" t="s">
        <v>767</v>
      </c>
      <c r="D778" s="23">
        <v>2.6400114E7</v>
      </c>
      <c r="E778" s="22">
        <v>45127.0</v>
      </c>
      <c r="F778" s="25" t="s">
        <v>69</v>
      </c>
      <c r="G778" s="26">
        <v>2.0</v>
      </c>
      <c r="H778" s="25" t="s">
        <v>92</v>
      </c>
      <c r="I778" s="25" t="s">
        <v>71</v>
      </c>
      <c r="J778" s="25" t="s">
        <v>98</v>
      </c>
      <c r="K778" s="25" t="s">
        <v>73</v>
      </c>
      <c r="L778" s="25" t="str">
        <f t="shared" si="1"/>
        <v>FAMILIAR</v>
      </c>
      <c r="M778" s="25">
        <f t="shared" si="2"/>
        <v>7</v>
      </c>
      <c r="N778" s="25">
        <f t="shared" si="3"/>
        <v>2023</v>
      </c>
      <c r="O778" s="27" t="str">
        <f>VLOOKUP(K778,'CA y tablas'!$B$22:$C$28,2,FALSE)</f>
        <v>AMERICANO</v>
      </c>
      <c r="P778" s="28" t="str">
        <f t="shared" si="4"/>
        <v>S2</v>
      </c>
      <c r="Q778" s="29">
        <v>2.0</v>
      </c>
      <c r="R778" s="29" t="str">
        <f t="shared" si="5"/>
        <v>Q2</v>
      </c>
    </row>
    <row r="779" ht="15.75" customHeight="1">
      <c r="A779" s="30">
        <v>45125.0</v>
      </c>
      <c r="B779" s="31">
        <v>8.009730831E9</v>
      </c>
      <c r="C779" s="32" t="s">
        <v>768</v>
      </c>
      <c r="D779" s="31">
        <v>1.6540392E7</v>
      </c>
      <c r="E779" s="30">
        <v>45127.0</v>
      </c>
      <c r="F779" s="33" t="s">
        <v>69</v>
      </c>
      <c r="G779" s="34">
        <v>3.0</v>
      </c>
      <c r="H779" s="33" t="s">
        <v>92</v>
      </c>
      <c r="I779" s="33" t="s">
        <v>71</v>
      </c>
      <c r="J779" s="33" t="s">
        <v>98</v>
      </c>
      <c r="K779" s="33" t="s">
        <v>73</v>
      </c>
      <c r="L779" s="33" t="str">
        <f t="shared" si="1"/>
        <v>FAMILIAR</v>
      </c>
      <c r="M779" s="33">
        <f t="shared" si="2"/>
        <v>7</v>
      </c>
      <c r="N779" s="33">
        <f t="shared" si="3"/>
        <v>2023</v>
      </c>
      <c r="O779" s="35" t="str">
        <f>VLOOKUP(K779,'CA y tablas'!$B$22:$C$28,2,FALSE)</f>
        <v>AMERICANO</v>
      </c>
      <c r="P779" s="28" t="str">
        <f t="shared" si="4"/>
        <v>S2</v>
      </c>
      <c r="Q779" s="29">
        <v>2.0</v>
      </c>
      <c r="R779" s="29" t="str">
        <f t="shared" si="5"/>
        <v>Q2</v>
      </c>
    </row>
    <row r="780" ht="15.75" customHeight="1">
      <c r="A780" s="22">
        <v>45127.0</v>
      </c>
      <c r="B780" s="23">
        <v>6.07055001E9</v>
      </c>
      <c r="C780" s="24" t="s">
        <v>769</v>
      </c>
      <c r="D780" s="23">
        <v>1.4135207E7</v>
      </c>
      <c r="E780" s="22">
        <v>45127.0</v>
      </c>
      <c r="F780" s="25" t="s">
        <v>69</v>
      </c>
      <c r="G780" s="26">
        <v>4.0</v>
      </c>
      <c r="H780" s="25" t="s">
        <v>92</v>
      </c>
      <c r="I780" s="25" t="s">
        <v>71</v>
      </c>
      <c r="J780" s="25" t="s">
        <v>98</v>
      </c>
      <c r="K780" s="25" t="s">
        <v>73</v>
      </c>
      <c r="L780" s="25" t="str">
        <f t="shared" si="1"/>
        <v>FAMILIAR</v>
      </c>
      <c r="M780" s="25">
        <f t="shared" si="2"/>
        <v>7</v>
      </c>
      <c r="N780" s="25">
        <f t="shared" si="3"/>
        <v>2023</v>
      </c>
      <c r="O780" s="27" t="str">
        <f>VLOOKUP(K780,'CA y tablas'!$B$22:$C$28,2,FALSE)</f>
        <v>AMERICANO</v>
      </c>
      <c r="P780" s="28" t="str">
        <f t="shared" si="4"/>
        <v>S2</v>
      </c>
      <c r="Q780" s="29">
        <v>2.0</v>
      </c>
      <c r="R780" s="29" t="str">
        <f t="shared" si="5"/>
        <v>Q2</v>
      </c>
    </row>
    <row r="781" ht="15.75" customHeight="1">
      <c r="A781" s="30">
        <v>45114.0</v>
      </c>
      <c r="B781" s="31">
        <v>3.867930043E9</v>
      </c>
      <c r="C781" s="32" t="s">
        <v>770</v>
      </c>
      <c r="D781" s="31">
        <v>3.0504273E7</v>
      </c>
      <c r="E781" s="30">
        <v>45128.0</v>
      </c>
      <c r="F781" s="33" t="s">
        <v>69</v>
      </c>
      <c r="G781" s="34">
        <v>5.0</v>
      </c>
      <c r="H781" s="33" t="s">
        <v>92</v>
      </c>
      <c r="I781" s="33" t="s">
        <v>71</v>
      </c>
      <c r="J781" s="33" t="s">
        <v>98</v>
      </c>
      <c r="K781" s="33" t="s">
        <v>73</v>
      </c>
      <c r="L781" s="33" t="str">
        <f t="shared" si="1"/>
        <v>FAMILIAR</v>
      </c>
      <c r="M781" s="33">
        <f t="shared" si="2"/>
        <v>7</v>
      </c>
      <c r="N781" s="33">
        <f t="shared" si="3"/>
        <v>2023</v>
      </c>
      <c r="O781" s="35" t="str">
        <f>VLOOKUP(K781,'CA y tablas'!$B$22:$C$28,2,FALSE)</f>
        <v>AMERICANO</v>
      </c>
      <c r="P781" s="28" t="str">
        <f t="shared" si="4"/>
        <v>S2</v>
      </c>
      <c r="Q781" s="29">
        <v>2.0</v>
      </c>
      <c r="R781" s="29" t="str">
        <f t="shared" si="5"/>
        <v>Q2</v>
      </c>
    </row>
    <row r="782" ht="15.75" customHeight="1">
      <c r="A782" s="22">
        <v>45125.0</v>
      </c>
      <c r="B782" s="23">
        <v>7.703295655E9</v>
      </c>
      <c r="C782" s="24" t="s">
        <v>771</v>
      </c>
      <c r="D782" s="23">
        <v>4.2172532E7</v>
      </c>
      <c r="E782" s="22">
        <v>45128.0</v>
      </c>
      <c r="F782" s="25" t="s">
        <v>69</v>
      </c>
      <c r="G782" s="26">
        <v>2.0</v>
      </c>
      <c r="H782" s="25" t="s">
        <v>92</v>
      </c>
      <c r="I782" s="25" t="s">
        <v>71</v>
      </c>
      <c r="J782" s="25" t="s">
        <v>98</v>
      </c>
      <c r="K782" s="25" t="s">
        <v>73</v>
      </c>
      <c r="L782" s="25" t="str">
        <f t="shared" si="1"/>
        <v>FAMILIAR</v>
      </c>
      <c r="M782" s="25">
        <f t="shared" si="2"/>
        <v>7</v>
      </c>
      <c r="N782" s="25">
        <f t="shared" si="3"/>
        <v>2023</v>
      </c>
      <c r="O782" s="27" t="str">
        <f>VLOOKUP(K782,'CA y tablas'!$B$22:$C$28,2,FALSE)</f>
        <v>AMERICANO</v>
      </c>
      <c r="P782" s="28" t="str">
        <f t="shared" si="4"/>
        <v>S2</v>
      </c>
      <c r="Q782" s="29">
        <v>2.0</v>
      </c>
      <c r="R782" s="29" t="str">
        <f t="shared" si="5"/>
        <v>Q2</v>
      </c>
    </row>
    <row r="783" ht="15.75" customHeight="1">
      <c r="A783" s="30">
        <v>45125.0</v>
      </c>
      <c r="B783" s="31">
        <v>2.486908141E9</v>
      </c>
      <c r="C783" s="32" t="s">
        <v>772</v>
      </c>
      <c r="D783" s="31">
        <v>3.8023461E7</v>
      </c>
      <c r="E783" s="30">
        <v>45128.0</v>
      </c>
      <c r="F783" s="33" t="s">
        <v>69</v>
      </c>
      <c r="G783" s="34">
        <v>3.0</v>
      </c>
      <c r="H783" s="33" t="s">
        <v>92</v>
      </c>
      <c r="I783" s="33" t="s">
        <v>71</v>
      </c>
      <c r="J783" s="33" t="s">
        <v>72</v>
      </c>
      <c r="K783" s="33" t="s">
        <v>73</v>
      </c>
      <c r="L783" s="33" t="str">
        <f t="shared" si="1"/>
        <v>FAMILIAR</v>
      </c>
      <c r="M783" s="33">
        <f t="shared" si="2"/>
        <v>7</v>
      </c>
      <c r="N783" s="33">
        <f t="shared" si="3"/>
        <v>2023</v>
      </c>
      <c r="O783" s="35" t="str">
        <f>VLOOKUP(K783,'CA y tablas'!$B$22:$C$28,2,FALSE)</f>
        <v>AMERICANO</v>
      </c>
      <c r="P783" s="28" t="str">
        <f t="shared" si="4"/>
        <v>S2</v>
      </c>
      <c r="Q783" s="29">
        <v>2.0</v>
      </c>
      <c r="R783" s="29" t="str">
        <f t="shared" si="5"/>
        <v>Q2</v>
      </c>
    </row>
    <row r="784" ht="15.75" customHeight="1">
      <c r="A784" s="22">
        <v>45125.0</v>
      </c>
      <c r="B784" s="23">
        <v>3.831685701E9</v>
      </c>
      <c r="C784" s="24" t="s">
        <v>773</v>
      </c>
      <c r="D784" s="23">
        <v>3.1030764E7</v>
      </c>
      <c r="E784" s="22">
        <v>45128.0</v>
      </c>
      <c r="F784" s="25" t="s">
        <v>69</v>
      </c>
      <c r="G784" s="26">
        <v>3.0</v>
      </c>
      <c r="H784" s="25" t="s">
        <v>92</v>
      </c>
      <c r="I784" s="25" t="s">
        <v>88</v>
      </c>
      <c r="J784" s="25" t="s">
        <v>72</v>
      </c>
      <c r="K784" s="25" t="s">
        <v>107</v>
      </c>
      <c r="L784" s="25" t="str">
        <f t="shared" si="1"/>
        <v>FAMILIAR</v>
      </c>
      <c r="M784" s="25">
        <f t="shared" si="2"/>
        <v>7</v>
      </c>
      <c r="N784" s="25">
        <f t="shared" si="3"/>
        <v>2023</v>
      </c>
      <c r="O784" s="27" t="str">
        <f>VLOOKUP(K784,'CA y tablas'!$B$22:$C$28,2,FALSE)</f>
        <v>AMERICANO</v>
      </c>
      <c r="P784" s="28" t="str">
        <f t="shared" si="4"/>
        <v>S2</v>
      </c>
      <c r="Q784" s="29">
        <v>2.0</v>
      </c>
      <c r="R784" s="29" t="str">
        <f t="shared" si="5"/>
        <v>Q2</v>
      </c>
    </row>
    <row r="785" ht="15.75" customHeight="1">
      <c r="A785" s="30">
        <v>45125.0</v>
      </c>
      <c r="B785" s="31">
        <v>5.837292624E9</v>
      </c>
      <c r="C785" s="32" t="s">
        <v>774</v>
      </c>
      <c r="D785" s="31">
        <v>2.9878119E7</v>
      </c>
      <c r="E785" s="30">
        <v>45128.0</v>
      </c>
      <c r="F785" s="33" t="s">
        <v>69</v>
      </c>
      <c r="G785" s="33">
        <v>1.0</v>
      </c>
      <c r="H785" s="33" t="s">
        <v>92</v>
      </c>
      <c r="I785" s="33" t="s">
        <v>88</v>
      </c>
      <c r="J785" s="33" t="s">
        <v>72</v>
      </c>
      <c r="K785" s="33" t="s">
        <v>107</v>
      </c>
      <c r="L785" s="33" t="str">
        <f t="shared" si="1"/>
        <v>INDIVIDUAL</v>
      </c>
      <c r="M785" s="33">
        <f t="shared" si="2"/>
        <v>7</v>
      </c>
      <c r="N785" s="33">
        <f t="shared" si="3"/>
        <v>2023</v>
      </c>
      <c r="O785" s="35" t="str">
        <f>VLOOKUP(K785,'CA y tablas'!$B$22:$C$28,2,FALSE)</f>
        <v>AMERICANO</v>
      </c>
      <c r="P785" s="28" t="str">
        <f t="shared" si="4"/>
        <v>S2</v>
      </c>
      <c r="Q785" s="29">
        <v>2.0</v>
      </c>
      <c r="R785" s="29" t="str">
        <f t="shared" si="5"/>
        <v>Q2</v>
      </c>
    </row>
    <row r="786" ht="15.75" customHeight="1">
      <c r="A786" s="22">
        <v>45125.0</v>
      </c>
      <c r="B786" s="23">
        <v>2.48665473E9</v>
      </c>
      <c r="C786" s="24" t="s">
        <v>775</v>
      </c>
      <c r="D786" s="23">
        <v>2.7365309E7</v>
      </c>
      <c r="E786" s="22">
        <v>45128.0</v>
      </c>
      <c r="F786" s="25" t="s">
        <v>69</v>
      </c>
      <c r="G786" s="25">
        <v>2.0</v>
      </c>
      <c r="H786" s="25" t="s">
        <v>81</v>
      </c>
      <c r="I786" s="25" t="s">
        <v>88</v>
      </c>
      <c r="J786" s="25" t="s">
        <v>72</v>
      </c>
      <c r="K786" s="25" t="s">
        <v>107</v>
      </c>
      <c r="L786" s="25" t="str">
        <f t="shared" si="1"/>
        <v>FAMILIAR</v>
      </c>
      <c r="M786" s="25">
        <f t="shared" si="2"/>
        <v>7</v>
      </c>
      <c r="N786" s="25">
        <f t="shared" si="3"/>
        <v>2023</v>
      </c>
      <c r="O786" s="27" t="str">
        <f>VLOOKUP(K786,'CA y tablas'!$B$22:$C$28,2,FALSE)</f>
        <v>AMERICANO</v>
      </c>
      <c r="P786" s="28" t="str">
        <f t="shared" si="4"/>
        <v>S2</v>
      </c>
      <c r="Q786" s="29">
        <v>2.0</v>
      </c>
      <c r="R786" s="29" t="str">
        <f t="shared" si="5"/>
        <v>Q2</v>
      </c>
    </row>
    <row r="787" ht="15.75" customHeight="1">
      <c r="A787" s="30">
        <v>45127.0</v>
      </c>
      <c r="B787" s="31">
        <v>6.034144281E9</v>
      </c>
      <c r="C787" s="32" t="s">
        <v>776</v>
      </c>
      <c r="D787" s="31">
        <v>3.4958192E7</v>
      </c>
      <c r="E787" s="30">
        <v>45128.0</v>
      </c>
      <c r="F787" s="33" t="s">
        <v>69</v>
      </c>
      <c r="G787" s="34">
        <v>5.0</v>
      </c>
      <c r="H787" s="33" t="s">
        <v>81</v>
      </c>
      <c r="I787" s="33" t="s">
        <v>88</v>
      </c>
      <c r="J787" s="33" t="s">
        <v>72</v>
      </c>
      <c r="K787" s="33" t="s">
        <v>107</v>
      </c>
      <c r="L787" s="33" t="str">
        <f t="shared" si="1"/>
        <v>FAMILIAR</v>
      </c>
      <c r="M787" s="33">
        <f t="shared" si="2"/>
        <v>7</v>
      </c>
      <c r="N787" s="33">
        <f t="shared" si="3"/>
        <v>2023</v>
      </c>
      <c r="O787" s="35" t="str">
        <f>VLOOKUP(K787,'CA y tablas'!$B$22:$C$28,2,FALSE)</f>
        <v>AMERICANO</v>
      </c>
      <c r="P787" s="28" t="str">
        <f t="shared" si="4"/>
        <v>S2</v>
      </c>
      <c r="Q787" s="29">
        <v>2.0</v>
      </c>
      <c r="R787" s="29" t="str">
        <f t="shared" si="5"/>
        <v>Q2</v>
      </c>
    </row>
    <row r="788" ht="15.75" customHeight="1">
      <c r="A788" s="22">
        <v>45127.0</v>
      </c>
      <c r="B788" s="23">
        <v>2.826640191E9</v>
      </c>
      <c r="C788" s="24" t="s">
        <v>777</v>
      </c>
      <c r="D788" s="23">
        <v>1.0013134E7</v>
      </c>
      <c r="E788" s="22">
        <v>45128.0</v>
      </c>
      <c r="F788" s="25" t="s">
        <v>69</v>
      </c>
      <c r="G788" s="26">
        <v>4.0</v>
      </c>
      <c r="H788" s="25" t="s">
        <v>81</v>
      </c>
      <c r="I788" s="25" t="s">
        <v>88</v>
      </c>
      <c r="J788" s="25" t="s">
        <v>93</v>
      </c>
      <c r="K788" s="25" t="s">
        <v>107</v>
      </c>
      <c r="L788" s="25" t="str">
        <f t="shared" si="1"/>
        <v>FAMILIAR</v>
      </c>
      <c r="M788" s="25">
        <f t="shared" si="2"/>
        <v>7</v>
      </c>
      <c r="N788" s="25">
        <f t="shared" si="3"/>
        <v>2023</v>
      </c>
      <c r="O788" s="27" t="str">
        <f>VLOOKUP(K788,'CA y tablas'!$B$22:$C$28,2,FALSE)</f>
        <v>AMERICANO</v>
      </c>
      <c r="P788" s="28" t="str">
        <f t="shared" si="4"/>
        <v>S2</v>
      </c>
      <c r="Q788" s="29">
        <v>2.0</v>
      </c>
      <c r="R788" s="29" t="str">
        <f t="shared" si="5"/>
        <v>Q2</v>
      </c>
    </row>
    <row r="789" ht="15.75" customHeight="1">
      <c r="A789" s="30">
        <v>45127.0</v>
      </c>
      <c r="B789" s="31">
        <v>3.83651933E9</v>
      </c>
      <c r="C789" s="32" t="s">
        <v>778</v>
      </c>
      <c r="D789" s="31">
        <v>2.4340598E7</v>
      </c>
      <c r="E789" s="30">
        <v>45128.0</v>
      </c>
      <c r="F789" s="33" t="s">
        <v>69</v>
      </c>
      <c r="G789" s="34">
        <v>2.0</v>
      </c>
      <c r="H789" s="33" t="s">
        <v>81</v>
      </c>
      <c r="I789" s="33" t="s">
        <v>88</v>
      </c>
      <c r="J789" s="33" t="s">
        <v>93</v>
      </c>
      <c r="K789" s="33" t="s">
        <v>90</v>
      </c>
      <c r="L789" s="33" t="str">
        <f t="shared" si="1"/>
        <v>FAMILIAR</v>
      </c>
      <c r="M789" s="33">
        <f t="shared" si="2"/>
        <v>7</v>
      </c>
      <c r="N789" s="33">
        <f t="shared" si="3"/>
        <v>2023</v>
      </c>
      <c r="O789" s="35" t="str">
        <f>VLOOKUP(K789,'CA y tablas'!$B$22:$C$28,2,FALSE)</f>
        <v>EUROPEO</v>
      </c>
      <c r="P789" s="28" t="str">
        <f t="shared" si="4"/>
        <v>S2</v>
      </c>
      <c r="Q789" s="29">
        <v>2.0</v>
      </c>
      <c r="R789" s="29" t="str">
        <f t="shared" si="5"/>
        <v>Q2</v>
      </c>
    </row>
    <row r="790" ht="15.75" customHeight="1">
      <c r="A790" s="22">
        <v>45128.0</v>
      </c>
      <c r="B790" s="23">
        <v>5.555312556E9</v>
      </c>
      <c r="C790" s="24" t="s">
        <v>777</v>
      </c>
      <c r="D790" s="23">
        <v>1.0013134E7</v>
      </c>
      <c r="E790" s="22">
        <v>45128.0</v>
      </c>
      <c r="F790" s="25" t="s">
        <v>69</v>
      </c>
      <c r="G790" s="26">
        <v>4.0</v>
      </c>
      <c r="H790" s="25" t="s">
        <v>81</v>
      </c>
      <c r="I790" s="25" t="s">
        <v>88</v>
      </c>
      <c r="J790" s="25" t="s">
        <v>93</v>
      </c>
      <c r="K790" s="25" t="s">
        <v>90</v>
      </c>
      <c r="L790" s="25" t="str">
        <f t="shared" si="1"/>
        <v>FAMILIAR</v>
      </c>
      <c r="M790" s="25">
        <f t="shared" si="2"/>
        <v>7</v>
      </c>
      <c r="N790" s="25">
        <f t="shared" si="3"/>
        <v>2023</v>
      </c>
      <c r="O790" s="27" t="str">
        <f>VLOOKUP(K790,'CA y tablas'!$B$22:$C$28,2,FALSE)</f>
        <v>EUROPEO</v>
      </c>
      <c r="P790" s="28" t="str">
        <f t="shared" si="4"/>
        <v>S2</v>
      </c>
      <c r="Q790" s="29">
        <v>2.0</v>
      </c>
      <c r="R790" s="29" t="str">
        <f t="shared" si="5"/>
        <v>Q2</v>
      </c>
    </row>
    <row r="791" ht="15.75" customHeight="1">
      <c r="A791" s="30">
        <v>45128.0</v>
      </c>
      <c r="B791" s="31">
        <v>3.144584951E9</v>
      </c>
      <c r="C791" s="32" t="s">
        <v>779</v>
      </c>
      <c r="D791" s="31">
        <v>3.6420649E7</v>
      </c>
      <c r="E791" s="30">
        <v>45128.0</v>
      </c>
      <c r="F791" s="33" t="s">
        <v>69</v>
      </c>
      <c r="G791" s="34">
        <v>4.0</v>
      </c>
      <c r="H791" s="33" t="s">
        <v>81</v>
      </c>
      <c r="I791" s="33" t="s">
        <v>88</v>
      </c>
      <c r="J791" s="33" t="s">
        <v>93</v>
      </c>
      <c r="K791" s="33" t="s">
        <v>90</v>
      </c>
      <c r="L791" s="33" t="str">
        <f t="shared" si="1"/>
        <v>FAMILIAR</v>
      </c>
      <c r="M791" s="33">
        <f t="shared" si="2"/>
        <v>7</v>
      </c>
      <c r="N791" s="33">
        <f t="shared" si="3"/>
        <v>2023</v>
      </c>
      <c r="O791" s="35" t="str">
        <f>VLOOKUP(K791,'CA y tablas'!$B$22:$C$28,2,FALSE)</f>
        <v>EUROPEO</v>
      </c>
      <c r="P791" s="28" t="str">
        <f t="shared" si="4"/>
        <v>S2</v>
      </c>
      <c r="Q791" s="29">
        <v>2.0</v>
      </c>
      <c r="R791" s="29" t="str">
        <f t="shared" si="5"/>
        <v>Q2</v>
      </c>
    </row>
    <row r="792" ht="15.75" customHeight="1">
      <c r="A792" s="22">
        <v>45128.0</v>
      </c>
      <c r="B792" s="23">
        <v>3.144509336E9</v>
      </c>
      <c r="C792" s="24" t="s">
        <v>780</v>
      </c>
      <c r="D792" s="23">
        <v>3.5856657E7</v>
      </c>
      <c r="E792" s="22">
        <v>45128.0</v>
      </c>
      <c r="F792" s="25" t="s">
        <v>69</v>
      </c>
      <c r="G792" s="26">
        <v>4.0</v>
      </c>
      <c r="H792" s="25" t="s">
        <v>81</v>
      </c>
      <c r="I792" s="25" t="s">
        <v>88</v>
      </c>
      <c r="J792" s="25" t="s">
        <v>93</v>
      </c>
      <c r="K792" s="25" t="s">
        <v>90</v>
      </c>
      <c r="L792" s="25" t="str">
        <f t="shared" si="1"/>
        <v>FAMILIAR</v>
      </c>
      <c r="M792" s="25">
        <f t="shared" si="2"/>
        <v>7</v>
      </c>
      <c r="N792" s="25">
        <f t="shared" si="3"/>
        <v>2023</v>
      </c>
      <c r="O792" s="27" t="str">
        <f>VLOOKUP(K792,'CA y tablas'!$B$22:$C$28,2,FALSE)</f>
        <v>EUROPEO</v>
      </c>
      <c r="P792" s="28" t="str">
        <f t="shared" si="4"/>
        <v>S2</v>
      </c>
      <c r="Q792" s="29">
        <v>2.0</v>
      </c>
      <c r="R792" s="29" t="str">
        <f t="shared" si="5"/>
        <v>Q2</v>
      </c>
    </row>
    <row r="793" ht="15.75" customHeight="1">
      <c r="A793" s="30">
        <v>45111.0</v>
      </c>
      <c r="B793" s="31">
        <v>9.099556734E9</v>
      </c>
      <c r="C793" s="32" t="s">
        <v>781</v>
      </c>
      <c r="D793" s="31">
        <v>2.7751287E7</v>
      </c>
      <c r="E793" s="30">
        <v>45131.0</v>
      </c>
      <c r="F793" s="33" t="s">
        <v>69</v>
      </c>
      <c r="G793" s="34">
        <v>3.0</v>
      </c>
      <c r="H793" s="33" t="s">
        <v>81</v>
      </c>
      <c r="I793" s="33" t="s">
        <v>88</v>
      </c>
      <c r="J793" s="33" t="s">
        <v>93</v>
      </c>
      <c r="K793" s="33" t="s">
        <v>90</v>
      </c>
      <c r="L793" s="33" t="str">
        <f t="shared" si="1"/>
        <v>FAMILIAR</v>
      </c>
      <c r="M793" s="33">
        <f t="shared" si="2"/>
        <v>7</v>
      </c>
      <c r="N793" s="33">
        <f t="shared" si="3"/>
        <v>2023</v>
      </c>
      <c r="O793" s="35" t="str">
        <f>VLOOKUP(K793,'CA y tablas'!$B$22:$C$28,2,FALSE)</f>
        <v>EUROPEO</v>
      </c>
      <c r="P793" s="28" t="str">
        <f t="shared" si="4"/>
        <v>S2</v>
      </c>
      <c r="Q793" s="29">
        <v>2.0</v>
      </c>
      <c r="R793" s="29" t="str">
        <f t="shared" si="5"/>
        <v>Q2</v>
      </c>
    </row>
    <row r="794" ht="15.75" customHeight="1">
      <c r="A794" s="22">
        <v>45112.0</v>
      </c>
      <c r="B794" s="23">
        <v>7.211697124E9</v>
      </c>
      <c r="C794" s="24" t="s">
        <v>782</v>
      </c>
      <c r="D794" s="23">
        <v>3.5185315E7</v>
      </c>
      <c r="E794" s="22">
        <v>45131.0</v>
      </c>
      <c r="F794" s="25" t="s">
        <v>69</v>
      </c>
      <c r="G794" s="26">
        <v>4.0</v>
      </c>
      <c r="H794" s="25" t="s">
        <v>106</v>
      </c>
      <c r="I794" s="25" t="s">
        <v>71</v>
      </c>
      <c r="J794" s="25" t="s">
        <v>93</v>
      </c>
      <c r="K794" s="25" t="s">
        <v>103</v>
      </c>
      <c r="L794" s="25" t="str">
        <f t="shared" si="1"/>
        <v>FAMILIAR</v>
      </c>
      <c r="M794" s="25">
        <f t="shared" si="2"/>
        <v>7</v>
      </c>
      <c r="N794" s="25">
        <f t="shared" si="3"/>
        <v>2023</v>
      </c>
      <c r="O794" s="27" t="str">
        <f>VLOOKUP(K794,'CA y tablas'!$B$22:$C$28,2,FALSE)</f>
        <v>EUROPEO</v>
      </c>
      <c r="P794" s="28" t="str">
        <f t="shared" si="4"/>
        <v>S2</v>
      </c>
      <c r="Q794" s="29">
        <v>2.0</v>
      </c>
      <c r="R794" s="29" t="str">
        <f t="shared" si="5"/>
        <v>Q2</v>
      </c>
    </row>
    <row r="795" ht="15.75" customHeight="1">
      <c r="A795" s="30">
        <v>45125.0</v>
      </c>
      <c r="B795" s="31">
        <v>6.382674476E9</v>
      </c>
      <c r="C795" s="32" t="s">
        <v>783</v>
      </c>
      <c r="D795" s="31">
        <v>3.4285239E7</v>
      </c>
      <c r="E795" s="30">
        <v>45131.0</v>
      </c>
      <c r="F795" s="33" t="s">
        <v>69</v>
      </c>
      <c r="G795" s="34">
        <v>4.0</v>
      </c>
      <c r="H795" s="33" t="s">
        <v>106</v>
      </c>
      <c r="I795" s="33" t="s">
        <v>71</v>
      </c>
      <c r="J795" s="33" t="s">
        <v>93</v>
      </c>
      <c r="K795" s="33" t="s">
        <v>103</v>
      </c>
      <c r="L795" s="33" t="str">
        <f t="shared" si="1"/>
        <v>FAMILIAR</v>
      </c>
      <c r="M795" s="33">
        <f t="shared" si="2"/>
        <v>7</v>
      </c>
      <c r="N795" s="33">
        <f t="shared" si="3"/>
        <v>2023</v>
      </c>
      <c r="O795" s="35" t="str">
        <f>VLOOKUP(K795,'CA y tablas'!$B$22:$C$28,2,FALSE)</f>
        <v>EUROPEO</v>
      </c>
      <c r="P795" s="28" t="str">
        <f t="shared" si="4"/>
        <v>S2</v>
      </c>
      <c r="Q795" s="29">
        <v>2.0</v>
      </c>
      <c r="R795" s="29" t="str">
        <f t="shared" si="5"/>
        <v>Q2</v>
      </c>
    </row>
    <row r="796" ht="15.75" customHeight="1">
      <c r="A796" s="22">
        <v>45127.0</v>
      </c>
      <c r="B796" s="23">
        <v>9.024572874E9</v>
      </c>
      <c r="C796" s="24" t="s">
        <v>784</v>
      </c>
      <c r="D796" s="23">
        <v>2.592384E7</v>
      </c>
      <c r="E796" s="22">
        <v>45131.0</v>
      </c>
      <c r="F796" s="25" t="s">
        <v>69</v>
      </c>
      <c r="G796" s="26">
        <v>4.0</v>
      </c>
      <c r="H796" s="25" t="s">
        <v>106</v>
      </c>
      <c r="I796" s="25" t="s">
        <v>71</v>
      </c>
      <c r="J796" s="25" t="s">
        <v>93</v>
      </c>
      <c r="K796" s="25" t="s">
        <v>103</v>
      </c>
      <c r="L796" s="25" t="str">
        <f t="shared" si="1"/>
        <v>FAMILIAR</v>
      </c>
      <c r="M796" s="25">
        <f t="shared" si="2"/>
        <v>7</v>
      </c>
      <c r="N796" s="25">
        <f t="shared" si="3"/>
        <v>2023</v>
      </c>
      <c r="O796" s="27" t="str">
        <f>VLOOKUP(K796,'CA y tablas'!$B$22:$C$28,2,FALSE)</f>
        <v>EUROPEO</v>
      </c>
      <c r="P796" s="28" t="str">
        <f t="shared" si="4"/>
        <v>S2</v>
      </c>
      <c r="Q796" s="29">
        <v>2.0</v>
      </c>
      <c r="R796" s="29" t="str">
        <f t="shared" si="5"/>
        <v>Q2</v>
      </c>
    </row>
    <row r="797" ht="15.75" customHeight="1">
      <c r="A797" s="30">
        <v>45127.0</v>
      </c>
      <c r="B797" s="31">
        <v>8.294632054E9</v>
      </c>
      <c r="C797" s="32" t="s">
        <v>784</v>
      </c>
      <c r="D797" s="31">
        <v>2.592384E7</v>
      </c>
      <c r="E797" s="30">
        <v>45131.0</v>
      </c>
      <c r="F797" s="33" t="s">
        <v>69</v>
      </c>
      <c r="G797" s="34">
        <v>2.0</v>
      </c>
      <c r="H797" s="33" t="s">
        <v>106</v>
      </c>
      <c r="I797" s="33" t="s">
        <v>71</v>
      </c>
      <c r="J797" s="33" t="s">
        <v>93</v>
      </c>
      <c r="K797" s="33" t="s">
        <v>103</v>
      </c>
      <c r="L797" s="33" t="str">
        <f t="shared" si="1"/>
        <v>FAMILIAR</v>
      </c>
      <c r="M797" s="33">
        <f t="shared" si="2"/>
        <v>7</v>
      </c>
      <c r="N797" s="33">
        <f t="shared" si="3"/>
        <v>2023</v>
      </c>
      <c r="O797" s="35" t="str">
        <f>VLOOKUP(K797,'CA y tablas'!$B$22:$C$28,2,FALSE)</f>
        <v>EUROPEO</v>
      </c>
      <c r="P797" s="28" t="str">
        <f t="shared" si="4"/>
        <v>S2</v>
      </c>
      <c r="Q797" s="29">
        <v>2.0</v>
      </c>
      <c r="R797" s="29" t="str">
        <f t="shared" si="5"/>
        <v>Q2</v>
      </c>
    </row>
    <row r="798" ht="15.75" customHeight="1">
      <c r="A798" s="22">
        <v>45128.0</v>
      </c>
      <c r="B798" s="23">
        <v>4.610943783E9</v>
      </c>
      <c r="C798" s="24" t="s">
        <v>785</v>
      </c>
      <c r="D798" s="23">
        <v>4.4919227E7</v>
      </c>
      <c r="E798" s="22">
        <v>45131.0</v>
      </c>
      <c r="F798" s="25" t="s">
        <v>69</v>
      </c>
      <c r="G798" s="26">
        <v>2.0</v>
      </c>
      <c r="H798" s="25" t="s">
        <v>116</v>
      </c>
      <c r="I798" s="25" t="s">
        <v>71</v>
      </c>
      <c r="J798" s="25" t="s">
        <v>93</v>
      </c>
      <c r="K798" s="25" t="s">
        <v>217</v>
      </c>
      <c r="L798" s="25" t="str">
        <f t="shared" si="1"/>
        <v>FAMILIAR</v>
      </c>
      <c r="M798" s="25">
        <f t="shared" si="2"/>
        <v>7</v>
      </c>
      <c r="N798" s="25">
        <f t="shared" si="3"/>
        <v>2023</v>
      </c>
      <c r="O798" s="27" t="str">
        <f>VLOOKUP(K798,'CA y tablas'!$B$22:$C$28,2,FALSE)</f>
        <v>ASIATICO</v>
      </c>
      <c r="P798" s="28" t="str">
        <f t="shared" si="4"/>
        <v>S2</v>
      </c>
      <c r="Q798" s="29">
        <v>2.0</v>
      </c>
      <c r="R798" s="29" t="str">
        <f t="shared" si="5"/>
        <v>Q2</v>
      </c>
    </row>
    <row r="799" ht="15.75" customHeight="1">
      <c r="A799" s="30">
        <v>45128.0</v>
      </c>
      <c r="B799" s="31">
        <v>3.14454777E9</v>
      </c>
      <c r="C799" s="32" t="s">
        <v>784</v>
      </c>
      <c r="D799" s="31">
        <v>2.592384E7</v>
      </c>
      <c r="E799" s="30">
        <v>45131.0</v>
      </c>
      <c r="F799" s="33" t="s">
        <v>69</v>
      </c>
      <c r="G799" s="34">
        <v>1.0</v>
      </c>
      <c r="H799" s="33" t="s">
        <v>116</v>
      </c>
      <c r="I799" s="33" t="s">
        <v>71</v>
      </c>
      <c r="J799" s="33" t="s">
        <v>98</v>
      </c>
      <c r="K799" s="33" t="s">
        <v>217</v>
      </c>
      <c r="L799" s="33" t="str">
        <f t="shared" si="1"/>
        <v>INDIVIDUAL</v>
      </c>
      <c r="M799" s="33">
        <f t="shared" si="2"/>
        <v>7</v>
      </c>
      <c r="N799" s="33">
        <f t="shared" si="3"/>
        <v>2023</v>
      </c>
      <c r="O799" s="35" t="str">
        <f>VLOOKUP(K799,'CA y tablas'!$B$22:$C$28,2,FALSE)</f>
        <v>ASIATICO</v>
      </c>
      <c r="P799" s="28" t="str">
        <f t="shared" si="4"/>
        <v>S2</v>
      </c>
      <c r="Q799" s="29">
        <v>2.0</v>
      </c>
      <c r="R799" s="29" t="str">
        <f t="shared" si="5"/>
        <v>Q2</v>
      </c>
    </row>
    <row r="800" ht="15.75" customHeight="1">
      <c r="A800" s="22">
        <v>45128.0</v>
      </c>
      <c r="B800" s="23">
        <v>3.144544023E9</v>
      </c>
      <c r="C800" s="24" t="s">
        <v>786</v>
      </c>
      <c r="D800" s="23">
        <v>2.1894057E7</v>
      </c>
      <c r="E800" s="22">
        <v>45131.0</v>
      </c>
      <c r="F800" s="25" t="s">
        <v>69</v>
      </c>
      <c r="G800" s="26">
        <v>1.0</v>
      </c>
      <c r="H800" s="25" t="s">
        <v>116</v>
      </c>
      <c r="I800" s="25" t="s">
        <v>71</v>
      </c>
      <c r="J800" s="25" t="s">
        <v>98</v>
      </c>
      <c r="K800" s="25" t="s">
        <v>217</v>
      </c>
      <c r="L800" s="25" t="str">
        <f t="shared" si="1"/>
        <v>INDIVIDUAL</v>
      </c>
      <c r="M800" s="25">
        <f t="shared" si="2"/>
        <v>7</v>
      </c>
      <c r="N800" s="25">
        <f t="shared" si="3"/>
        <v>2023</v>
      </c>
      <c r="O800" s="27" t="str">
        <f>VLOOKUP(K800,'CA y tablas'!$B$22:$C$28,2,FALSE)</f>
        <v>ASIATICO</v>
      </c>
      <c r="P800" s="28" t="str">
        <f t="shared" si="4"/>
        <v>S2</v>
      </c>
      <c r="Q800" s="29">
        <v>2.0</v>
      </c>
      <c r="R800" s="29" t="str">
        <f t="shared" si="5"/>
        <v>Q2</v>
      </c>
    </row>
    <row r="801" ht="15.75" customHeight="1">
      <c r="A801" s="30">
        <v>45128.0</v>
      </c>
      <c r="B801" s="31">
        <v>5.383708783E9</v>
      </c>
      <c r="C801" s="32" t="s">
        <v>787</v>
      </c>
      <c r="D801" s="31">
        <v>3.9359041E7</v>
      </c>
      <c r="E801" s="30">
        <v>45131.0</v>
      </c>
      <c r="F801" s="33" t="s">
        <v>69</v>
      </c>
      <c r="G801" s="34">
        <v>2.0</v>
      </c>
      <c r="H801" s="33" t="s">
        <v>116</v>
      </c>
      <c r="I801" s="33" t="s">
        <v>71</v>
      </c>
      <c r="J801" s="33" t="s">
        <v>98</v>
      </c>
      <c r="K801" s="33" t="s">
        <v>217</v>
      </c>
      <c r="L801" s="33" t="str">
        <f t="shared" si="1"/>
        <v>FAMILIAR</v>
      </c>
      <c r="M801" s="33">
        <f t="shared" si="2"/>
        <v>7</v>
      </c>
      <c r="N801" s="33">
        <f t="shared" si="3"/>
        <v>2023</v>
      </c>
      <c r="O801" s="35" t="str">
        <f>VLOOKUP(K801,'CA y tablas'!$B$22:$C$28,2,FALSE)</f>
        <v>ASIATICO</v>
      </c>
      <c r="P801" s="28" t="str">
        <f t="shared" si="4"/>
        <v>S2</v>
      </c>
      <c r="Q801" s="29">
        <v>2.0</v>
      </c>
      <c r="R801" s="29" t="str">
        <f t="shared" si="5"/>
        <v>Q2</v>
      </c>
    </row>
    <row r="802" ht="15.75" customHeight="1">
      <c r="A802" s="22">
        <v>45128.0</v>
      </c>
      <c r="B802" s="23">
        <v>3.464852742E9</v>
      </c>
      <c r="C802" s="24" t="s">
        <v>788</v>
      </c>
      <c r="D802" s="23">
        <v>2.0422221E7</v>
      </c>
      <c r="E802" s="22">
        <v>45131.0</v>
      </c>
      <c r="F802" s="25" t="s">
        <v>76</v>
      </c>
      <c r="G802" s="26">
        <v>3.0</v>
      </c>
      <c r="H802" s="25" t="s">
        <v>116</v>
      </c>
      <c r="I802" s="25" t="s">
        <v>71</v>
      </c>
      <c r="J802" s="25" t="s">
        <v>98</v>
      </c>
      <c r="K802" s="25" t="s">
        <v>217</v>
      </c>
      <c r="L802" s="25" t="str">
        <f t="shared" si="1"/>
        <v>FAMILIAR</v>
      </c>
      <c r="M802" s="25">
        <f t="shared" si="2"/>
        <v>7</v>
      </c>
      <c r="N802" s="25">
        <f t="shared" si="3"/>
        <v>2023</v>
      </c>
      <c r="O802" s="27" t="str">
        <f>VLOOKUP(K802,'CA y tablas'!$B$22:$C$28,2,FALSE)</f>
        <v>ASIATICO</v>
      </c>
      <c r="P802" s="28" t="str">
        <f t="shared" si="4"/>
        <v>S2</v>
      </c>
      <c r="Q802" s="29">
        <v>2.0</v>
      </c>
      <c r="R802" s="29" t="str">
        <f t="shared" si="5"/>
        <v>Q2</v>
      </c>
    </row>
    <row r="803" ht="15.75" customHeight="1">
      <c r="A803" s="30">
        <v>45128.0</v>
      </c>
      <c r="B803" s="31">
        <v>7.908795086E9</v>
      </c>
      <c r="C803" s="32" t="s">
        <v>789</v>
      </c>
      <c r="D803" s="31">
        <v>3.2371708E7</v>
      </c>
      <c r="E803" s="30">
        <v>45131.0</v>
      </c>
      <c r="F803" s="33" t="s">
        <v>69</v>
      </c>
      <c r="G803" s="34">
        <v>4.0</v>
      </c>
      <c r="H803" s="33" t="s">
        <v>116</v>
      </c>
      <c r="I803" s="33" t="s">
        <v>71</v>
      </c>
      <c r="J803" s="33" t="s">
        <v>98</v>
      </c>
      <c r="K803" s="33" t="s">
        <v>107</v>
      </c>
      <c r="L803" s="33" t="str">
        <f t="shared" si="1"/>
        <v>FAMILIAR</v>
      </c>
      <c r="M803" s="33">
        <f t="shared" si="2"/>
        <v>7</v>
      </c>
      <c r="N803" s="33">
        <f t="shared" si="3"/>
        <v>2023</v>
      </c>
      <c r="O803" s="35" t="str">
        <f>VLOOKUP(K803,'CA y tablas'!$B$22:$C$28,2,FALSE)</f>
        <v>AMERICANO</v>
      </c>
      <c r="P803" s="28" t="str">
        <f t="shared" si="4"/>
        <v>S2</v>
      </c>
      <c r="Q803" s="29">
        <v>2.0</v>
      </c>
      <c r="R803" s="29" t="str">
        <f t="shared" si="5"/>
        <v>Q2</v>
      </c>
    </row>
    <row r="804" ht="15.75" customHeight="1">
      <c r="A804" s="22">
        <v>45128.0</v>
      </c>
      <c r="B804" s="23">
        <v>2.254716984E9</v>
      </c>
      <c r="C804" s="24" t="s">
        <v>790</v>
      </c>
      <c r="D804" s="23">
        <v>2.0219915E7</v>
      </c>
      <c r="E804" s="22">
        <v>45131.0</v>
      </c>
      <c r="F804" s="25" t="s">
        <v>69</v>
      </c>
      <c r="G804" s="26">
        <v>4.0</v>
      </c>
      <c r="H804" s="25" t="s">
        <v>116</v>
      </c>
      <c r="I804" s="25" t="s">
        <v>71</v>
      </c>
      <c r="J804" s="25" t="s">
        <v>98</v>
      </c>
      <c r="K804" s="25" t="s">
        <v>107</v>
      </c>
      <c r="L804" s="25" t="str">
        <f t="shared" si="1"/>
        <v>FAMILIAR</v>
      </c>
      <c r="M804" s="25">
        <f t="shared" si="2"/>
        <v>7</v>
      </c>
      <c r="N804" s="25">
        <f t="shared" si="3"/>
        <v>2023</v>
      </c>
      <c r="O804" s="27" t="str">
        <f>VLOOKUP(K804,'CA y tablas'!$B$22:$C$28,2,FALSE)</f>
        <v>AMERICANO</v>
      </c>
      <c r="P804" s="28" t="str">
        <f t="shared" si="4"/>
        <v>S2</v>
      </c>
      <c r="Q804" s="29">
        <v>2.0</v>
      </c>
      <c r="R804" s="29" t="str">
        <f t="shared" si="5"/>
        <v>Q2</v>
      </c>
    </row>
    <row r="805" ht="15.75" customHeight="1">
      <c r="A805" s="30">
        <v>45125.0</v>
      </c>
      <c r="B805" s="31">
        <v>5.811997225E9</v>
      </c>
      <c r="C805" s="32" t="s">
        <v>791</v>
      </c>
      <c r="D805" s="31">
        <v>1.4073163E7</v>
      </c>
      <c r="E805" s="30">
        <v>45132.0</v>
      </c>
      <c r="F805" s="33" t="s">
        <v>69</v>
      </c>
      <c r="G805" s="34">
        <v>4.0</v>
      </c>
      <c r="H805" s="33" t="s">
        <v>116</v>
      </c>
      <c r="I805" s="33" t="s">
        <v>88</v>
      </c>
      <c r="J805" s="33" t="s">
        <v>98</v>
      </c>
      <c r="K805" s="33" t="s">
        <v>107</v>
      </c>
      <c r="L805" s="33" t="str">
        <f t="shared" si="1"/>
        <v>FAMILIAR</v>
      </c>
      <c r="M805" s="33">
        <f t="shared" si="2"/>
        <v>7</v>
      </c>
      <c r="N805" s="33">
        <f t="shared" si="3"/>
        <v>2023</v>
      </c>
      <c r="O805" s="35" t="str">
        <f>VLOOKUP(K805,'CA y tablas'!$B$22:$C$28,2,FALSE)</f>
        <v>AMERICANO</v>
      </c>
      <c r="P805" s="28" t="str">
        <f t="shared" si="4"/>
        <v>S2</v>
      </c>
      <c r="Q805" s="29">
        <v>2.0</v>
      </c>
      <c r="R805" s="29" t="str">
        <f t="shared" si="5"/>
        <v>Q2</v>
      </c>
    </row>
    <row r="806" ht="15.75" customHeight="1">
      <c r="A806" s="22">
        <v>45125.0</v>
      </c>
      <c r="B806" s="23">
        <v>5.144501633E9</v>
      </c>
      <c r="C806" s="24" t="s">
        <v>792</v>
      </c>
      <c r="D806" s="23">
        <v>4.1833146E7</v>
      </c>
      <c r="E806" s="22">
        <v>45132.0</v>
      </c>
      <c r="F806" s="25" t="s">
        <v>76</v>
      </c>
      <c r="G806" s="26">
        <v>3.0</v>
      </c>
      <c r="H806" s="25" t="s">
        <v>116</v>
      </c>
      <c r="I806" s="25" t="s">
        <v>88</v>
      </c>
      <c r="J806" s="25" t="s">
        <v>98</v>
      </c>
      <c r="K806" s="25" t="s">
        <v>107</v>
      </c>
      <c r="L806" s="25" t="str">
        <f t="shared" si="1"/>
        <v>FAMILIAR</v>
      </c>
      <c r="M806" s="25">
        <f t="shared" si="2"/>
        <v>7</v>
      </c>
      <c r="N806" s="25">
        <f t="shared" si="3"/>
        <v>2023</v>
      </c>
      <c r="O806" s="27" t="str">
        <f>VLOOKUP(K806,'CA y tablas'!$B$22:$C$28,2,FALSE)</f>
        <v>AMERICANO</v>
      </c>
      <c r="P806" s="28" t="str">
        <f t="shared" si="4"/>
        <v>S2</v>
      </c>
      <c r="Q806" s="29">
        <v>2.0</v>
      </c>
      <c r="R806" s="29" t="str">
        <f t="shared" si="5"/>
        <v>Q2</v>
      </c>
    </row>
    <row r="807" ht="15.75" customHeight="1">
      <c r="A807" s="30">
        <v>45125.0</v>
      </c>
      <c r="B807" s="31">
        <v>2.486941494E9</v>
      </c>
      <c r="C807" s="32" t="s">
        <v>793</v>
      </c>
      <c r="D807" s="31">
        <v>2.2263572E7</v>
      </c>
      <c r="E807" s="30">
        <v>45132.0</v>
      </c>
      <c r="F807" s="33" t="s">
        <v>69</v>
      </c>
      <c r="G807" s="34">
        <v>3.0</v>
      </c>
      <c r="H807" s="33" t="s">
        <v>116</v>
      </c>
      <c r="I807" s="33" t="s">
        <v>88</v>
      </c>
      <c r="J807" s="33" t="s">
        <v>98</v>
      </c>
      <c r="K807" s="33" t="s">
        <v>107</v>
      </c>
      <c r="L807" s="33" t="str">
        <f t="shared" si="1"/>
        <v>FAMILIAR</v>
      </c>
      <c r="M807" s="33">
        <f t="shared" si="2"/>
        <v>7</v>
      </c>
      <c r="N807" s="33">
        <f t="shared" si="3"/>
        <v>2023</v>
      </c>
      <c r="O807" s="35" t="str">
        <f>VLOOKUP(K807,'CA y tablas'!$B$22:$C$28,2,FALSE)</f>
        <v>AMERICANO</v>
      </c>
      <c r="P807" s="28" t="str">
        <f t="shared" si="4"/>
        <v>S2</v>
      </c>
      <c r="Q807" s="29">
        <v>2.0</v>
      </c>
      <c r="R807" s="29" t="str">
        <f t="shared" si="5"/>
        <v>Q2</v>
      </c>
    </row>
    <row r="808" ht="15.75" customHeight="1">
      <c r="A808" s="22">
        <v>45127.0</v>
      </c>
      <c r="B808" s="23">
        <v>6.034148223E9</v>
      </c>
      <c r="C808" s="24" t="s">
        <v>794</v>
      </c>
      <c r="D808" s="23">
        <v>1.8230692E7</v>
      </c>
      <c r="E808" s="22">
        <v>45132.0</v>
      </c>
      <c r="F808" s="25" t="s">
        <v>69</v>
      </c>
      <c r="G808" s="26">
        <v>2.0</v>
      </c>
      <c r="H808" s="25" t="s">
        <v>116</v>
      </c>
      <c r="I808" s="25" t="s">
        <v>88</v>
      </c>
      <c r="J808" s="25" t="s">
        <v>98</v>
      </c>
      <c r="K808" s="25" t="s">
        <v>99</v>
      </c>
      <c r="L808" s="25" t="str">
        <f t="shared" si="1"/>
        <v>FAMILIAR</v>
      </c>
      <c r="M808" s="25">
        <f t="shared" si="2"/>
        <v>7</v>
      </c>
      <c r="N808" s="25">
        <f t="shared" si="3"/>
        <v>2023</v>
      </c>
      <c r="O808" s="27" t="str">
        <f>VLOOKUP(K808,'CA y tablas'!$B$22:$C$28,2,FALSE)</f>
        <v>EUROPEO</v>
      </c>
      <c r="P808" s="28" t="str">
        <f t="shared" si="4"/>
        <v>S2</v>
      </c>
      <c r="Q808" s="29">
        <v>2.0</v>
      </c>
      <c r="R808" s="29" t="str">
        <f t="shared" si="5"/>
        <v>Q2</v>
      </c>
    </row>
    <row r="809" ht="15.75" customHeight="1">
      <c r="A809" s="30">
        <v>45127.0</v>
      </c>
      <c r="B809" s="31">
        <v>5.383758704E9</v>
      </c>
      <c r="C809" s="32" t="s">
        <v>795</v>
      </c>
      <c r="D809" s="31">
        <v>2.9060153E7</v>
      </c>
      <c r="E809" s="30">
        <v>45132.0</v>
      </c>
      <c r="F809" s="33" t="s">
        <v>69</v>
      </c>
      <c r="G809" s="34">
        <v>2.0</v>
      </c>
      <c r="H809" s="33" t="s">
        <v>116</v>
      </c>
      <c r="I809" s="33" t="s">
        <v>88</v>
      </c>
      <c r="J809" s="33" t="s">
        <v>83</v>
      </c>
      <c r="K809" s="33" t="s">
        <v>99</v>
      </c>
      <c r="L809" s="33" t="str">
        <f t="shared" si="1"/>
        <v>FAMILIAR</v>
      </c>
      <c r="M809" s="33">
        <f t="shared" si="2"/>
        <v>7</v>
      </c>
      <c r="N809" s="33">
        <f t="shared" si="3"/>
        <v>2023</v>
      </c>
      <c r="O809" s="35" t="str">
        <f>VLOOKUP(K809,'CA y tablas'!$B$22:$C$28,2,FALSE)</f>
        <v>EUROPEO</v>
      </c>
      <c r="P809" s="28" t="str">
        <f t="shared" si="4"/>
        <v>S2</v>
      </c>
      <c r="Q809" s="29">
        <v>2.0</v>
      </c>
      <c r="R809" s="29" t="str">
        <f t="shared" si="5"/>
        <v>Q2</v>
      </c>
    </row>
    <row r="810" ht="15.75" customHeight="1">
      <c r="A810" s="22">
        <v>45128.0</v>
      </c>
      <c r="B810" s="23">
        <v>7.908821292E9</v>
      </c>
      <c r="C810" s="24" t="s">
        <v>796</v>
      </c>
      <c r="D810" s="23">
        <v>2.2877077E7</v>
      </c>
      <c r="E810" s="22">
        <v>45132.0</v>
      </c>
      <c r="F810" s="25" t="s">
        <v>69</v>
      </c>
      <c r="G810" s="26">
        <v>3.0</v>
      </c>
      <c r="H810" s="25" t="s">
        <v>116</v>
      </c>
      <c r="I810" s="25" t="s">
        <v>77</v>
      </c>
      <c r="J810" s="25" t="s">
        <v>83</v>
      </c>
      <c r="K810" s="25" t="s">
        <v>99</v>
      </c>
      <c r="L810" s="25" t="str">
        <f t="shared" si="1"/>
        <v>FAMILIAR</v>
      </c>
      <c r="M810" s="25">
        <f t="shared" si="2"/>
        <v>7</v>
      </c>
      <c r="N810" s="25">
        <f t="shared" si="3"/>
        <v>2023</v>
      </c>
      <c r="O810" s="27" t="str">
        <f>VLOOKUP(K810,'CA y tablas'!$B$22:$C$28,2,FALSE)</f>
        <v>EUROPEO</v>
      </c>
      <c r="P810" s="28" t="str">
        <f t="shared" si="4"/>
        <v>S2</v>
      </c>
      <c r="Q810" s="29">
        <v>2.0</v>
      </c>
      <c r="R810" s="29" t="str">
        <f t="shared" si="5"/>
        <v>Q2</v>
      </c>
    </row>
    <row r="811" ht="15.75" customHeight="1">
      <c r="A811" s="30">
        <v>45128.0</v>
      </c>
      <c r="B811" s="31">
        <v>5.990108084E9</v>
      </c>
      <c r="C811" s="32" t="s">
        <v>797</v>
      </c>
      <c r="D811" s="31">
        <v>3.414107E7</v>
      </c>
      <c r="E811" s="30">
        <v>45132.0</v>
      </c>
      <c r="F811" s="33" t="s">
        <v>76</v>
      </c>
      <c r="G811" s="34">
        <v>5.0</v>
      </c>
      <c r="H811" s="33" t="s">
        <v>116</v>
      </c>
      <c r="I811" s="33" t="s">
        <v>77</v>
      </c>
      <c r="J811" s="33" t="s">
        <v>83</v>
      </c>
      <c r="K811" s="33" t="s">
        <v>99</v>
      </c>
      <c r="L811" s="33" t="str">
        <f t="shared" si="1"/>
        <v>FAMILIAR</v>
      </c>
      <c r="M811" s="33">
        <f t="shared" si="2"/>
        <v>7</v>
      </c>
      <c r="N811" s="33">
        <f t="shared" si="3"/>
        <v>2023</v>
      </c>
      <c r="O811" s="35" t="str">
        <f>VLOOKUP(K811,'CA y tablas'!$B$22:$C$28,2,FALSE)</f>
        <v>EUROPEO</v>
      </c>
      <c r="P811" s="28" t="str">
        <f t="shared" si="4"/>
        <v>S2</v>
      </c>
      <c r="Q811" s="29">
        <v>2.0</v>
      </c>
      <c r="R811" s="29" t="str">
        <f t="shared" si="5"/>
        <v>Q2</v>
      </c>
    </row>
    <row r="812" ht="15.75" customHeight="1">
      <c r="A812" s="22">
        <v>45128.0</v>
      </c>
      <c r="B812" s="23">
        <v>3.079169752E9</v>
      </c>
      <c r="C812" s="24" t="s">
        <v>798</v>
      </c>
      <c r="D812" s="23"/>
      <c r="E812" s="22">
        <v>45132.0</v>
      </c>
      <c r="F812" s="25" t="s">
        <v>69</v>
      </c>
      <c r="G812" s="26">
        <v>3.0</v>
      </c>
      <c r="H812" s="25" t="s">
        <v>116</v>
      </c>
      <c r="I812" s="25" t="s">
        <v>77</v>
      </c>
      <c r="J812" s="25" t="s">
        <v>83</v>
      </c>
      <c r="K812" s="25" t="s">
        <v>99</v>
      </c>
      <c r="L812" s="25" t="str">
        <f t="shared" si="1"/>
        <v>FAMILIAR</v>
      </c>
      <c r="M812" s="25">
        <f t="shared" si="2"/>
        <v>7</v>
      </c>
      <c r="N812" s="25">
        <f t="shared" si="3"/>
        <v>2023</v>
      </c>
      <c r="O812" s="27" t="str">
        <f>VLOOKUP(K812,'CA y tablas'!$B$22:$C$28,2,FALSE)</f>
        <v>EUROPEO</v>
      </c>
      <c r="P812" s="28" t="str">
        <f t="shared" si="4"/>
        <v>S2</v>
      </c>
      <c r="Q812" s="29">
        <v>2.0</v>
      </c>
      <c r="R812" s="29" t="str">
        <f t="shared" si="5"/>
        <v>Q2</v>
      </c>
    </row>
    <row r="813" ht="15.75" customHeight="1">
      <c r="A813" s="30">
        <v>45128.0</v>
      </c>
      <c r="B813" s="31">
        <v>1.010483375E9</v>
      </c>
      <c r="C813" s="32" t="s">
        <v>799</v>
      </c>
      <c r="D813" s="31">
        <v>2.9998244E7</v>
      </c>
      <c r="E813" s="30">
        <v>45132.0</v>
      </c>
      <c r="F813" s="33" t="s">
        <v>69</v>
      </c>
      <c r="G813" s="34">
        <v>1.0</v>
      </c>
      <c r="H813" s="33" t="s">
        <v>116</v>
      </c>
      <c r="I813" s="33" t="s">
        <v>77</v>
      </c>
      <c r="J813" s="33" t="s">
        <v>83</v>
      </c>
      <c r="K813" s="33" t="s">
        <v>84</v>
      </c>
      <c r="L813" s="33" t="str">
        <f t="shared" si="1"/>
        <v>INDIVIDUAL</v>
      </c>
      <c r="M813" s="33">
        <f t="shared" si="2"/>
        <v>7</v>
      </c>
      <c r="N813" s="33">
        <f t="shared" si="3"/>
        <v>2023</v>
      </c>
      <c r="O813" s="35" t="str">
        <f>VLOOKUP(K813,'CA y tablas'!$B$22:$C$28,2,FALSE)</f>
        <v>EUROPEO</v>
      </c>
      <c r="P813" s="28" t="str">
        <f t="shared" si="4"/>
        <v>S2</v>
      </c>
      <c r="Q813" s="29">
        <v>2.0</v>
      </c>
      <c r="R813" s="29" t="str">
        <f t="shared" si="5"/>
        <v>Q2</v>
      </c>
    </row>
    <row r="814" ht="15.75" customHeight="1">
      <c r="A814" s="22">
        <v>45128.0</v>
      </c>
      <c r="B814" s="23">
        <v>5.99009103E9</v>
      </c>
      <c r="C814" s="24" t="s">
        <v>800</v>
      </c>
      <c r="D814" s="23">
        <v>4.2371415E7</v>
      </c>
      <c r="E814" s="22">
        <v>45132.0</v>
      </c>
      <c r="F814" s="25" t="s">
        <v>69</v>
      </c>
      <c r="G814" s="26">
        <v>1.0</v>
      </c>
      <c r="H814" s="25" t="s">
        <v>116</v>
      </c>
      <c r="I814" s="25" t="s">
        <v>77</v>
      </c>
      <c r="J814" s="25" t="s">
        <v>83</v>
      </c>
      <c r="K814" s="25" t="s">
        <v>84</v>
      </c>
      <c r="L814" s="25" t="str">
        <f t="shared" si="1"/>
        <v>INDIVIDUAL</v>
      </c>
      <c r="M814" s="25">
        <f t="shared" si="2"/>
        <v>7</v>
      </c>
      <c r="N814" s="25">
        <f t="shared" si="3"/>
        <v>2023</v>
      </c>
      <c r="O814" s="27" t="str">
        <f>VLOOKUP(K814,'CA y tablas'!$B$22:$C$28,2,FALSE)</f>
        <v>EUROPEO</v>
      </c>
      <c r="P814" s="28" t="str">
        <f t="shared" si="4"/>
        <v>S2</v>
      </c>
      <c r="Q814" s="29">
        <v>2.0</v>
      </c>
      <c r="R814" s="29" t="str">
        <f t="shared" si="5"/>
        <v>Q2</v>
      </c>
    </row>
    <row r="815" ht="15.75" customHeight="1">
      <c r="A815" s="30">
        <v>45128.0</v>
      </c>
      <c r="B815" s="31">
        <v>2.44985825E9</v>
      </c>
      <c r="C815" s="32" t="s">
        <v>801</v>
      </c>
      <c r="D815" s="31">
        <v>2.0760961E7</v>
      </c>
      <c r="E815" s="30">
        <v>45132.0</v>
      </c>
      <c r="F815" s="33" t="s">
        <v>69</v>
      </c>
      <c r="G815" s="34">
        <v>2.0</v>
      </c>
      <c r="H815" s="33" t="s">
        <v>116</v>
      </c>
      <c r="I815" s="33" t="s">
        <v>77</v>
      </c>
      <c r="J815" s="33" t="s">
        <v>83</v>
      </c>
      <c r="K815" s="33" t="s">
        <v>84</v>
      </c>
      <c r="L815" s="33" t="str">
        <f t="shared" si="1"/>
        <v>FAMILIAR</v>
      </c>
      <c r="M815" s="33">
        <f t="shared" si="2"/>
        <v>7</v>
      </c>
      <c r="N815" s="33">
        <f t="shared" si="3"/>
        <v>2023</v>
      </c>
      <c r="O815" s="35" t="str">
        <f>VLOOKUP(K815,'CA y tablas'!$B$22:$C$28,2,FALSE)</f>
        <v>EUROPEO</v>
      </c>
      <c r="P815" s="28" t="str">
        <f t="shared" si="4"/>
        <v>S2</v>
      </c>
      <c r="Q815" s="29">
        <v>2.0</v>
      </c>
      <c r="R815" s="29" t="str">
        <f t="shared" si="5"/>
        <v>Q2</v>
      </c>
    </row>
    <row r="816" ht="15.75" customHeight="1">
      <c r="A816" s="22">
        <v>45132.0</v>
      </c>
      <c r="B816" s="23">
        <v>2.54002504E9</v>
      </c>
      <c r="C816" s="24" t="s">
        <v>802</v>
      </c>
      <c r="D816" s="23">
        <v>1.8908094E7</v>
      </c>
      <c r="E816" s="22">
        <v>45132.0</v>
      </c>
      <c r="F816" s="25" t="s">
        <v>69</v>
      </c>
      <c r="G816" s="26">
        <v>2.0</v>
      </c>
      <c r="H816" s="25" t="s">
        <v>116</v>
      </c>
      <c r="I816" s="25" t="s">
        <v>77</v>
      </c>
      <c r="J816" s="25" t="s">
        <v>83</v>
      </c>
      <c r="K816" s="25" t="s">
        <v>84</v>
      </c>
      <c r="L816" s="25" t="str">
        <f t="shared" si="1"/>
        <v>FAMILIAR</v>
      </c>
      <c r="M816" s="25">
        <f t="shared" si="2"/>
        <v>7</v>
      </c>
      <c r="N816" s="25">
        <f t="shared" si="3"/>
        <v>2023</v>
      </c>
      <c r="O816" s="27" t="str">
        <f>VLOOKUP(K816,'CA y tablas'!$B$22:$C$28,2,FALSE)</f>
        <v>EUROPEO</v>
      </c>
      <c r="P816" s="28" t="str">
        <f t="shared" si="4"/>
        <v>S2</v>
      </c>
      <c r="Q816" s="29">
        <v>2.0</v>
      </c>
      <c r="R816" s="29" t="str">
        <f t="shared" si="5"/>
        <v>Q2</v>
      </c>
    </row>
    <row r="817" ht="15.75" customHeight="1">
      <c r="A817" s="30">
        <v>45132.0</v>
      </c>
      <c r="B817" s="31">
        <v>3.497821003E9</v>
      </c>
      <c r="C817" s="32" t="s">
        <v>803</v>
      </c>
      <c r="D817" s="31">
        <v>3.7500343E7</v>
      </c>
      <c r="E817" s="30">
        <v>45132.0</v>
      </c>
      <c r="F817" s="33" t="s">
        <v>69</v>
      </c>
      <c r="G817" s="34">
        <v>3.0</v>
      </c>
      <c r="H817" s="33" t="s">
        <v>116</v>
      </c>
      <c r="I817" s="33" t="s">
        <v>77</v>
      </c>
      <c r="J817" s="33" t="s">
        <v>83</v>
      </c>
      <c r="K817" s="33" t="s">
        <v>84</v>
      </c>
      <c r="L817" s="33" t="str">
        <f t="shared" si="1"/>
        <v>FAMILIAR</v>
      </c>
      <c r="M817" s="33">
        <f t="shared" si="2"/>
        <v>7</v>
      </c>
      <c r="N817" s="33">
        <f t="shared" si="3"/>
        <v>2023</v>
      </c>
      <c r="O817" s="35" t="str">
        <f>VLOOKUP(K817,'CA y tablas'!$B$22:$C$28,2,FALSE)</f>
        <v>EUROPEO</v>
      </c>
      <c r="P817" s="28" t="str">
        <f t="shared" si="4"/>
        <v>S2</v>
      </c>
      <c r="Q817" s="29">
        <v>2.0</v>
      </c>
      <c r="R817" s="29" t="str">
        <f t="shared" si="5"/>
        <v>Q2</v>
      </c>
    </row>
    <row r="818" ht="15.75" customHeight="1">
      <c r="A818" s="22">
        <v>45132.0</v>
      </c>
      <c r="B818" s="23">
        <v>1.462063934E9</v>
      </c>
      <c r="C818" s="24" t="s">
        <v>801</v>
      </c>
      <c r="D818" s="23">
        <v>2.0760961E7</v>
      </c>
      <c r="E818" s="22">
        <v>45132.0</v>
      </c>
      <c r="F818" s="25" t="s">
        <v>69</v>
      </c>
      <c r="G818" s="26">
        <v>4.0</v>
      </c>
      <c r="H818" s="25" t="s">
        <v>70</v>
      </c>
      <c r="I818" s="25" t="s">
        <v>77</v>
      </c>
      <c r="J818" s="25" t="s">
        <v>83</v>
      </c>
      <c r="K818" s="25" t="s">
        <v>84</v>
      </c>
      <c r="L818" s="25" t="str">
        <f t="shared" si="1"/>
        <v>FAMILIAR</v>
      </c>
      <c r="M818" s="25">
        <f t="shared" si="2"/>
        <v>7</v>
      </c>
      <c r="N818" s="25">
        <f t="shared" si="3"/>
        <v>2023</v>
      </c>
      <c r="O818" s="27" t="str">
        <f>VLOOKUP(K818,'CA y tablas'!$B$22:$C$28,2,FALSE)</f>
        <v>EUROPEO</v>
      </c>
      <c r="P818" s="28" t="str">
        <f t="shared" si="4"/>
        <v>S2</v>
      </c>
      <c r="Q818" s="29">
        <v>2.0</v>
      </c>
      <c r="R818" s="29" t="str">
        <f t="shared" si="5"/>
        <v>Q2</v>
      </c>
    </row>
    <row r="819" ht="15.75" customHeight="1">
      <c r="A819" s="30">
        <v>45114.0</v>
      </c>
      <c r="B819" s="31">
        <v>1.6047164E9</v>
      </c>
      <c r="C819" s="32" t="s">
        <v>804</v>
      </c>
      <c r="D819" s="31">
        <v>1.0429165E7</v>
      </c>
      <c r="E819" s="30">
        <v>45133.0</v>
      </c>
      <c r="F819" s="33" t="s">
        <v>69</v>
      </c>
      <c r="G819" s="34">
        <v>4.0</v>
      </c>
      <c r="H819" s="33" t="s">
        <v>70</v>
      </c>
      <c r="I819" s="33" t="s">
        <v>88</v>
      </c>
      <c r="J819" s="33" t="s">
        <v>79</v>
      </c>
      <c r="K819" s="33" t="s">
        <v>84</v>
      </c>
      <c r="L819" s="33" t="str">
        <f t="shared" si="1"/>
        <v>FAMILIAR</v>
      </c>
      <c r="M819" s="33">
        <f t="shared" si="2"/>
        <v>7</v>
      </c>
      <c r="N819" s="33">
        <f t="shared" si="3"/>
        <v>2023</v>
      </c>
      <c r="O819" s="35" t="str">
        <f>VLOOKUP(K819,'CA y tablas'!$B$22:$C$28,2,FALSE)</f>
        <v>EUROPEO</v>
      </c>
      <c r="P819" s="28" t="str">
        <f t="shared" si="4"/>
        <v>S2</v>
      </c>
      <c r="Q819" s="29">
        <v>2.0</v>
      </c>
      <c r="R819" s="29" t="str">
        <f t="shared" si="5"/>
        <v>Q2</v>
      </c>
    </row>
    <row r="820" ht="15.75" customHeight="1">
      <c r="A820" s="22">
        <v>45119.0</v>
      </c>
      <c r="B820" s="23">
        <v>2.231467313E9</v>
      </c>
      <c r="C820" s="24" t="s">
        <v>805</v>
      </c>
      <c r="D820" s="23">
        <v>1.4966188E7</v>
      </c>
      <c r="E820" s="22">
        <v>45133.0</v>
      </c>
      <c r="F820" s="25" t="s">
        <v>69</v>
      </c>
      <c r="G820" s="26">
        <v>4.0</v>
      </c>
      <c r="H820" s="25" t="s">
        <v>70</v>
      </c>
      <c r="I820" s="25" t="s">
        <v>88</v>
      </c>
      <c r="J820" s="25" t="s">
        <v>79</v>
      </c>
      <c r="K820" s="25" t="s">
        <v>84</v>
      </c>
      <c r="L820" s="25" t="str">
        <f t="shared" si="1"/>
        <v>FAMILIAR</v>
      </c>
      <c r="M820" s="25">
        <f t="shared" si="2"/>
        <v>7</v>
      </c>
      <c r="N820" s="25">
        <f t="shared" si="3"/>
        <v>2023</v>
      </c>
      <c r="O820" s="27" t="str">
        <f>VLOOKUP(K820,'CA y tablas'!$B$22:$C$28,2,FALSE)</f>
        <v>EUROPEO</v>
      </c>
      <c r="P820" s="28" t="str">
        <f t="shared" si="4"/>
        <v>S2</v>
      </c>
      <c r="Q820" s="29">
        <v>2.0</v>
      </c>
      <c r="R820" s="29" t="str">
        <f t="shared" si="5"/>
        <v>Q2</v>
      </c>
    </row>
    <row r="821" ht="15.75" customHeight="1">
      <c r="A821" s="30">
        <v>45125.0</v>
      </c>
      <c r="B821" s="31">
        <v>2.23446643E9</v>
      </c>
      <c r="C821" s="32" t="s">
        <v>806</v>
      </c>
      <c r="D821" s="31">
        <v>3.314769E7</v>
      </c>
      <c r="E821" s="30">
        <v>45133.0</v>
      </c>
      <c r="F821" s="33" t="s">
        <v>76</v>
      </c>
      <c r="G821" s="34">
        <v>3.0</v>
      </c>
      <c r="H821" s="33" t="s">
        <v>70</v>
      </c>
      <c r="I821" s="33" t="s">
        <v>88</v>
      </c>
      <c r="J821" s="33" t="s">
        <v>79</v>
      </c>
      <c r="K821" s="33" t="s">
        <v>84</v>
      </c>
      <c r="L821" s="33" t="str">
        <f t="shared" si="1"/>
        <v>FAMILIAR</v>
      </c>
      <c r="M821" s="33">
        <f t="shared" si="2"/>
        <v>7</v>
      </c>
      <c r="N821" s="33">
        <f t="shared" si="3"/>
        <v>2023</v>
      </c>
      <c r="O821" s="35" t="str">
        <f>VLOOKUP(K821,'CA y tablas'!$B$22:$C$28,2,FALSE)</f>
        <v>EUROPEO</v>
      </c>
      <c r="P821" s="28" t="str">
        <f t="shared" si="4"/>
        <v>S2</v>
      </c>
      <c r="Q821" s="29">
        <v>2.0</v>
      </c>
      <c r="R821" s="29" t="str">
        <f t="shared" si="5"/>
        <v>Q2</v>
      </c>
    </row>
    <row r="822" ht="15.75" customHeight="1">
      <c r="A822" s="22">
        <v>45125.0</v>
      </c>
      <c r="B822" s="23">
        <v>2.104892366E9</v>
      </c>
      <c r="C822" s="24" t="s">
        <v>807</v>
      </c>
      <c r="D822" s="23">
        <v>4.0923948E7</v>
      </c>
      <c r="E822" s="22">
        <v>45133.0</v>
      </c>
      <c r="F822" s="25" t="s">
        <v>69</v>
      </c>
      <c r="G822" s="26">
        <v>3.0</v>
      </c>
      <c r="H822" s="25" t="s">
        <v>70</v>
      </c>
      <c r="I822" s="25" t="s">
        <v>88</v>
      </c>
      <c r="J822" s="25" t="s">
        <v>79</v>
      </c>
      <c r="K822" s="25" t="s">
        <v>84</v>
      </c>
      <c r="L822" s="25" t="str">
        <f t="shared" si="1"/>
        <v>FAMILIAR</v>
      </c>
      <c r="M822" s="25">
        <f t="shared" si="2"/>
        <v>7</v>
      </c>
      <c r="N822" s="25">
        <f t="shared" si="3"/>
        <v>2023</v>
      </c>
      <c r="O822" s="27" t="str">
        <f>VLOOKUP(K822,'CA y tablas'!$B$22:$C$28,2,FALSE)</f>
        <v>EUROPEO</v>
      </c>
      <c r="P822" s="28" t="str">
        <f t="shared" si="4"/>
        <v>S2</v>
      </c>
      <c r="Q822" s="29">
        <v>2.0</v>
      </c>
      <c r="R822" s="29" t="str">
        <f t="shared" si="5"/>
        <v>Q2</v>
      </c>
    </row>
    <row r="823" ht="15.75" customHeight="1">
      <c r="A823" s="30">
        <v>45125.0</v>
      </c>
      <c r="B823" s="31">
        <v>6.3826588E9</v>
      </c>
      <c r="C823" s="32" t="s">
        <v>808</v>
      </c>
      <c r="D823" s="31">
        <v>8135920.0</v>
      </c>
      <c r="E823" s="30">
        <v>45133.0</v>
      </c>
      <c r="F823" s="33" t="s">
        <v>69</v>
      </c>
      <c r="G823" s="34">
        <v>3.0</v>
      </c>
      <c r="H823" s="33" t="s">
        <v>70</v>
      </c>
      <c r="I823" s="33" t="s">
        <v>88</v>
      </c>
      <c r="J823" s="33" t="s">
        <v>79</v>
      </c>
      <c r="K823" s="33" t="s">
        <v>84</v>
      </c>
      <c r="L823" s="33" t="str">
        <f t="shared" si="1"/>
        <v>FAMILIAR</v>
      </c>
      <c r="M823" s="33">
        <f t="shared" si="2"/>
        <v>7</v>
      </c>
      <c r="N823" s="33">
        <f t="shared" si="3"/>
        <v>2023</v>
      </c>
      <c r="O823" s="35" t="str">
        <f>VLOOKUP(K823,'CA y tablas'!$B$22:$C$28,2,FALSE)</f>
        <v>EUROPEO</v>
      </c>
      <c r="P823" s="28" t="str">
        <f t="shared" si="4"/>
        <v>S2</v>
      </c>
      <c r="Q823" s="29">
        <v>2.0</v>
      </c>
      <c r="R823" s="29" t="str">
        <f t="shared" si="5"/>
        <v>Q2</v>
      </c>
    </row>
    <row r="824" ht="15.75" customHeight="1">
      <c r="A824" s="22">
        <v>45125.0</v>
      </c>
      <c r="B824" s="23">
        <v>6.274071016E9</v>
      </c>
      <c r="C824" s="24" t="s">
        <v>808</v>
      </c>
      <c r="D824" s="23">
        <v>8135920.0</v>
      </c>
      <c r="E824" s="22">
        <v>45133.0</v>
      </c>
      <c r="F824" s="25" t="s">
        <v>69</v>
      </c>
      <c r="G824" s="26">
        <v>4.0</v>
      </c>
      <c r="H824" s="25" t="s">
        <v>70</v>
      </c>
      <c r="I824" s="25" t="s">
        <v>88</v>
      </c>
      <c r="J824" s="25" t="s">
        <v>79</v>
      </c>
      <c r="K824" s="25" t="s">
        <v>84</v>
      </c>
      <c r="L824" s="25" t="str">
        <f t="shared" si="1"/>
        <v>FAMILIAR</v>
      </c>
      <c r="M824" s="25">
        <f t="shared" si="2"/>
        <v>7</v>
      </c>
      <c r="N824" s="25">
        <f t="shared" si="3"/>
        <v>2023</v>
      </c>
      <c r="O824" s="27" t="str">
        <f>VLOOKUP(K824,'CA y tablas'!$B$22:$C$28,2,FALSE)</f>
        <v>EUROPEO</v>
      </c>
      <c r="P824" s="28" t="str">
        <f t="shared" si="4"/>
        <v>S2</v>
      </c>
      <c r="Q824" s="29">
        <v>2.0</v>
      </c>
      <c r="R824" s="29" t="str">
        <f t="shared" si="5"/>
        <v>Q2</v>
      </c>
    </row>
    <row r="825" ht="15.75" customHeight="1">
      <c r="A825" s="30">
        <v>45127.0</v>
      </c>
      <c r="B825" s="31">
        <v>9.102747802E9</v>
      </c>
      <c r="C825" s="32" t="s">
        <v>809</v>
      </c>
      <c r="D825" s="31">
        <v>1.8777018E7</v>
      </c>
      <c r="E825" s="30">
        <v>45133.0</v>
      </c>
      <c r="F825" s="33" t="s">
        <v>69</v>
      </c>
      <c r="G825" s="34">
        <v>2.0</v>
      </c>
      <c r="H825" s="33" t="s">
        <v>70</v>
      </c>
      <c r="I825" s="33" t="s">
        <v>88</v>
      </c>
      <c r="J825" s="33" t="s">
        <v>79</v>
      </c>
      <c r="K825" s="33" t="s">
        <v>84</v>
      </c>
      <c r="L825" s="33" t="str">
        <f t="shared" si="1"/>
        <v>FAMILIAR</v>
      </c>
      <c r="M825" s="33">
        <f t="shared" si="2"/>
        <v>7</v>
      </c>
      <c r="N825" s="33">
        <f t="shared" si="3"/>
        <v>2023</v>
      </c>
      <c r="O825" s="35" t="str">
        <f>VLOOKUP(K825,'CA y tablas'!$B$22:$C$28,2,FALSE)</f>
        <v>EUROPEO</v>
      </c>
      <c r="P825" s="28" t="str">
        <f t="shared" si="4"/>
        <v>S2</v>
      </c>
      <c r="Q825" s="29">
        <v>2.0</v>
      </c>
      <c r="R825" s="29" t="str">
        <f t="shared" si="5"/>
        <v>Q2</v>
      </c>
    </row>
    <row r="826" ht="15.75" customHeight="1">
      <c r="A826" s="22">
        <v>45128.0</v>
      </c>
      <c r="B826" s="23">
        <v>5.383659676E9</v>
      </c>
      <c r="C826" s="24" t="s">
        <v>810</v>
      </c>
      <c r="D826" s="23">
        <v>2.1330375E7</v>
      </c>
      <c r="E826" s="22">
        <v>45133.0</v>
      </c>
      <c r="F826" s="25" t="s">
        <v>69</v>
      </c>
      <c r="G826" s="26">
        <v>2.0</v>
      </c>
      <c r="H826" s="25" t="s">
        <v>92</v>
      </c>
      <c r="I826" s="25" t="s">
        <v>88</v>
      </c>
      <c r="J826" s="25" t="s">
        <v>79</v>
      </c>
      <c r="K826" s="25" t="s">
        <v>90</v>
      </c>
      <c r="L826" s="25" t="str">
        <f t="shared" si="1"/>
        <v>FAMILIAR</v>
      </c>
      <c r="M826" s="25">
        <f t="shared" si="2"/>
        <v>7</v>
      </c>
      <c r="N826" s="25">
        <f t="shared" si="3"/>
        <v>2023</v>
      </c>
      <c r="O826" s="27" t="str">
        <f>VLOOKUP(K826,'CA y tablas'!$B$22:$C$28,2,FALSE)</f>
        <v>EUROPEO</v>
      </c>
      <c r="P826" s="28" t="str">
        <f t="shared" si="4"/>
        <v>S2</v>
      </c>
      <c r="Q826" s="29">
        <v>2.0</v>
      </c>
      <c r="R826" s="29" t="str">
        <f t="shared" si="5"/>
        <v>Q2</v>
      </c>
    </row>
    <row r="827" ht="15.75" customHeight="1">
      <c r="A827" s="30">
        <v>45128.0</v>
      </c>
      <c r="B827" s="31">
        <v>3.144521811E9</v>
      </c>
      <c r="C827" s="32" t="s">
        <v>811</v>
      </c>
      <c r="D827" s="31">
        <v>4.2499754E7</v>
      </c>
      <c r="E827" s="30">
        <v>45133.0</v>
      </c>
      <c r="F827" s="33" t="s">
        <v>69</v>
      </c>
      <c r="G827" s="34">
        <v>1.0</v>
      </c>
      <c r="H827" s="33" t="s">
        <v>92</v>
      </c>
      <c r="I827" s="33" t="s">
        <v>71</v>
      </c>
      <c r="J827" s="33" t="s">
        <v>79</v>
      </c>
      <c r="K827" s="33" t="s">
        <v>90</v>
      </c>
      <c r="L827" s="33" t="str">
        <f t="shared" si="1"/>
        <v>INDIVIDUAL</v>
      </c>
      <c r="M827" s="33">
        <f t="shared" si="2"/>
        <v>7</v>
      </c>
      <c r="N827" s="33">
        <f t="shared" si="3"/>
        <v>2023</v>
      </c>
      <c r="O827" s="35" t="str">
        <f>VLOOKUP(K827,'CA y tablas'!$B$22:$C$28,2,FALSE)</f>
        <v>EUROPEO</v>
      </c>
      <c r="P827" s="28" t="str">
        <f t="shared" si="4"/>
        <v>S2</v>
      </c>
      <c r="Q827" s="29">
        <v>2.0</v>
      </c>
      <c r="R827" s="29" t="str">
        <f t="shared" si="5"/>
        <v>Q2</v>
      </c>
    </row>
    <row r="828" ht="15.75" customHeight="1">
      <c r="A828" s="22">
        <v>45128.0</v>
      </c>
      <c r="B828" s="23">
        <v>2.415319933E9</v>
      </c>
      <c r="C828" s="24" t="s">
        <v>812</v>
      </c>
      <c r="D828" s="23">
        <v>2.9034033E7</v>
      </c>
      <c r="E828" s="22">
        <v>45133.0</v>
      </c>
      <c r="F828" s="25" t="s">
        <v>69</v>
      </c>
      <c r="G828" s="26">
        <v>1.0</v>
      </c>
      <c r="H828" s="25" t="s">
        <v>92</v>
      </c>
      <c r="I828" s="25" t="s">
        <v>71</v>
      </c>
      <c r="J828" s="25" t="s">
        <v>79</v>
      </c>
      <c r="K828" s="25" t="s">
        <v>90</v>
      </c>
      <c r="L828" s="25" t="str">
        <f t="shared" si="1"/>
        <v>INDIVIDUAL</v>
      </c>
      <c r="M828" s="25">
        <f t="shared" si="2"/>
        <v>7</v>
      </c>
      <c r="N828" s="25">
        <f t="shared" si="3"/>
        <v>2023</v>
      </c>
      <c r="O828" s="27" t="str">
        <f>VLOOKUP(K828,'CA y tablas'!$B$22:$C$28,2,FALSE)</f>
        <v>EUROPEO</v>
      </c>
      <c r="P828" s="28" t="str">
        <f t="shared" si="4"/>
        <v>S2</v>
      </c>
      <c r="Q828" s="29">
        <v>2.0</v>
      </c>
      <c r="R828" s="29" t="str">
        <f t="shared" si="5"/>
        <v>Q2</v>
      </c>
    </row>
    <row r="829" ht="15.75" customHeight="1">
      <c r="A829" s="30">
        <v>45132.0</v>
      </c>
      <c r="B829" s="31">
        <v>3.496229015E9</v>
      </c>
      <c r="C829" s="32" t="s">
        <v>813</v>
      </c>
      <c r="D829" s="31">
        <v>3.6998356E7</v>
      </c>
      <c r="E829" s="30">
        <v>45133.0</v>
      </c>
      <c r="F829" s="33" t="s">
        <v>76</v>
      </c>
      <c r="G829" s="34">
        <v>2.0</v>
      </c>
      <c r="H829" s="33" t="s">
        <v>92</v>
      </c>
      <c r="I829" s="33" t="s">
        <v>71</v>
      </c>
      <c r="J829" s="33" t="s">
        <v>83</v>
      </c>
      <c r="K829" s="33" t="s">
        <v>90</v>
      </c>
      <c r="L829" s="33" t="str">
        <f t="shared" si="1"/>
        <v>FAMILIAR</v>
      </c>
      <c r="M829" s="33">
        <f t="shared" si="2"/>
        <v>7</v>
      </c>
      <c r="N829" s="33">
        <f t="shared" si="3"/>
        <v>2023</v>
      </c>
      <c r="O829" s="35" t="str">
        <f>VLOOKUP(K829,'CA y tablas'!$B$22:$C$28,2,FALSE)</f>
        <v>EUROPEO</v>
      </c>
      <c r="P829" s="28" t="str">
        <f t="shared" si="4"/>
        <v>S2</v>
      </c>
      <c r="Q829" s="29">
        <v>2.0</v>
      </c>
      <c r="R829" s="29" t="str">
        <f t="shared" si="5"/>
        <v>Q2</v>
      </c>
    </row>
    <row r="830" ht="15.75" customHeight="1">
      <c r="A830" s="22">
        <v>45132.0</v>
      </c>
      <c r="B830" s="23">
        <v>4.728852483E9</v>
      </c>
      <c r="C830" s="24" t="s">
        <v>814</v>
      </c>
      <c r="D830" s="23">
        <v>3.2116042E7</v>
      </c>
      <c r="E830" s="22">
        <v>45133.0</v>
      </c>
      <c r="F830" s="25" t="s">
        <v>69</v>
      </c>
      <c r="G830" s="26">
        <v>2.0</v>
      </c>
      <c r="H830" s="25" t="s">
        <v>92</v>
      </c>
      <c r="I830" s="25" t="s">
        <v>71</v>
      </c>
      <c r="J830" s="25" t="s">
        <v>83</v>
      </c>
      <c r="K830" s="25" t="s">
        <v>90</v>
      </c>
      <c r="L830" s="25" t="str">
        <f t="shared" si="1"/>
        <v>FAMILIAR</v>
      </c>
      <c r="M830" s="25">
        <f t="shared" si="2"/>
        <v>7</v>
      </c>
      <c r="N830" s="25">
        <f t="shared" si="3"/>
        <v>2023</v>
      </c>
      <c r="O830" s="27" t="str">
        <f>VLOOKUP(K830,'CA y tablas'!$B$22:$C$28,2,FALSE)</f>
        <v>EUROPEO</v>
      </c>
      <c r="P830" s="28" t="str">
        <f t="shared" si="4"/>
        <v>S2</v>
      </c>
      <c r="Q830" s="29">
        <v>2.0</v>
      </c>
      <c r="R830" s="29" t="str">
        <f t="shared" si="5"/>
        <v>Q2</v>
      </c>
    </row>
    <row r="831" ht="15.75" customHeight="1">
      <c r="A831" s="30">
        <v>45132.0</v>
      </c>
      <c r="B831" s="31">
        <v>2.59884436E9</v>
      </c>
      <c r="C831" s="32" t="s">
        <v>815</v>
      </c>
      <c r="D831" s="31">
        <v>2.7961772E7</v>
      </c>
      <c r="E831" s="30">
        <v>45133.0</v>
      </c>
      <c r="F831" s="33" t="s">
        <v>69</v>
      </c>
      <c r="G831" s="34">
        <v>4.0</v>
      </c>
      <c r="H831" s="33" t="s">
        <v>81</v>
      </c>
      <c r="I831" s="33" t="s">
        <v>71</v>
      </c>
      <c r="J831" s="33" t="s">
        <v>83</v>
      </c>
      <c r="K831" s="33" t="s">
        <v>73</v>
      </c>
      <c r="L831" s="33" t="str">
        <f t="shared" si="1"/>
        <v>FAMILIAR</v>
      </c>
      <c r="M831" s="33">
        <f t="shared" si="2"/>
        <v>7</v>
      </c>
      <c r="N831" s="33">
        <f t="shared" si="3"/>
        <v>2023</v>
      </c>
      <c r="O831" s="35" t="str">
        <f>VLOOKUP(K831,'CA y tablas'!$B$22:$C$28,2,FALSE)</f>
        <v>AMERICANO</v>
      </c>
      <c r="P831" s="28" t="str">
        <f t="shared" si="4"/>
        <v>S2</v>
      </c>
      <c r="Q831" s="29">
        <v>2.0</v>
      </c>
      <c r="R831" s="29" t="str">
        <f t="shared" si="5"/>
        <v>Q2</v>
      </c>
    </row>
    <row r="832" ht="15.75" customHeight="1">
      <c r="A832" s="22">
        <v>45132.0</v>
      </c>
      <c r="B832" s="23">
        <v>1.46206844E9</v>
      </c>
      <c r="C832" s="24" t="s">
        <v>816</v>
      </c>
      <c r="D832" s="23">
        <v>3.8745509E7</v>
      </c>
      <c r="E832" s="22">
        <v>45133.0</v>
      </c>
      <c r="F832" s="25" t="s">
        <v>69</v>
      </c>
      <c r="G832" s="26">
        <v>3.0</v>
      </c>
      <c r="H832" s="25" t="s">
        <v>81</v>
      </c>
      <c r="I832" s="25" t="s">
        <v>71</v>
      </c>
      <c r="J832" s="25" t="s">
        <v>83</v>
      </c>
      <c r="K832" s="25" t="s">
        <v>73</v>
      </c>
      <c r="L832" s="25" t="str">
        <f t="shared" si="1"/>
        <v>FAMILIAR</v>
      </c>
      <c r="M832" s="25">
        <f t="shared" si="2"/>
        <v>7</v>
      </c>
      <c r="N832" s="25">
        <f t="shared" si="3"/>
        <v>2023</v>
      </c>
      <c r="O832" s="27" t="str">
        <f>VLOOKUP(K832,'CA y tablas'!$B$22:$C$28,2,FALSE)</f>
        <v>AMERICANO</v>
      </c>
      <c r="P832" s="28" t="str">
        <f t="shared" si="4"/>
        <v>S2</v>
      </c>
      <c r="Q832" s="29">
        <v>2.0</v>
      </c>
      <c r="R832" s="29" t="str">
        <f t="shared" si="5"/>
        <v>Q2</v>
      </c>
    </row>
    <row r="833" ht="15.75" customHeight="1">
      <c r="A833" s="30">
        <v>45132.0</v>
      </c>
      <c r="B833" s="31">
        <v>7.925078674E9</v>
      </c>
      <c r="C833" s="32" t="s">
        <v>817</v>
      </c>
      <c r="D833" s="31">
        <v>3.9138914E7</v>
      </c>
      <c r="E833" s="30">
        <v>45133.0</v>
      </c>
      <c r="F833" s="33" t="s">
        <v>69</v>
      </c>
      <c r="G833" s="34">
        <v>3.0</v>
      </c>
      <c r="H833" s="33" t="s">
        <v>81</v>
      </c>
      <c r="I833" s="33" t="s">
        <v>71</v>
      </c>
      <c r="J833" s="33" t="s">
        <v>83</v>
      </c>
      <c r="K833" s="33" t="s">
        <v>73</v>
      </c>
      <c r="L833" s="33" t="str">
        <f t="shared" si="1"/>
        <v>FAMILIAR</v>
      </c>
      <c r="M833" s="33">
        <f t="shared" si="2"/>
        <v>7</v>
      </c>
      <c r="N833" s="33">
        <f t="shared" si="3"/>
        <v>2023</v>
      </c>
      <c r="O833" s="35" t="str">
        <f>VLOOKUP(K833,'CA y tablas'!$B$22:$C$28,2,FALSE)</f>
        <v>AMERICANO</v>
      </c>
      <c r="P833" s="28" t="str">
        <f t="shared" si="4"/>
        <v>S2</v>
      </c>
      <c r="Q833" s="29">
        <v>2.0</v>
      </c>
      <c r="R833" s="29" t="str">
        <f t="shared" si="5"/>
        <v>Q2</v>
      </c>
    </row>
    <row r="834" ht="15.75" customHeight="1">
      <c r="A834" s="22">
        <v>45132.0</v>
      </c>
      <c r="B834" s="23">
        <v>4.96506458E9</v>
      </c>
      <c r="C834" s="24" t="s">
        <v>818</v>
      </c>
      <c r="D834" s="23">
        <v>3.1620839E7</v>
      </c>
      <c r="E834" s="22">
        <v>45133.0</v>
      </c>
      <c r="F834" s="25" t="s">
        <v>76</v>
      </c>
      <c r="G834" s="26">
        <v>2.0</v>
      </c>
      <c r="H834" s="25" t="s">
        <v>81</v>
      </c>
      <c r="I834" s="25" t="s">
        <v>71</v>
      </c>
      <c r="J834" s="25" t="s">
        <v>83</v>
      </c>
      <c r="K834" s="25" t="s">
        <v>73</v>
      </c>
      <c r="L834" s="25" t="str">
        <f t="shared" si="1"/>
        <v>FAMILIAR</v>
      </c>
      <c r="M834" s="25">
        <f t="shared" si="2"/>
        <v>7</v>
      </c>
      <c r="N834" s="25">
        <f t="shared" si="3"/>
        <v>2023</v>
      </c>
      <c r="O834" s="27" t="str">
        <f>VLOOKUP(K834,'CA y tablas'!$B$22:$C$28,2,FALSE)</f>
        <v>AMERICANO</v>
      </c>
      <c r="P834" s="28" t="str">
        <f t="shared" si="4"/>
        <v>S2</v>
      </c>
      <c r="Q834" s="29">
        <v>2.0</v>
      </c>
      <c r="R834" s="29" t="str">
        <f t="shared" si="5"/>
        <v>Q2</v>
      </c>
    </row>
    <row r="835" ht="15.75" customHeight="1">
      <c r="A835" s="30">
        <v>45114.0</v>
      </c>
      <c r="B835" s="31">
        <v>3.865224694E9</v>
      </c>
      <c r="C835" s="32" t="s">
        <v>819</v>
      </c>
      <c r="D835" s="31">
        <v>4.5231381E7</v>
      </c>
      <c r="E835" s="30">
        <v>45134.0</v>
      </c>
      <c r="F835" s="33" t="s">
        <v>69</v>
      </c>
      <c r="G835" s="34">
        <v>2.0</v>
      </c>
      <c r="H835" s="33" t="s">
        <v>81</v>
      </c>
      <c r="I835" s="33" t="s">
        <v>71</v>
      </c>
      <c r="J835" s="33" t="s">
        <v>83</v>
      </c>
      <c r="K835" s="33" t="s">
        <v>73</v>
      </c>
      <c r="L835" s="33" t="str">
        <f t="shared" si="1"/>
        <v>FAMILIAR</v>
      </c>
      <c r="M835" s="33">
        <f t="shared" si="2"/>
        <v>7</v>
      </c>
      <c r="N835" s="33">
        <f t="shared" si="3"/>
        <v>2023</v>
      </c>
      <c r="O835" s="35" t="str">
        <f>VLOOKUP(K835,'CA y tablas'!$B$22:$C$28,2,FALSE)</f>
        <v>AMERICANO</v>
      </c>
      <c r="P835" s="28" t="str">
        <f t="shared" si="4"/>
        <v>S2</v>
      </c>
      <c r="Q835" s="29">
        <v>2.0</v>
      </c>
      <c r="R835" s="29" t="str">
        <f t="shared" si="5"/>
        <v>Q2</v>
      </c>
    </row>
    <row r="836" ht="15.75" customHeight="1">
      <c r="A836" s="22">
        <v>45128.0</v>
      </c>
      <c r="B836" s="23">
        <v>4.610938636E9</v>
      </c>
      <c r="C836" s="24" t="s">
        <v>820</v>
      </c>
      <c r="D836" s="23">
        <v>2.8883271E7</v>
      </c>
      <c r="E836" s="22">
        <v>45134.0</v>
      </c>
      <c r="F836" s="25" t="s">
        <v>69</v>
      </c>
      <c r="G836" s="26">
        <v>1.0</v>
      </c>
      <c r="H836" s="25" t="s">
        <v>81</v>
      </c>
      <c r="I836" s="25" t="s">
        <v>71</v>
      </c>
      <c r="J836" s="25" t="s">
        <v>83</v>
      </c>
      <c r="K836" s="25" t="s">
        <v>73</v>
      </c>
      <c r="L836" s="25" t="str">
        <f t="shared" si="1"/>
        <v>INDIVIDUAL</v>
      </c>
      <c r="M836" s="25">
        <f t="shared" si="2"/>
        <v>7</v>
      </c>
      <c r="N836" s="25">
        <f t="shared" si="3"/>
        <v>2023</v>
      </c>
      <c r="O836" s="27" t="str">
        <f>VLOOKUP(K836,'CA y tablas'!$B$22:$C$28,2,FALSE)</f>
        <v>AMERICANO</v>
      </c>
      <c r="P836" s="28" t="str">
        <f t="shared" si="4"/>
        <v>S2</v>
      </c>
      <c r="Q836" s="29">
        <v>2.0</v>
      </c>
      <c r="R836" s="29" t="str">
        <f t="shared" si="5"/>
        <v>Q2</v>
      </c>
    </row>
    <row r="837" ht="15.75" customHeight="1">
      <c r="A837" s="30">
        <v>45132.0</v>
      </c>
      <c r="B837" s="31">
        <v>1.462026252E9</v>
      </c>
      <c r="C837" s="32" t="s">
        <v>821</v>
      </c>
      <c r="D837" s="31">
        <v>2.4803833E7</v>
      </c>
      <c r="E837" s="30">
        <v>45134.0</v>
      </c>
      <c r="F837" s="33" t="s">
        <v>69</v>
      </c>
      <c r="G837" s="34">
        <v>2.0</v>
      </c>
      <c r="H837" s="33" t="s">
        <v>106</v>
      </c>
      <c r="I837" s="33" t="s">
        <v>71</v>
      </c>
      <c r="J837" s="33" t="s">
        <v>83</v>
      </c>
      <c r="K837" s="33" t="s">
        <v>73</v>
      </c>
      <c r="L837" s="33" t="str">
        <f t="shared" si="1"/>
        <v>FAMILIAR</v>
      </c>
      <c r="M837" s="33">
        <f t="shared" si="2"/>
        <v>7</v>
      </c>
      <c r="N837" s="33">
        <f t="shared" si="3"/>
        <v>2023</v>
      </c>
      <c r="O837" s="35" t="str">
        <f>VLOOKUP(K837,'CA y tablas'!$B$22:$C$28,2,FALSE)</f>
        <v>AMERICANO</v>
      </c>
      <c r="P837" s="28" t="str">
        <f t="shared" si="4"/>
        <v>S2</v>
      </c>
      <c r="Q837" s="29">
        <v>2.0</v>
      </c>
      <c r="R837" s="29" t="str">
        <f t="shared" si="5"/>
        <v>Q2</v>
      </c>
    </row>
    <row r="838" ht="15.75" customHeight="1">
      <c r="A838" s="22">
        <v>45132.0</v>
      </c>
      <c r="B838" s="23">
        <v>7.11125457E9</v>
      </c>
      <c r="C838" s="24" t="s">
        <v>822</v>
      </c>
      <c r="D838" s="23">
        <v>1.7892711E7</v>
      </c>
      <c r="E838" s="22">
        <v>45134.0</v>
      </c>
      <c r="F838" s="25" t="s">
        <v>69</v>
      </c>
      <c r="G838" s="26">
        <v>2.0</v>
      </c>
      <c r="H838" s="25" t="s">
        <v>106</v>
      </c>
      <c r="I838" s="25" t="s">
        <v>71</v>
      </c>
      <c r="J838" s="25" t="s">
        <v>83</v>
      </c>
      <c r="K838" s="25" t="s">
        <v>73</v>
      </c>
      <c r="L838" s="25" t="str">
        <f t="shared" si="1"/>
        <v>FAMILIAR</v>
      </c>
      <c r="M838" s="25">
        <f t="shared" si="2"/>
        <v>7</v>
      </c>
      <c r="N838" s="25">
        <f t="shared" si="3"/>
        <v>2023</v>
      </c>
      <c r="O838" s="27" t="str">
        <f>VLOOKUP(K838,'CA y tablas'!$B$22:$C$28,2,FALSE)</f>
        <v>AMERICANO</v>
      </c>
      <c r="P838" s="28" t="str">
        <f t="shared" si="4"/>
        <v>S2</v>
      </c>
      <c r="Q838" s="29">
        <v>2.0</v>
      </c>
      <c r="R838" s="29" t="str">
        <f t="shared" si="5"/>
        <v>Q2</v>
      </c>
    </row>
    <row r="839" ht="15.75" customHeight="1">
      <c r="A839" s="30">
        <v>45132.0</v>
      </c>
      <c r="B839" s="31">
        <v>4.214112523E9</v>
      </c>
      <c r="C839" s="32" t="s">
        <v>823</v>
      </c>
      <c r="D839" s="31">
        <v>4.2929442E7</v>
      </c>
      <c r="E839" s="30">
        <v>45134.0</v>
      </c>
      <c r="F839" s="33" t="s">
        <v>69</v>
      </c>
      <c r="G839" s="34">
        <v>4.0</v>
      </c>
      <c r="H839" s="33" t="s">
        <v>106</v>
      </c>
      <c r="I839" s="33" t="s">
        <v>71</v>
      </c>
      <c r="J839" s="33" t="s">
        <v>93</v>
      </c>
      <c r="K839" s="33" t="s">
        <v>73</v>
      </c>
      <c r="L839" s="33" t="str">
        <f t="shared" si="1"/>
        <v>FAMILIAR</v>
      </c>
      <c r="M839" s="33">
        <f t="shared" si="2"/>
        <v>7</v>
      </c>
      <c r="N839" s="33">
        <f t="shared" si="3"/>
        <v>2023</v>
      </c>
      <c r="O839" s="35" t="str">
        <f>VLOOKUP(K839,'CA y tablas'!$B$22:$C$28,2,FALSE)</f>
        <v>AMERICANO</v>
      </c>
      <c r="P839" s="28" t="str">
        <f t="shared" si="4"/>
        <v>S2</v>
      </c>
      <c r="Q839" s="29">
        <v>2.0</v>
      </c>
      <c r="R839" s="29" t="str">
        <f t="shared" si="5"/>
        <v>Q2</v>
      </c>
    </row>
    <row r="840" ht="15.75" customHeight="1">
      <c r="A840" s="22">
        <v>45132.0</v>
      </c>
      <c r="B840" s="23">
        <v>1.46214957E9</v>
      </c>
      <c r="C840" s="24" t="s">
        <v>824</v>
      </c>
      <c r="D840" s="23">
        <v>4.4581635E7</v>
      </c>
      <c r="E840" s="22">
        <v>45134.0</v>
      </c>
      <c r="F840" s="25" t="s">
        <v>69</v>
      </c>
      <c r="G840" s="26">
        <v>3.0</v>
      </c>
      <c r="H840" s="25" t="s">
        <v>106</v>
      </c>
      <c r="I840" s="25" t="s">
        <v>71</v>
      </c>
      <c r="J840" s="25" t="s">
        <v>93</v>
      </c>
      <c r="K840" s="25" t="s">
        <v>73</v>
      </c>
      <c r="L840" s="25" t="str">
        <f t="shared" si="1"/>
        <v>FAMILIAR</v>
      </c>
      <c r="M840" s="25">
        <f t="shared" si="2"/>
        <v>7</v>
      </c>
      <c r="N840" s="25">
        <f t="shared" si="3"/>
        <v>2023</v>
      </c>
      <c r="O840" s="27" t="str">
        <f>VLOOKUP(K840,'CA y tablas'!$B$22:$C$28,2,FALSE)</f>
        <v>AMERICANO</v>
      </c>
      <c r="P840" s="28" t="str">
        <f t="shared" si="4"/>
        <v>S2</v>
      </c>
      <c r="Q840" s="29">
        <v>2.0</v>
      </c>
      <c r="R840" s="29" t="str">
        <f t="shared" si="5"/>
        <v>Q2</v>
      </c>
    </row>
    <row r="841" ht="15.75" customHeight="1">
      <c r="A841" s="30">
        <v>45133.0</v>
      </c>
      <c r="B841" s="31">
        <v>2.652082705E9</v>
      </c>
      <c r="C841" s="32" t="s">
        <v>821</v>
      </c>
      <c r="D841" s="31">
        <v>2.4803833E7</v>
      </c>
      <c r="E841" s="30">
        <v>45134.0</v>
      </c>
      <c r="F841" s="33" t="s">
        <v>76</v>
      </c>
      <c r="G841" s="34">
        <v>3.0</v>
      </c>
      <c r="H841" s="33" t="s">
        <v>106</v>
      </c>
      <c r="I841" s="33" t="s">
        <v>71</v>
      </c>
      <c r="J841" s="33" t="s">
        <v>93</v>
      </c>
      <c r="K841" s="33" t="s">
        <v>217</v>
      </c>
      <c r="L841" s="33" t="str">
        <f t="shared" si="1"/>
        <v>FAMILIAR</v>
      </c>
      <c r="M841" s="33">
        <f t="shared" si="2"/>
        <v>7</v>
      </c>
      <c r="N841" s="33">
        <f t="shared" si="3"/>
        <v>2023</v>
      </c>
      <c r="O841" s="35" t="str">
        <f>VLOOKUP(K841,'CA y tablas'!$B$22:$C$28,2,FALSE)</f>
        <v>ASIATICO</v>
      </c>
      <c r="P841" s="28" t="str">
        <f t="shared" si="4"/>
        <v>S2</v>
      </c>
      <c r="Q841" s="29">
        <v>2.0</v>
      </c>
      <c r="R841" s="29" t="str">
        <f t="shared" si="5"/>
        <v>Q2</v>
      </c>
    </row>
    <row r="842" ht="15.75" customHeight="1">
      <c r="A842" s="22">
        <v>45134.0</v>
      </c>
      <c r="B842" s="23">
        <v>3.43793793E9</v>
      </c>
      <c r="C842" s="24" t="s">
        <v>825</v>
      </c>
      <c r="D842" s="23">
        <v>1.4225736E7</v>
      </c>
      <c r="E842" s="22">
        <v>45134.0</v>
      </c>
      <c r="F842" s="25" t="s">
        <v>69</v>
      </c>
      <c r="G842" s="26">
        <v>3.0</v>
      </c>
      <c r="H842" s="25" t="s">
        <v>112</v>
      </c>
      <c r="I842" s="25" t="s">
        <v>71</v>
      </c>
      <c r="J842" s="25" t="s">
        <v>93</v>
      </c>
      <c r="K842" s="25" t="s">
        <v>217</v>
      </c>
      <c r="L842" s="25" t="str">
        <f t="shared" si="1"/>
        <v>FAMILIAR</v>
      </c>
      <c r="M842" s="25">
        <f t="shared" si="2"/>
        <v>7</v>
      </c>
      <c r="N842" s="25">
        <f t="shared" si="3"/>
        <v>2023</v>
      </c>
      <c r="O842" s="27" t="str">
        <f>VLOOKUP(K842,'CA y tablas'!$B$22:$C$28,2,FALSE)</f>
        <v>ASIATICO</v>
      </c>
      <c r="P842" s="28" t="str">
        <f t="shared" si="4"/>
        <v>S2</v>
      </c>
      <c r="Q842" s="29">
        <v>2.0</v>
      </c>
      <c r="R842" s="29" t="str">
        <f t="shared" si="5"/>
        <v>Q2</v>
      </c>
    </row>
    <row r="843" ht="15.75" customHeight="1">
      <c r="A843" s="30">
        <v>45114.0</v>
      </c>
      <c r="B843" s="31">
        <v>7.197197206E9</v>
      </c>
      <c r="C843" s="32" t="s">
        <v>826</v>
      </c>
      <c r="D843" s="31">
        <v>1.3790478E7</v>
      </c>
      <c r="E843" s="30">
        <v>45135.0</v>
      </c>
      <c r="F843" s="33" t="s">
        <v>69</v>
      </c>
      <c r="G843" s="34">
        <v>2.0</v>
      </c>
      <c r="H843" s="33" t="s">
        <v>112</v>
      </c>
      <c r="I843" s="33" t="s">
        <v>71</v>
      </c>
      <c r="J843" s="33" t="s">
        <v>93</v>
      </c>
      <c r="K843" s="33" t="s">
        <v>217</v>
      </c>
      <c r="L843" s="33" t="str">
        <f t="shared" si="1"/>
        <v>FAMILIAR</v>
      </c>
      <c r="M843" s="33">
        <f t="shared" si="2"/>
        <v>7</v>
      </c>
      <c r="N843" s="33">
        <f t="shared" si="3"/>
        <v>2023</v>
      </c>
      <c r="O843" s="35" t="str">
        <f>VLOOKUP(K843,'CA y tablas'!$B$22:$C$28,2,FALSE)</f>
        <v>ASIATICO</v>
      </c>
      <c r="P843" s="28" t="str">
        <f t="shared" si="4"/>
        <v>S2</v>
      </c>
      <c r="Q843" s="29">
        <v>2.0</v>
      </c>
      <c r="R843" s="29" t="str">
        <f t="shared" si="5"/>
        <v>Q2</v>
      </c>
    </row>
    <row r="844" ht="15.75" customHeight="1">
      <c r="A844" s="22">
        <v>45128.0</v>
      </c>
      <c r="B844" s="23">
        <v>2.415351046E9</v>
      </c>
      <c r="C844" s="24" t="s">
        <v>827</v>
      </c>
      <c r="D844" s="23">
        <v>1.6457607E7</v>
      </c>
      <c r="E844" s="22">
        <v>45135.0</v>
      </c>
      <c r="F844" s="25" t="s">
        <v>69</v>
      </c>
      <c r="G844" s="26">
        <v>2.0</v>
      </c>
      <c r="H844" s="25" t="s">
        <v>112</v>
      </c>
      <c r="I844" s="25" t="s">
        <v>71</v>
      </c>
      <c r="J844" s="25" t="s">
        <v>93</v>
      </c>
      <c r="K844" s="25" t="s">
        <v>107</v>
      </c>
      <c r="L844" s="25" t="str">
        <f t="shared" si="1"/>
        <v>FAMILIAR</v>
      </c>
      <c r="M844" s="25">
        <f t="shared" si="2"/>
        <v>7</v>
      </c>
      <c r="N844" s="25">
        <f t="shared" si="3"/>
        <v>2023</v>
      </c>
      <c r="O844" s="27" t="str">
        <f>VLOOKUP(K844,'CA y tablas'!$B$22:$C$28,2,FALSE)</f>
        <v>AMERICANO</v>
      </c>
      <c r="P844" s="28" t="str">
        <f t="shared" si="4"/>
        <v>S2</v>
      </c>
      <c r="Q844" s="29">
        <v>2.0</v>
      </c>
      <c r="R844" s="29" t="str">
        <f t="shared" si="5"/>
        <v>Q2</v>
      </c>
    </row>
    <row r="845" ht="15.75" customHeight="1">
      <c r="A845" s="30">
        <v>45128.0</v>
      </c>
      <c r="B845" s="31">
        <v>3.874471705E9</v>
      </c>
      <c r="C845" s="32" t="s">
        <v>828</v>
      </c>
      <c r="D845" s="31"/>
      <c r="E845" s="30">
        <v>45135.0</v>
      </c>
      <c r="F845" s="33" t="s">
        <v>69</v>
      </c>
      <c r="G845" s="34">
        <v>2.0</v>
      </c>
      <c r="H845" s="33" t="s">
        <v>116</v>
      </c>
      <c r="I845" s="33" t="s">
        <v>71</v>
      </c>
      <c r="J845" s="33" t="s">
        <v>93</v>
      </c>
      <c r="K845" s="33" t="s">
        <v>107</v>
      </c>
      <c r="L845" s="33" t="str">
        <f t="shared" si="1"/>
        <v>FAMILIAR</v>
      </c>
      <c r="M845" s="33">
        <f t="shared" si="2"/>
        <v>7</v>
      </c>
      <c r="N845" s="33">
        <f t="shared" si="3"/>
        <v>2023</v>
      </c>
      <c r="O845" s="35" t="str">
        <f>VLOOKUP(K845,'CA y tablas'!$B$22:$C$28,2,FALSE)</f>
        <v>AMERICANO</v>
      </c>
      <c r="P845" s="28" t="str">
        <f t="shared" si="4"/>
        <v>S2</v>
      </c>
      <c r="Q845" s="29">
        <v>2.0</v>
      </c>
      <c r="R845" s="29" t="str">
        <f t="shared" si="5"/>
        <v>Q2</v>
      </c>
    </row>
    <row r="846" ht="15.75" customHeight="1">
      <c r="A846" s="22">
        <v>45132.0</v>
      </c>
      <c r="B846" s="23">
        <v>7.014890411E9</v>
      </c>
      <c r="C846" s="24" t="s">
        <v>829</v>
      </c>
      <c r="D846" s="23">
        <v>2.2028951E7</v>
      </c>
      <c r="E846" s="22">
        <v>45135.0</v>
      </c>
      <c r="F846" s="25" t="s">
        <v>76</v>
      </c>
      <c r="G846" s="26">
        <v>2.0</v>
      </c>
      <c r="H846" s="25" t="s">
        <v>116</v>
      </c>
      <c r="I846" s="25" t="s">
        <v>71</v>
      </c>
      <c r="J846" s="25" t="s">
        <v>93</v>
      </c>
      <c r="K846" s="25" t="s">
        <v>107</v>
      </c>
      <c r="L846" s="25" t="str">
        <f t="shared" si="1"/>
        <v>FAMILIAR</v>
      </c>
      <c r="M846" s="25">
        <f t="shared" si="2"/>
        <v>7</v>
      </c>
      <c r="N846" s="25">
        <f t="shared" si="3"/>
        <v>2023</v>
      </c>
      <c r="O846" s="27" t="str">
        <f>VLOOKUP(K846,'CA y tablas'!$B$22:$C$28,2,FALSE)</f>
        <v>AMERICANO</v>
      </c>
      <c r="P846" s="28" t="str">
        <f t="shared" si="4"/>
        <v>S2</v>
      </c>
      <c r="Q846" s="29">
        <v>2.0</v>
      </c>
      <c r="R846" s="29" t="str">
        <f t="shared" si="5"/>
        <v>Q2</v>
      </c>
    </row>
    <row r="847" ht="15.75" customHeight="1">
      <c r="A847" s="30">
        <v>45132.0</v>
      </c>
      <c r="B847" s="31">
        <v>7.014879141E9</v>
      </c>
      <c r="C847" s="32" t="s">
        <v>829</v>
      </c>
      <c r="D847" s="31">
        <v>2.2028951E7</v>
      </c>
      <c r="E847" s="30">
        <v>45135.0</v>
      </c>
      <c r="F847" s="33" t="s">
        <v>76</v>
      </c>
      <c r="G847" s="34">
        <v>2.0</v>
      </c>
      <c r="H847" s="33" t="s">
        <v>116</v>
      </c>
      <c r="I847" s="33" t="s">
        <v>71</v>
      </c>
      <c r="J847" s="33" t="s">
        <v>93</v>
      </c>
      <c r="K847" s="33" t="s">
        <v>107</v>
      </c>
      <c r="L847" s="33" t="str">
        <f t="shared" si="1"/>
        <v>FAMILIAR</v>
      </c>
      <c r="M847" s="33">
        <f t="shared" si="2"/>
        <v>7</v>
      </c>
      <c r="N847" s="33">
        <f t="shared" si="3"/>
        <v>2023</v>
      </c>
      <c r="O847" s="35" t="str">
        <f>VLOOKUP(K847,'CA y tablas'!$B$22:$C$28,2,FALSE)</f>
        <v>AMERICANO</v>
      </c>
      <c r="P847" s="28" t="str">
        <f t="shared" si="4"/>
        <v>S2</v>
      </c>
      <c r="Q847" s="29">
        <v>2.0</v>
      </c>
      <c r="R847" s="29" t="str">
        <f t="shared" si="5"/>
        <v>Q2</v>
      </c>
    </row>
    <row r="848" ht="15.75" customHeight="1">
      <c r="A848" s="22">
        <v>45132.0</v>
      </c>
      <c r="B848" s="23">
        <v>3.497815031E9</v>
      </c>
      <c r="C848" s="24" t="s">
        <v>830</v>
      </c>
      <c r="D848" s="23">
        <v>4.0357925E7</v>
      </c>
      <c r="E848" s="22">
        <v>45135.0</v>
      </c>
      <c r="F848" s="25" t="s">
        <v>69</v>
      </c>
      <c r="G848" s="26">
        <v>1.0</v>
      </c>
      <c r="H848" s="25" t="s">
        <v>116</v>
      </c>
      <c r="I848" s="25" t="s">
        <v>71</v>
      </c>
      <c r="J848" s="25" t="s">
        <v>93</v>
      </c>
      <c r="K848" s="25" t="s">
        <v>107</v>
      </c>
      <c r="L848" s="25" t="str">
        <f t="shared" si="1"/>
        <v>INDIVIDUAL</v>
      </c>
      <c r="M848" s="25">
        <f t="shared" si="2"/>
        <v>7</v>
      </c>
      <c r="N848" s="25">
        <f t="shared" si="3"/>
        <v>2023</v>
      </c>
      <c r="O848" s="27" t="str">
        <f>VLOOKUP(K848,'CA y tablas'!$B$22:$C$28,2,FALSE)</f>
        <v>AMERICANO</v>
      </c>
      <c r="P848" s="28" t="str">
        <f t="shared" si="4"/>
        <v>S2</v>
      </c>
      <c r="Q848" s="29">
        <v>2.0</v>
      </c>
      <c r="R848" s="29" t="str">
        <f t="shared" si="5"/>
        <v>Q2</v>
      </c>
    </row>
    <row r="849" ht="15.75" customHeight="1">
      <c r="A849" s="30">
        <v>45134.0</v>
      </c>
      <c r="B849" s="31">
        <v>6.931989525E9</v>
      </c>
      <c r="C849" s="32" t="s">
        <v>831</v>
      </c>
      <c r="D849" s="31">
        <v>4163362.0</v>
      </c>
      <c r="E849" s="30">
        <v>45135.0</v>
      </c>
      <c r="F849" s="33" t="s">
        <v>69</v>
      </c>
      <c r="G849" s="34">
        <v>1.0</v>
      </c>
      <c r="H849" s="33" t="s">
        <v>70</v>
      </c>
      <c r="I849" s="33" t="s">
        <v>71</v>
      </c>
      <c r="J849" s="33" t="s">
        <v>318</v>
      </c>
      <c r="K849" s="33" t="s">
        <v>107</v>
      </c>
      <c r="L849" s="33" t="str">
        <f t="shared" si="1"/>
        <v>INDIVIDUAL</v>
      </c>
      <c r="M849" s="33">
        <f t="shared" si="2"/>
        <v>7</v>
      </c>
      <c r="N849" s="33">
        <f t="shared" si="3"/>
        <v>2023</v>
      </c>
      <c r="O849" s="35" t="str">
        <f>VLOOKUP(K849,'CA y tablas'!$B$22:$C$28,2,FALSE)</f>
        <v>AMERICANO</v>
      </c>
      <c r="P849" s="28" t="str">
        <f t="shared" si="4"/>
        <v>S2</v>
      </c>
      <c r="Q849" s="29">
        <v>2.0</v>
      </c>
      <c r="R849" s="29" t="str">
        <f t="shared" si="5"/>
        <v>Q2</v>
      </c>
    </row>
    <row r="850" ht="15.75" customHeight="1">
      <c r="A850" s="22">
        <v>45125.0</v>
      </c>
      <c r="B850" s="23">
        <v>1.34108065E9</v>
      </c>
      <c r="C850" s="24" t="s">
        <v>832</v>
      </c>
      <c r="D850" s="23">
        <v>3.24131713E8</v>
      </c>
      <c r="E850" s="22">
        <v>45138.0</v>
      </c>
      <c r="F850" s="25" t="s">
        <v>69</v>
      </c>
      <c r="G850" s="26">
        <v>2.0</v>
      </c>
      <c r="H850" s="25" t="s">
        <v>70</v>
      </c>
      <c r="I850" s="25" t="s">
        <v>71</v>
      </c>
      <c r="J850" s="25" t="s">
        <v>318</v>
      </c>
      <c r="K850" s="25" t="s">
        <v>107</v>
      </c>
      <c r="L850" s="25" t="str">
        <f t="shared" si="1"/>
        <v>FAMILIAR</v>
      </c>
      <c r="M850" s="25">
        <f t="shared" si="2"/>
        <v>7</v>
      </c>
      <c r="N850" s="25">
        <f t="shared" si="3"/>
        <v>2023</v>
      </c>
      <c r="O850" s="27" t="str">
        <f>VLOOKUP(K850,'CA y tablas'!$B$22:$C$28,2,FALSE)</f>
        <v>AMERICANO</v>
      </c>
      <c r="P850" s="28" t="str">
        <f t="shared" si="4"/>
        <v>S2</v>
      </c>
      <c r="Q850" s="29">
        <v>2.0</v>
      </c>
      <c r="R850" s="29" t="str">
        <f t="shared" si="5"/>
        <v>Q2</v>
      </c>
    </row>
    <row r="851" ht="15.75" customHeight="1">
      <c r="A851" s="30">
        <v>45128.0</v>
      </c>
      <c r="B851" s="31">
        <v>3.144577133E9</v>
      </c>
      <c r="C851" s="32" t="s">
        <v>833</v>
      </c>
      <c r="D851" s="31">
        <v>3.9573249E7</v>
      </c>
      <c r="E851" s="30">
        <v>45138.0</v>
      </c>
      <c r="F851" s="33" t="s">
        <v>69</v>
      </c>
      <c r="G851" s="34">
        <v>2.0</v>
      </c>
      <c r="H851" s="33" t="s">
        <v>70</v>
      </c>
      <c r="I851" s="33" t="s">
        <v>71</v>
      </c>
      <c r="J851" s="33" t="s">
        <v>318</v>
      </c>
      <c r="K851" s="33" t="s">
        <v>107</v>
      </c>
      <c r="L851" s="33" t="str">
        <f t="shared" si="1"/>
        <v>FAMILIAR</v>
      </c>
      <c r="M851" s="33">
        <f t="shared" si="2"/>
        <v>7</v>
      </c>
      <c r="N851" s="33">
        <f t="shared" si="3"/>
        <v>2023</v>
      </c>
      <c r="O851" s="35" t="str">
        <f>VLOOKUP(K851,'CA y tablas'!$B$22:$C$28,2,FALSE)</f>
        <v>AMERICANO</v>
      </c>
      <c r="P851" s="28" t="str">
        <f t="shared" si="4"/>
        <v>S2</v>
      </c>
      <c r="Q851" s="29">
        <v>2.0</v>
      </c>
      <c r="R851" s="29" t="str">
        <f t="shared" si="5"/>
        <v>Q2</v>
      </c>
    </row>
    <row r="852" ht="15.75" customHeight="1">
      <c r="A852" s="22">
        <v>45132.0</v>
      </c>
      <c r="B852" s="23">
        <v>4.214116686E9</v>
      </c>
      <c r="C852" s="24" t="s">
        <v>834</v>
      </c>
      <c r="D852" s="23">
        <v>1.4225524E7</v>
      </c>
      <c r="E852" s="22">
        <v>45138.0</v>
      </c>
      <c r="F852" s="25" t="s">
        <v>69</v>
      </c>
      <c r="G852" s="26">
        <v>1.0</v>
      </c>
      <c r="H852" s="25" t="s">
        <v>70</v>
      </c>
      <c r="I852" s="25" t="s">
        <v>71</v>
      </c>
      <c r="J852" s="25" t="s">
        <v>318</v>
      </c>
      <c r="K852" s="25" t="s">
        <v>99</v>
      </c>
      <c r="L852" s="25" t="str">
        <f t="shared" si="1"/>
        <v>INDIVIDUAL</v>
      </c>
      <c r="M852" s="25">
        <f t="shared" si="2"/>
        <v>7</v>
      </c>
      <c r="N852" s="25">
        <f t="shared" si="3"/>
        <v>2023</v>
      </c>
      <c r="O852" s="27" t="str">
        <f>VLOOKUP(K852,'CA y tablas'!$B$22:$C$28,2,FALSE)</f>
        <v>EUROPEO</v>
      </c>
      <c r="P852" s="28" t="str">
        <f t="shared" si="4"/>
        <v>S2</v>
      </c>
      <c r="Q852" s="29">
        <v>2.0</v>
      </c>
      <c r="R852" s="29" t="str">
        <f t="shared" si="5"/>
        <v>Q2</v>
      </c>
    </row>
    <row r="853" ht="15.75" customHeight="1">
      <c r="A853" s="30">
        <v>45134.0</v>
      </c>
      <c r="B853" s="31">
        <v>6.571439803E9</v>
      </c>
      <c r="C853" s="32" t="s">
        <v>835</v>
      </c>
      <c r="D853" s="31">
        <v>3.1254423E7</v>
      </c>
      <c r="E853" s="30">
        <v>45138.0</v>
      </c>
      <c r="F853" s="33" t="s">
        <v>76</v>
      </c>
      <c r="G853" s="34">
        <v>1.0</v>
      </c>
      <c r="H853" s="33" t="s">
        <v>70</v>
      </c>
      <c r="I853" s="33" t="s">
        <v>71</v>
      </c>
      <c r="J853" s="33" t="s">
        <v>318</v>
      </c>
      <c r="K853" s="33" t="s">
        <v>99</v>
      </c>
      <c r="L853" s="33" t="str">
        <f t="shared" si="1"/>
        <v>INDIVIDUAL</v>
      </c>
      <c r="M853" s="33">
        <f t="shared" si="2"/>
        <v>7</v>
      </c>
      <c r="N853" s="33">
        <f t="shared" si="3"/>
        <v>2023</v>
      </c>
      <c r="O853" s="35" t="str">
        <f>VLOOKUP(K853,'CA y tablas'!$B$22:$C$28,2,FALSE)</f>
        <v>EUROPEO</v>
      </c>
      <c r="P853" s="28" t="str">
        <f t="shared" si="4"/>
        <v>S2</v>
      </c>
      <c r="Q853" s="29">
        <v>2.0</v>
      </c>
      <c r="R853" s="29" t="str">
        <f t="shared" si="5"/>
        <v>Q2</v>
      </c>
    </row>
    <row r="854" ht="15.75" customHeight="1">
      <c r="A854" s="22">
        <v>45134.0</v>
      </c>
      <c r="B854" s="23">
        <v>2.455258816E9</v>
      </c>
      <c r="C854" s="24" t="s">
        <v>836</v>
      </c>
      <c r="D854" s="23">
        <v>4.1061801E7</v>
      </c>
      <c r="E854" s="22">
        <v>45138.0</v>
      </c>
      <c r="F854" s="25" t="s">
        <v>69</v>
      </c>
      <c r="G854" s="26">
        <v>1.0</v>
      </c>
      <c r="H854" s="25" t="s">
        <v>70</v>
      </c>
      <c r="I854" s="25" t="s">
        <v>71</v>
      </c>
      <c r="J854" s="25" t="s">
        <v>72</v>
      </c>
      <c r="K854" s="25" t="s">
        <v>99</v>
      </c>
      <c r="L854" s="25" t="str">
        <f t="shared" si="1"/>
        <v>INDIVIDUAL</v>
      </c>
      <c r="M854" s="25">
        <f t="shared" si="2"/>
        <v>7</v>
      </c>
      <c r="N854" s="25">
        <f t="shared" si="3"/>
        <v>2023</v>
      </c>
      <c r="O854" s="27" t="str">
        <f>VLOOKUP(K854,'CA y tablas'!$B$22:$C$28,2,FALSE)</f>
        <v>EUROPEO</v>
      </c>
      <c r="P854" s="28" t="str">
        <f t="shared" si="4"/>
        <v>S2</v>
      </c>
      <c r="Q854" s="29">
        <v>2.0</v>
      </c>
      <c r="R854" s="29" t="str">
        <f t="shared" si="5"/>
        <v>Q2</v>
      </c>
    </row>
    <row r="855" ht="15.75" customHeight="1">
      <c r="A855" s="30">
        <v>45135.0</v>
      </c>
      <c r="B855" s="31">
        <v>2.878338772E9</v>
      </c>
      <c r="C855" s="32" t="s">
        <v>837</v>
      </c>
      <c r="D855" s="31">
        <v>2.8222731E7</v>
      </c>
      <c r="E855" s="30">
        <v>45138.0</v>
      </c>
      <c r="F855" s="33" t="s">
        <v>76</v>
      </c>
      <c r="G855" s="34">
        <v>1.0</v>
      </c>
      <c r="H855" s="33" t="s">
        <v>106</v>
      </c>
      <c r="I855" s="33" t="s">
        <v>71</v>
      </c>
      <c r="J855" s="33" t="s">
        <v>72</v>
      </c>
      <c r="K855" s="33" t="s">
        <v>99</v>
      </c>
      <c r="L855" s="33" t="str">
        <f t="shared" si="1"/>
        <v>INDIVIDUAL</v>
      </c>
      <c r="M855" s="33">
        <f t="shared" si="2"/>
        <v>7</v>
      </c>
      <c r="N855" s="33">
        <f t="shared" si="3"/>
        <v>2023</v>
      </c>
      <c r="O855" s="35" t="str">
        <f>VLOOKUP(K855,'CA y tablas'!$B$22:$C$28,2,FALSE)</f>
        <v>EUROPEO</v>
      </c>
      <c r="P855" s="28" t="str">
        <f t="shared" si="4"/>
        <v>S2</v>
      </c>
      <c r="Q855" s="29">
        <v>2.0</v>
      </c>
      <c r="R855" s="29" t="str">
        <f t="shared" si="5"/>
        <v>Q2</v>
      </c>
    </row>
    <row r="856" ht="15.75" customHeight="1">
      <c r="A856" s="22">
        <v>45135.0</v>
      </c>
      <c r="B856" s="23">
        <v>9.612726605E9</v>
      </c>
      <c r="C856" s="24" t="s">
        <v>837</v>
      </c>
      <c r="D856" s="23">
        <v>2.8222731E7</v>
      </c>
      <c r="E856" s="22">
        <v>45138.0</v>
      </c>
      <c r="F856" s="25" t="s">
        <v>69</v>
      </c>
      <c r="G856" s="26">
        <v>1.0</v>
      </c>
      <c r="H856" s="25" t="s">
        <v>106</v>
      </c>
      <c r="I856" s="25" t="s">
        <v>71</v>
      </c>
      <c r="J856" s="25" t="s">
        <v>72</v>
      </c>
      <c r="K856" s="25" t="s">
        <v>99</v>
      </c>
      <c r="L856" s="25" t="str">
        <f t="shared" si="1"/>
        <v>INDIVIDUAL</v>
      </c>
      <c r="M856" s="25">
        <f t="shared" si="2"/>
        <v>7</v>
      </c>
      <c r="N856" s="25">
        <f t="shared" si="3"/>
        <v>2023</v>
      </c>
      <c r="O856" s="27" t="str">
        <f>VLOOKUP(K856,'CA y tablas'!$B$22:$C$28,2,FALSE)</f>
        <v>EUROPEO</v>
      </c>
      <c r="P856" s="28" t="str">
        <f t="shared" si="4"/>
        <v>S2</v>
      </c>
      <c r="Q856" s="29">
        <v>2.0</v>
      </c>
      <c r="R856" s="29" t="str">
        <f t="shared" si="5"/>
        <v>Q2</v>
      </c>
    </row>
    <row r="857" ht="15.75" customHeight="1">
      <c r="A857" s="30">
        <v>45135.0</v>
      </c>
      <c r="B857" s="31">
        <v>6.580999515E9</v>
      </c>
      <c r="C857" s="32" t="s">
        <v>838</v>
      </c>
      <c r="D857" s="31">
        <v>2.5212989E7</v>
      </c>
      <c r="E857" s="30">
        <v>45138.0</v>
      </c>
      <c r="F857" s="33" t="s">
        <v>69</v>
      </c>
      <c r="G857" s="34">
        <v>1.0</v>
      </c>
      <c r="H857" s="33" t="s">
        <v>106</v>
      </c>
      <c r="I857" s="33" t="s">
        <v>71</v>
      </c>
      <c r="J857" s="33" t="s">
        <v>72</v>
      </c>
      <c r="K857" s="33" t="s">
        <v>99</v>
      </c>
      <c r="L857" s="33" t="str">
        <f t="shared" si="1"/>
        <v>INDIVIDUAL</v>
      </c>
      <c r="M857" s="33">
        <f t="shared" si="2"/>
        <v>7</v>
      </c>
      <c r="N857" s="33">
        <f t="shared" si="3"/>
        <v>2023</v>
      </c>
      <c r="O857" s="35" t="str">
        <f>VLOOKUP(K857,'CA y tablas'!$B$22:$C$28,2,FALSE)</f>
        <v>EUROPEO</v>
      </c>
      <c r="P857" s="28" t="str">
        <f t="shared" si="4"/>
        <v>S2</v>
      </c>
      <c r="Q857" s="29">
        <v>2.0</v>
      </c>
      <c r="R857" s="29" t="str">
        <f t="shared" si="5"/>
        <v>Q2</v>
      </c>
    </row>
    <row r="858" ht="15.75" customHeight="1">
      <c r="A858" s="22">
        <v>45117.0</v>
      </c>
      <c r="B858" s="23">
        <v>3.27312706E9</v>
      </c>
      <c r="C858" s="24" t="s">
        <v>839</v>
      </c>
      <c r="D858" s="23">
        <v>3.799759E7</v>
      </c>
      <c r="E858" s="22">
        <v>45139.0</v>
      </c>
      <c r="F858" s="25" t="s">
        <v>69</v>
      </c>
      <c r="G858" s="26">
        <v>1.0</v>
      </c>
      <c r="H858" s="25" t="s">
        <v>106</v>
      </c>
      <c r="I858" s="25" t="s">
        <v>71</v>
      </c>
      <c r="J858" s="25" t="s">
        <v>72</v>
      </c>
      <c r="K858" s="25" t="s">
        <v>99</v>
      </c>
      <c r="L858" s="25" t="str">
        <f t="shared" si="1"/>
        <v>INDIVIDUAL</v>
      </c>
      <c r="M858" s="25">
        <f t="shared" si="2"/>
        <v>8</v>
      </c>
      <c r="N858" s="25">
        <f t="shared" si="3"/>
        <v>2023</v>
      </c>
      <c r="O858" s="27" t="str">
        <f>VLOOKUP(K858,'CA y tablas'!$B$22:$C$28,2,FALSE)</f>
        <v>EUROPEO</v>
      </c>
      <c r="P858" s="28" t="str">
        <f t="shared" si="4"/>
        <v>S2</v>
      </c>
      <c r="Q858" s="29">
        <v>2.0</v>
      </c>
      <c r="R858" s="29" t="str">
        <f t="shared" si="5"/>
        <v>Q2</v>
      </c>
    </row>
    <row r="859" ht="15.75" customHeight="1">
      <c r="A859" s="30">
        <v>45125.0</v>
      </c>
      <c r="B859" s="31">
        <v>6.274097443E9</v>
      </c>
      <c r="C859" s="32" t="s">
        <v>840</v>
      </c>
      <c r="D859" s="31">
        <v>4.1232755E7</v>
      </c>
      <c r="E859" s="30">
        <v>45139.0</v>
      </c>
      <c r="F859" s="33" t="s">
        <v>69</v>
      </c>
      <c r="G859" s="34">
        <v>1.0</v>
      </c>
      <c r="H859" s="33" t="s">
        <v>106</v>
      </c>
      <c r="I859" s="33" t="s">
        <v>71</v>
      </c>
      <c r="J859" s="33" t="s">
        <v>72</v>
      </c>
      <c r="K859" s="33" t="s">
        <v>90</v>
      </c>
      <c r="L859" s="33" t="str">
        <f t="shared" si="1"/>
        <v>INDIVIDUAL</v>
      </c>
      <c r="M859" s="33">
        <f t="shared" si="2"/>
        <v>8</v>
      </c>
      <c r="N859" s="33">
        <f t="shared" si="3"/>
        <v>2023</v>
      </c>
      <c r="O859" s="35" t="str">
        <f>VLOOKUP(K859,'CA y tablas'!$B$22:$C$28,2,FALSE)</f>
        <v>EUROPEO</v>
      </c>
      <c r="P859" s="28" t="str">
        <f t="shared" si="4"/>
        <v>S2</v>
      </c>
      <c r="Q859" s="29">
        <v>2.0</v>
      </c>
      <c r="R859" s="29" t="str">
        <f t="shared" si="5"/>
        <v>Q2</v>
      </c>
    </row>
    <row r="860" ht="15.75" customHeight="1">
      <c r="A860" s="22">
        <v>45127.0</v>
      </c>
      <c r="B860" s="23">
        <v>2.826590476E9</v>
      </c>
      <c r="C860" s="24" t="s">
        <v>841</v>
      </c>
      <c r="D860" s="23">
        <v>3.0357831E7</v>
      </c>
      <c r="E860" s="22">
        <v>45139.0</v>
      </c>
      <c r="F860" s="25" t="s">
        <v>69</v>
      </c>
      <c r="G860" s="26">
        <v>1.0</v>
      </c>
      <c r="H860" s="25" t="s">
        <v>106</v>
      </c>
      <c r="I860" s="25" t="s">
        <v>77</v>
      </c>
      <c r="J860" s="25" t="s">
        <v>72</v>
      </c>
      <c r="K860" s="25" t="s">
        <v>90</v>
      </c>
      <c r="L860" s="25" t="str">
        <f t="shared" si="1"/>
        <v>INDIVIDUAL</v>
      </c>
      <c r="M860" s="25">
        <f t="shared" si="2"/>
        <v>8</v>
      </c>
      <c r="N860" s="25">
        <f t="shared" si="3"/>
        <v>2023</v>
      </c>
      <c r="O860" s="27" t="str">
        <f>VLOOKUP(K860,'CA y tablas'!$B$22:$C$28,2,FALSE)</f>
        <v>EUROPEO</v>
      </c>
      <c r="P860" s="28" t="str">
        <f t="shared" si="4"/>
        <v>S2</v>
      </c>
      <c r="Q860" s="29">
        <v>2.0</v>
      </c>
      <c r="R860" s="29" t="str">
        <f t="shared" si="5"/>
        <v>Q2</v>
      </c>
    </row>
    <row r="861" ht="15.75" customHeight="1">
      <c r="A861" s="30">
        <v>45128.0</v>
      </c>
      <c r="B861" s="31">
        <v>3.189003311E9</v>
      </c>
      <c r="C861" s="32" t="s">
        <v>842</v>
      </c>
      <c r="D861" s="31">
        <v>2.4803818E7</v>
      </c>
      <c r="E861" s="30">
        <v>45139.0</v>
      </c>
      <c r="F861" s="33" t="s">
        <v>69</v>
      </c>
      <c r="G861" s="34">
        <v>2.0</v>
      </c>
      <c r="H861" s="33" t="s">
        <v>106</v>
      </c>
      <c r="I861" s="33" t="s">
        <v>77</v>
      </c>
      <c r="J861" s="33" t="s">
        <v>72</v>
      </c>
      <c r="K861" s="33" t="s">
        <v>90</v>
      </c>
      <c r="L861" s="33" t="str">
        <f t="shared" si="1"/>
        <v>FAMILIAR</v>
      </c>
      <c r="M861" s="33">
        <f t="shared" si="2"/>
        <v>8</v>
      </c>
      <c r="N861" s="33">
        <f t="shared" si="3"/>
        <v>2023</v>
      </c>
      <c r="O861" s="35" t="str">
        <f>VLOOKUP(K861,'CA y tablas'!$B$22:$C$28,2,FALSE)</f>
        <v>EUROPEO</v>
      </c>
      <c r="P861" s="28" t="str">
        <f t="shared" si="4"/>
        <v>S2</v>
      </c>
      <c r="Q861" s="29">
        <v>2.0</v>
      </c>
      <c r="R861" s="29" t="str">
        <f t="shared" si="5"/>
        <v>Q2</v>
      </c>
    </row>
    <row r="862" ht="15.75" customHeight="1">
      <c r="A862" s="22">
        <v>45128.0</v>
      </c>
      <c r="B862" s="23">
        <v>9.522577842E9</v>
      </c>
      <c r="C862" s="24" t="s">
        <v>843</v>
      </c>
      <c r="D862" s="23">
        <v>2.2804801E7</v>
      </c>
      <c r="E862" s="22">
        <v>45139.0</v>
      </c>
      <c r="F862" s="25" t="s">
        <v>69</v>
      </c>
      <c r="G862" s="26">
        <v>2.0</v>
      </c>
      <c r="H862" s="25" t="s">
        <v>81</v>
      </c>
      <c r="I862" s="25" t="s">
        <v>77</v>
      </c>
      <c r="J862" s="25" t="s">
        <v>72</v>
      </c>
      <c r="K862" s="25" t="s">
        <v>90</v>
      </c>
      <c r="L862" s="25" t="str">
        <f t="shared" si="1"/>
        <v>FAMILIAR</v>
      </c>
      <c r="M862" s="25">
        <f t="shared" si="2"/>
        <v>8</v>
      </c>
      <c r="N862" s="25">
        <f t="shared" si="3"/>
        <v>2023</v>
      </c>
      <c r="O862" s="27" t="str">
        <f>VLOOKUP(K862,'CA y tablas'!$B$22:$C$28,2,FALSE)</f>
        <v>EUROPEO</v>
      </c>
      <c r="P862" s="28" t="str">
        <f t="shared" si="4"/>
        <v>S2</v>
      </c>
      <c r="Q862" s="29">
        <v>2.0</v>
      </c>
      <c r="R862" s="29" t="str">
        <f t="shared" si="5"/>
        <v>Q2</v>
      </c>
    </row>
    <row r="863" ht="15.75" customHeight="1">
      <c r="A863" s="30">
        <v>45139.0</v>
      </c>
      <c r="B863" s="31">
        <v>3.451939175E9</v>
      </c>
      <c r="C863" s="32" t="s">
        <v>844</v>
      </c>
      <c r="D863" s="31">
        <v>4.0087934E7</v>
      </c>
      <c r="E863" s="30">
        <v>45139.0</v>
      </c>
      <c r="F863" s="33" t="s">
        <v>76</v>
      </c>
      <c r="G863" s="34">
        <v>3.0</v>
      </c>
      <c r="H863" s="33" t="s">
        <v>81</v>
      </c>
      <c r="I863" s="33" t="s">
        <v>77</v>
      </c>
      <c r="J863" s="33" t="s">
        <v>72</v>
      </c>
      <c r="K863" s="33" t="s">
        <v>90</v>
      </c>
      <c r="L863" s="33" t="str">
        <f t="shared" si="1"/>
        <v>FAMILIAR</v>
      </c>
      <c r="M863" s="33">
        <f t="shared" si="2"/>
        <v>8</v>
      </c>
      <c r="N863" s="33">
        <f t="shared" si="3"/>
        <v>2023</v>
      </c>
      <c r="O863" s="35" t="str">
        <f>VLOOKUP(K863,'CA y tablas'!$B$22:$C$28,2,FALSE)</f>
        <v>EUROPEO</v>
      </c>
      <c r="P863" s="28" t="str">
        <f t="shared" si="4"/>
        <v>S2</v>
      </c>
      <c r="Q863" s="29">
        <v>2.0</v>
      </c>
      <c r="R863" s="29" t="str">
        <f t="shared" si="5"/>
        <v>Q2</v>
      </c>
    </row>
    <row r="864" ht="15.75" customHeight="1">
      <c r="A864" s="22">
        <v>45139.0</v>
      </c>
      <c r="B864" s="23">
        <v>5.250092794E9</v>
      </c>
      <c r="C864" s="24" t="s">
        <v>845</v>
      </c>
      <c r="D864" s="23">
        <v>1.3627742E7</v>
      </c>
      <c r="E864" s="22">
        <v>45139.0</v>
      </c>
      <c r="F864" s="25" t="s">
        <v>69</v>
      </c>
      <c r="G864" s="26">
        <v>3.0</v>
      </c>
      <c r="H864" s="25" t="s">
        <v>81</v>
      </c>
      <c r="I864" s="25" t="s">
        <v>77</v>
      </c>
      <c r="J864" s="25" t="s">
        <v>318</v>
      </c>
      <c r="K864" s="25" t="s">
        <v>90</v>
      </c>
      <c r="L864" s="25" t="str">
        <f t="shared" si="1"/>
        <v>FAMILIAR</v>
      </c>
      <c r="M864" s="25">
        <f t="shared" si="2"/>
        <v>8</v>
      </c>
      <c r="N864" s="25">
        <f t="shared" si="3"/>
        <v>2023</v>
      </c>
      <c r="O864" s="27" t="str">
        <f>VLOOKUP(K864,'CA y tablas'!$B$22:$C$28,2,FALSE)</f>
        <v>EUROPEO</v>
      </c>
      <c r="P864" s="28" t="str">
        <f t="shared" si="4"/>
        <v>S2</v>
      </c>
      <c r="Q864" s="29">
        <v>2.0</v>
      </c>
      <c r="R864" s="29" t="str">
        <f t="shared" si="5"/>
        <v>Q2</v>
      </c>
    </row>
    <row r="865" ht="15.75" customHeight="1">
      <c r="A865" s="30">
        <v>45125.0</v>
      </c>
      <c r="B865" s="31">
        <v>1.726884924E9</v>
      </c>
      <c r="C865" s="32" t="s">
        <v>846</v>
      </c>
      <c r="D865" s="31">
        <v>2.0219423E7</v>
      </c>
      <c r="E865" s="30">
        <v>45140.0</v>
      </c>
      <c r="F865" s="33" t="s">
        <v>69</v>
      </c>
      <c r="G865" s="34">
        <v>2.0</v>
      </c>
      <c r="H865" s="33" t="s">
        <v>81</v>
      </c>
      <c r="I865" s="33" t="s">
        <v>77</v>
      </c>
      <c r="J865" s="33" t="s">
        <v>318</v>
      </c>
      <c r="K865" s="33" t="s">
        <v>90</v>
      </c>
      <c r="L865" s="33" t="str">
        <f t="shared" si="1"/>
        <v>FAMILIAR</v>
      </c>
      <c r="M865" s="33">
        <f t="shared" si="2"/>
        <v>8</v>
      </c>
      <c r="N865" s="33">
        <f t="shared" si="3"/>
        <v>2023</v>
      </c>
      <c r="O865" s="35" t="str">
        <f>VLOOKUP(K865,'CA y tablas'!$B$22:$C$28,2,FALSE)</f>
        <v>EUROPEO</v>
      </c>
      <c r="P865" s="28" t="str">
        <f t="shared" si="4"/>
        <v>S2</v>
      </c>
      <c r="Q865" s="29">
        <v>2.0</v>
      </c>
      <c r="R865" s="29" t="str">
        <f t="shared" si="5"/>
        <v>Q2</v>
      </c>
    </row>
    <row r="866" ht="15.75" customHeight="1">
      <c r="A866" s="22">
        <v>45128.0</v>
      </c>
      <c r="B866" s="23">
        <v>4.61096713E9</v>
      </c>
      <c r="C866" s="24" t="s">
        <v>847</v>
      </c>
      <c r="D866" s="23">
        <v>8085908.0</v>
      </c>
      <c r="E866" s="22">
        <v>45140.0</v>
      </c>
      <c r="F866" s="25" t="s">
        <v>69</v>
      </c>
      <c r="G866" s="26">
        <v>1.0</v>
      </c>
      <c r="H866" s="25" t="s">
        <v>81</v>
      </c>
      <c r="I866" s="25" t="s">
        <v>77</v>
      </c>
      <c r="J866" s="25" t="s">
        <v>318</v>
      </c>
      <c r="K866" s="25" t="s">
        <v>90</v>
      </c>
      <c r="L866" s="25" t="str">
        <f t="shared" si="1"/>
        <v>INDIVIDUAL</v>
      </c>
      <c r="M866" s="25">
        <f t="shared" si="2"/>
        <v>8</v>
      </c>
      <c r="N866" s="25">
        <f t="shared" si="3"/>
        <v>2023</v>
      </c>
      <c r="O866" s="27" t="str">
        <f>VLOOKUP(K866,'CA y tablas'!$B$22:$C$28,2,FALSE)</f>
        <v>EUROPEO</v>
      </c>
      <c r="P866" s="28" t="str">
        <f t="shared" si="4"/>
        <v>S2</v>
      </c>
      <c r="Q866" s="29">
        <v>2.0</v>
      </c>
      <c r="R866" s="29" t="str">
        <f t="shared" si="5"/>
        <v>Q2</v>
      </c>
    </row>
    <row r="867" ht="15.75" customHeight="1">
      <c r="A867" s="30">
        <v>45132.0</v>
      </c>
      <c r="B867" s="31">
        <v>7.71190091E9</v>
      </c>
      <c r="C867" s="32" t="s">
        <v>848</v>
      </c>
      <c r="D867" s="31">
        <v>2.2073843E7</v>
      </c>
      <c r="E867" s="30">
        <v>45140.0</v>
      </c>
      <c r="F867" s="33" t="s">
        <v>69</v>
      </c>
      <c r="G867" s="34">
        <v>1.0</v>
      </c>
      <c r="H867" s="33" t="s">
        <v>81</v>
      </c>
      <c r="I867" s="33" t="s">
        <v>77</v>
      </c>
      <c r="J867" s="33" t="s">
        <v>318</v>
      </c>
      <c r="K867" s="33" t="s">
        <v>90</v>
      </c>
      <c r="L867" s="33" t="str">
        <f t="shared" si="1"/>
        <v>INDIVIDUAL</v>
      </c>
      <c r="M867" s="33">
        <f t="shared" si="2"/>
        <v>8</v>
      </c>
      <c r="N867" s="33">
        <f t="shared" si="3"/>
        <v>2023</v>
      </c>
      <c r="O867" s="35" t="str">
        <f>VLOOKUP(K867,'CA y tablas'!$B$22:$C$28,2,FALSE)</f>
        <v>EUROPEO</v>
      </c>
      <c r="P867" s="28" t="str">
        <f t="shared" si="4"/>
        <v>S2</v>
      </c>
      <c r="Q867" s="29">
        <v>2.0</v>
      </c>
      <c r="R867" s="29" t="str">
        <f t="shared" si="5"/>
        <v>Q2</v>
      </c>
    </row>
    <row r="868" ht="15.75" customHeight="1">
      <c r="A868" s="22">
        <v>45132.0</v>
      </c>
      <c r="B868" s="23">
        <v>7.014959652E9</v>
      </c>
      <c r="C868" s="24" t="s">
        <v>849</v>
      </c>
      <c r="D868" s="23">
        <v>3.7191208E7</v>
      </c>
      <c r="E868" s="22">
        <v>45140.0</v>
      </c>
      <c r="F868" s="25" t="s">
        <v>69</v>
      </c>
      <c r="G868" s="26">
        <v>1.0</v>
      </c>
      <c r="H868" s="25" t="s">
        <v>81</v>
      </c>
      <c r="I868" s="25" t="s">
        <v>77</v>
      </c>
      <c r="J868" s="25" t="s">
        <v>318</v>
      </c>
      <c r="K868" s="25" t="s">
        <v>90</v>
      </c>
      <c r="L868" s="25" t="str">
        <f t="shared" si="1"/>
        <v>INDIVIDUAL</v>
      </c>
      <c r="M868" s="25">
        <f t="shared" si="2"/>
        <v>8</v>
      </c>
      <c r="N868" s="25">
        <f t="shared" si="3"/>
        <v>2023</v>
      </c>
      <c r="O868" s="27" t="str">
        <f>VLOOKUP(K868,'CA y tablas'!$B$22:$C$28,2,FALSE)</f>
        <v>EUROPEO</v>
      </c>
      <c r="P868" s="28" t="str">
        <f t="shared" si="4"/>
        <v>S2</v>
      </c>
      <c r="Q868" s="29">
        <v>2.0</v>
      </c>
      <c r="R868" s="29" t="str">
        <f t="shared" si="5"/>
        <v>Q2</v>
      </c>
    </row>
    <row r="869" ht="15.75" customHeight="1">
      <c r="A869" s="30">
        <v>45132.0</v>
      </c>
      <c r="B869" s="31">
        <v>5.828591926E9</v>
      </c>
      <c r="C869" s="32" t="s">
        <v>850</v>
      </c>
      <c r="D869" s="31">
        <v>3.3374317E7</v>
      </c>
      <c r="E869" s="30">
        <v>45140.0</v>
      </c>
      <c r="F869" s="33" t="s">
        <v>69</v>
      </c>
      <c r="G869" s="34">
        <v>1.0</v>
      </c>
      <c r="H869" s="33" t="s">
        <v>81</v>
      </c>
      <c r="I869" s="33" t="s">
        <v>77</v>
      </c>
      <c r="J869" s="33" t="s">
        <v>318</v>
      </c>
      <c r="K869" s="33" t="s">
        <v>84</v>
      </c>
      <c r="L869" s="33" t="str">
        <f t="shared" si="1"/>
        <v>INDIVIDUAL</v>
      </c>
      <c r="M869" s="33">
        <f t="shared" si="2"/>
        <v>8</v>
      </c>
      <c r="N869" s="33">
        <f t="shared" si="3"/>
        <v>2023</v>
      </c>
      <c r="O869" s="35" t="str">
        <f>VLOOKUP(K869,'CA y tablas'!$B$22:$C$28,2,FALSE)</f>
        <v>EUROPEO</v>
      </c>
      <c r="P869" s="28" t="str">
        <f t="shared" si="4"/>
        <v>S2</v>
      </c>
      <c r="Q869" s="29">
        <v>2.0</v>
      </c>
      <c r="R869" s="29" t="str">
        <f t="shared" si="5"/>
        <v>Q2</v>
      </c>
    </row>
    <row r="870" ht="15.75" customHeight="1">
      <c r="A870" s="22">
        <v>45133.0</v>
      </c>
      <c r="B870" s="23">
        <v>3.064693516E9</v>
      </c>
      <c r="C870" s="24" t="s">
        <v>851</v>
      </c>
      <c r="D870" s="23">
        <v>4.0437419E7</v>
      </c>
      <c r="E870" s="22">
        <v>45140.0</v>
      </c>
      <c r="F870" s="25" t="s">
        <v>69</v>
      </c>
      <c r="G870" s="26">
        <v>1.0</v>
      </c>
      <c r="H870" s="25" t="s">
        <v>81</v>
      </c>
      <c r="I870" s="25" t="s">
        <v>77</v>
      </c>
      <c r="J870" s="25" t="s">
        <v>318</v>
      </c>
      <c r="K870" s="25" t="s">
        <v>84</v>
      </c>
      <c r="L870" s="25" t="str">
        <f t="shared" si="1"/>
        <v>INDIVIDUAL</v>
      </c>
      <c r="M870" s="25">
        <f t="shared" si="2"/>
        <v>8</v>
      </c>
      <c r="N870" s="25">
        <f t="shared" si="3"/>
        <v>2023</v>
      </c>
      <c r="O870" s="27" t="str">
        <f>VLOOKUP(K870,'CA y tablas'!$B$22:$C$28,2,FALSE)</f>
        <v>EUROPEO</v>
      </c>
      <c r="P870" s="28" t="str">
        <f t="shared" si="4"/>
        <v>S2</v>
      </c>
      <c r="Q870" s="29">
        <v>2.0</v>
      </c>
      <c r="R870" s="29" t="str">
        <f t="shared" si="5"/>
        <v>Q2</v>
      </c>
    </row>
    <row r="871" ht="15.75" customHeight="1">
      <c r="A871" s="30">
        <v>45133.0</v>
      </c>
      <c r="B871" s="31">
        <v>6.686919621E9</v>
      </c>
      <c r="C871" s="32" t="s">
        <v>852</v>
      </c>
      <c r="D871" s="31">
        <v>3.3374726E7</v>
      </c>
      <c r="E871" s="30">
        <v>45140.0</v>
      </c>
      <c r="F871" s="33" t="s">
        <v>69</v>
      </c>
      <c r="G871" s="34">
        <v>2.0</v>
      </c>
      <c r="H871" s="33" t="s">
        <v>92</v>
      </c>
      <c r="I871" s="33" t="s">
        <v>77</v>
      </c>
      <c r="J871" s="33" t="s">
        <v>318</v>
      </c>
      <c r="K871" s="33" t="s">
        <v>84</v>
      </c>
      <c r="L871" s="33" t="str">
        <f t="shared" si="1"/>
        <v>FAMILIAR</v>
      </c>
      <c r="M871" s="33">
        <f t="shared" si="2"/>
        <v>8</v>
      </c>
      <c r="N871" s="33">
        <f t="shared" si="3"/>
        <v>2023</v>
      </c>
      <c r="O871" s="35" t="str">
        <f>VLOOKUP(K871,'CA y tablas'!$B$22:$C$28,2,FALSE)</f>
        <v>EUROPEO</v>
      </c>
      <c r="P871" s="28" t="str">
        <f t="shared" si="4"/>
        <v>S2</v>
      </c>
      <c r="Q871" s="29">
        <v>2.0</v>
      </c>
      <c r="R871" s="29" t="str">
        <f t="shared" si="5"/>
        <v>Q2</v>
      </c>
    </row>
    <row r="872" ht="15.75" customHeight="1">
      <c r="A872" s="22">
        <v>45134.0</v>
      </c>
      <c r="B872" s="23">
        <v>7.154766382E9</v>
      </c>
      <c r="C872" s="24" t="s">
        <v>853</v>
      </c>
      <c r="D872" s="23">
        <v>2.2414879E7</v>
      </c>
      <c r="E872" s="22">
        <v>45140.0</v>
      </c>
      <c r="F872" s="25" t="s">
        <v>76</v>
      </c>
      <c r="G872" s="26">
        <v>2.0</v>
      </c>
      <c r="H872" s="25" t="s">
        <v>92</v>
      </c>
      <c r="I872" s="25" t="s">
        <v>77</v>
      </c>
      <c r="J872" s="25" t="s">
        <v>318</v>
      </c>
      <c r="K872" s="25" t="s">
        <v>84</v>
      </c>
      <c r="L872" s="25" t="str">
        <f t="shared" si="1"/>
        <v>FAMILIAR</v>
      </c>
      <c r="M872" s="25">
        <f t="shared" si="2"/>
        <v>8</v>
      </c>
      <c r="N872" s="25">
        <f t="shared" si="3"/>
        <v>2023</v>
      </c>
      <c r="O872" s="27" t="str">
        <f>VLOOKUP(K872,'CA y tablas'!$B$22:$C$28,2,FALSE)</f>
        <v>EUROPEO</v>
      </c>
      <c r="P872" s="28" t="str">
        <f t="shared" si="4"/>
        <v>S2</v>
      </c>
      <c r="Q872" s="29">
        <v>2.0</v>
      </c>
      <c r="R872" s="29" t="str">
        <f t="shared" si="5"/>
        <v>Q2</v>
      </c>
    </row>
    <row r="873" ht="15.75" customHeight="1">
      <c r="A873" s="30">
        <v>45135.0</v>
      </c>
      <c r="B873" s="31">
        <v>3.100307011E9</v>
      </c>
      <c r="C873" s="32" t="s">
        <v>854</v>
      </c>
      <c r="D873" s="31">
        <v>3.6838642E7</v>
      </c>
      <c r="E873" s="30">
        <v>45140.0</v>
      </c>
      <c r="F873" s="33" t="s">
        <v>69</v>
      </c>
      <c r="G873" s="34">
        <v>3.0</v>
      </c>
      <c r="H873" s="33" t="s">
        <v>92</v>
      </c>
      <c r="I873" s="33" t="s">
        <v>88</v>
      </c>
      <c r="J873" s="33" t="s">
        <v>318</v>
      </c>
      <c r="K873" s="33" t="s">
        <v>107</v>
      </c>
      <c r="L873" s="33" t="str">
        <f t="shared" si="1"/>
        <v>FAMILIAR</v>
      </c>
      <c r="M873" s="33">
        <f t="shared" si="2"/>
        <v>8</v>
      </c>
      <c r="N873" s="33">
        <f t="shared" si="3"/>
        <v>2023</v>
      </c>
      <c r="O873" s="35" t="str">
        <f>VLOOKUP(K873,'CA y tablas'!$B$22:$C$28,2,FALSE)</f>
        <v>AMERICANO</v>
      </c>
      <c r="P873" s="28" t="str">
        <f t="shared" si="4"/>
        <v>S2</v>
      </c>
      <c r="Q873" s="29">
        <v>2.0</v>
      </c>
      <c r="R873" s="29" t="str">
        <f t="shared" si="5"/>
        <v>Q2</v>
      </c>
    </row>
    <row r="874" ht="15.75" customHeight="1">
      <c r="A874" s="22">
        <v>45135.0</v>
      </c>
      <c r="B874" s="23">
        <v>2.878403743E9</v>
      </c>
      <c r="C874" s="24" t="s">
        <v>853</v>
      </c>
      <c r="D874" s="23">
        <v>2.2414879E7</v>
      </c>
      <c r="E874" s="22">
        <v>45140.0</v>
      </c>
      <c r="F874" s="25" t="s">
        <v>69</v>
      </c>
      <c r="G874" s="26">
        <v>3.0</v>
      </c>
      <c r="H874" s="25" t="s">
        <v>106</v>
      </c>
      <c r="I874" s="25" t="s">
        <v>88</v>
      </c>
      <c r="J874" s="25" t="s">
        <v>318</v>
      </c>
      <c r="K874" s="25" t="s">
        <v>107</v>
      </c>
      <c r="L874" s="25" t="str">
        <f t="shared" si="1"/>
        <v>FAMILIAR</v>
      </c>
      <c r="M874" s="25">
        <f t="shared" si="2"/>
        <v>8</v>
      </c>
      <c r="N874" s="25">
        <f t="shared" si="3"/>
        <v>2023</v>
      </c>
      <c r="O874" s="27" t="str">
        <f>VLOOKUP(K874,'CA y tablas'!$B$22:$C$28,2,FALSE)</f>
        <v>AMERICANO</v>
      </c>
      <c r="P874" s="28" t="str">
        <f t="shared" si="4"/>
        <v>S2</v>
      </c>
      <c r="Q874" s="29">
        <v>2.0</v>
      </c>
      <c r="R874" s="29" t="str">
        <f t="shared" si="5"/>
        <v>Q2</v>
      </c>
    </row>
    <row r="875" ht="15.75" customHeight="1">
      <c r="A875" s="30">
        <v>45139.0</v>
      </c>
      <c r="B875" s="31">
        <v>5.373314074E9</v>
      </c>
      <c r="C875" s="32" t="s">
        <v>855</v>
      </c>
      <c r="D875" s="31">
        <v>2.8883761E7</v>
      </c>
      <c r="E875" s="30">
        <v>45140.0</v>
      </c>
      <c r="F875" s="33" t="s">
        <v>69</v>
      </c>
      <c r="G875" s="34">
        <v>3.0</v>
      </c>
      <c r="H875" s="33" t="s">
        <v>106</v>
      </c>
      <c r="I875" s="33" t="s">
        <v>88</v>
      </c>
      <c r="J875" s="33" t="s">
        <v>318</v>
      </c>
      <c r="K875" s="33" t="s">
        <v>107</v>
      </c>
      <c r="L875" s="33" t="str">
        <f t="shared" si="1"/>
        <v>FAMILIAR</v>
      </c>
      <c r="M875" s="33">
        <f t="shared" si="2"/>
        <v>8</v>
      </c>
      <c r="N875" s="33">
        <f t="shared" si="3"/>
        <v>2023</v>
      </c>
      <c r="O875" s="35" t="str">
        <f>VLOOKUP(K875,'CA y tablas'!$B$22:$C$28,2,FALSE)</f>
        <v>AMERICANO</v>
      </c>
      <c r="P875" s="28" t="str">
        <f t="shared" si="4"/>
        <v>S2</v>
      </c>
      <c r="Q875" s="29">
        <v>2.0</v>
      </c>
      <c r="R875" s="29" t="str">
        <f t="shared" si="5"/>
        <v>Q2</v>
      </c>
    </row>
    <row r="876" ht="15.75" customHeight="1">
      <c r="A876" s="22">
        <v>45139.0</v>
      </c>
      <c r="B876" s="23">
        <v>4.59068435E9</v>
      </c>
      <c r="C876" s="24" t="s">
        <v>856</v>
      </c>
      <c r="D876" s="23">
        <v>4.2547174E7</v>
      </c>
      <c r="E876" s="22">
        <v>45140.0</v>
      </c>
      <c r="F876" s="25" t="s">
        <v>76</v>
      </c>
      <c r="G876" s="26">
        <v>1.0</v>
      </c>
      <c r="H876" s="25" t="s">
        <v>106</v>
      </c>
      <c r="I876" s="25" t="s">
        <v>88</v>
      </c>
      <c r="J876" s="25" t="s">
        <v>318</v>
      </c>
      <c r="K876" s="25" t="s">
        <v>107</v>
      </c>
      <c r="L876" s="25" t="str">
        <f t="shared" si="1"/>
        <v>INDIVIDUAL</v>
      </c>
      <c r="M876" s="25">
        <f t="shared" si="2"/>
        <v>8</v>
      </c>
      <c r="N876" s="25">
        <f t="shared" si="3"/>
        <v>2023</v>
      </c>
      <c r="O876" s="27" t="str">
        <f>VLOOKUP(K876,'CA y tablas'!$B$22:$C$28,2,FALSE)</f>
        <v>AMERICANO</v>
      </c>
      <c r="P876" s="28" t="str">
        <f t="shared" si="4"/>
        <v>S2</v>
      </c>
      <c r="Q876" s="29">
        <v>2.0</v>
      </c>
      <c r="R876" s="29" t="str">
        <f t="shared" si="5"/>
        <v>Q2</v>
      </c>
    </row>
    <row r="877" ht="15.75" customHeight="1">
      <c r="A877" s="30">
        <v>45139.0</v>
      </c>
      <c r="B877" s="31">
        <v>2.07883599E9</v>
      </c>
      <c r="C877" s="32" t="s">
        <v>856</v>
      </c>
      <c r="D877" s="31">
        <v>4.2547174E7</v>
      </c>
      <c r="E877" s="30">
        <v>45140.0</v>
      </c>
      <c r="F877" s="33" t="s">
        <v>69</v>
      </c>
      <c r="G877" s="34">
        <v>2.0</v>
      </c>
      <c r="H877" s="33" t="s">
        <v>106</v>
      </c>
      <c r="I877" s="33" t="s">
        <v>88</v>
      </c>
      <c r="J877" s="33" t="s">
        <v>318</v>
      </c>
      <c r="K877" s="33" t="s">
        <v>107</v>
      </c>
      <c r="L877" s="33" t="str">
        <f t="shared" si="1"/>
        <v>FAMILIAR</v>
      </c>
      <c r="M877" s="33">
        <f t="shared" si="2"/>
        <v>8</v>
      </c>
      <c r="N877" s="33">
        <f t="shared" si="3"/>
        <v>2023</v>
      </c>
      <c r="O877" s="35" t="str">
        <f>VLOOKUP(K877,'CA y tablas'!$B$22:$C$28,2,FALSE)</f>
        <v>AMERICANO</v>
      </c>
      <c r="P877" s="28" t="str">
        <f t="shared" si="4"/>
        <v>S2</v>
      </c>
      <c r="Q877" s="29">
        <v>2.0</v>
      </c>
      <c r="R877" s="29" t="str">
        <f t="shared" si="5"/>
        <v>Q2</v>
      </c>
    </row>
    <row r="878" ht="15.75" customHeight="1">
      <c r="A878" s="22">
        <v>45139.0</v>
      </c>
      <c r="B878" s="23">
        <v>5.417493594E9</v>
      </c>
      <c r="C878" s="24" t="s">
        <v>856</v>
      </c>
      <c r="D878" s="23">
        <v>4.2547174E7</v>
      </c>
      <c r="E878" s="22">
        <v>45140.0</v>
      </c>
      <c r="F878" s="25" t="s">
        <v>69</v>
      </c>
      <c r="G878" s="26">
        <v>1.0</v>
      </c>
      <c r="H878" s="25" t="s">
        <v>106</v>
      </c>
      <c r="I878" s="25" t="s">
        <v>71</v>
      </c>
      <c r="J878" s="25" t="s">
        <v>318</v>
      </c>
      <c r="K878" s="25" t="s">
        <v>107</v>
      </c>
      <c r="L878" s="25" t="str">
        <f t="shared" si="1"/>
        <v>INDIVIDUAL</v>
      </c>
      <c r="M878" s="25">
        <f t="shared" si="2"/>
        <v>8</v>
      </c>
      <c r="N878" s="25">
        <f t="shared" si="3"/>
        <v>2023</v>
      </c>
      <c r="O878" s="27" t="str">
        <f>VLOOKUP(K878,'CA y tablas'!$B$22:$C$28,2,FALSE)</f>
        <v>AMERICANO</v>
      </c>
      <c r="P878" s="28" t="str">
        <f t="shared" si="4"/>
        <v>S2</v>
      </c>
      <c r="Q878" s="29">
        <v>2.0</v>
      </c>
      <c r="R878" s="29" t="str">
        <f t="shared" si="5"/>
        <v>Q2</v>
      </c>
    </row>
    <row r="879" ht="15.75" customHeight="1">
      <c r="A879" s="30">
        <v>45139.0</v>
      </c>
      <c r="B879" s="31">
        <v>4.627964106E9</v>
      </c>
      <c r="C879" s="32" t="s">
        <v>857</v>
      </c>
      <c r="D879" s="31">
        <v>4886224.0</v>
      </c>
      <c r="E879" s="30">
        <v>45140.0</v>
      </c>
      <c r="F879" s="33" t="s">
        <v>69</v>
      </c>
      <c r="G879" s="34">
        <v>1.0</v>
      </c>
      <c r="H879" s="33" t="s">
        <v>106</v>
      </c>
      <c r="I879" s="33" t="s">
        <v>71</v>
      </c>
      <c r="J879" s="33" t="s">
        <v>318</v>
      </c>
      <c r="K879" s="33" t="s">
        <v>107</v>
      </c>
      <c r="L879" s="33" t="str">
        <f t="shared" si="1"/>
        <v>INDIVIDUAL</v>
      </c>
      <c r="M879" s="33">
        <f t="shared" si="2"/>
        <v>8</v>
      </c>
      <c r="N879" s="33">
        <f t="shared" si="3"/>
        <v>2023</v>
      </c>
      <c r="O879" s="35" t="str">
        <f>VLOOKUP(K879,'CA y tablas'!$B$22:$C$28,2,FALSE)</f>
        <v>AMERICANO</v>
      </c>
      <c r="P879" s="28" t="str">
        <f t="shared" si="4"/>
        <v>S2</v>
      </c>
      <c r="Q879" s="29">
        <v>2.0</v>
      </c>
      <c r="R879" s="29" t="str">
        <f t="shared" si="5"/>
        <v>Q2</v>
      </c>
    </row>
    <row r="880" ht="15.75" customHeight="1">
      <c r="A880" s="22">
        <v>45139.0</v>
      </c>
      <c r="B880" s="23">
        <v>7.355304504E9</v>
      </c>
      <c r="C880" s="24" t="s">
        <v>858</v>
      </c>
      <c r="D880" s="23">
        <v>2.9878025E7</v>
      </c>
      <c r="E880" s="22">
        <v>45140.0</v>
      </c>
      <c r="F880" s="25" t="s">
        <v>69</v>
      </c>
      <c r="G880" s="26">
        <v>1.0</v>
      </c>
      <c r="H880" s="25" t="s">
        <v>116</v>
      </c>
      <c r="I880" s="25" t="s">
        <v>71</v>
      </c>
      <c r="J880" s="25" t="s">
        <v>318</v>
      </c>
      <c r="K880" s="25" t="s">
        <v>107</v>
      </c>
      <c r="L880" s="25" t="str">
        <f t="shared" si="1"/>
        <v>INDIVIDUAL</v>
      </c>
      <c r="M880" s="25">
        <f t="shared" si="2"/>
        <v>8</v>
      </c>
      <c r="N880" s="25">
        <f t="shared" si="3"/>
        <v>2023</v>
      </c>
      <c r="O880" s="27" t="str">
        <f>VLOOKUP(K880,'CA y tablas'!$B$22:$C$28,2,FALSE)</f>
        <v>AMERICANO</v>
      </c>
      <c r="P880" s="28" t="str">
        <f t="shared" si="4"/>
        <v>S2</v>
      </c>
      <c r="Q880" s="29">
        <v>2.0</v>
      </c>
      <c r="R880" s="29" t="str">
        <f t="shared" si="5"/>
        <v>Q2</v>
      </c>
    </row>
    <row r="881" ht="15.75" customHeight="1">
      <c r="A881" s="30">
        <v>45139.0</v>
      </c>
      <c r="B881" s="31">
        <v>4.627953525E9</v>
      </c>
      <c r="C881" s="32" t="s">
        <v>859</v>
      </c>
      <c r="D881" s="31">
        <v>1.4073414E7</v>
      </c>
      <c r="E881" s="30">
        <v>45140.0</v>
      </c>
      <c r="F881" s="33" t="s">
        <v>69</v>
      </c>
      <c r="G881" s="34">
        <v>1.0</v>
      </c>
      <c r="H881" s="33" t="s">
        <v>116</v>
      </c>
      <c r="I881" s="33" t="s">
        <v>71</v>
      </c>
      <c r="J881" s="33" t="s">
        <v>318</v>
      </c>
      <c r="K881" s="33" t="s">
        <v>107</v>
      </c>
      <c r="L881" s="33" t="str">
        <f t="shared" si="1"/>
        <v>INDIVIDUAL</v>
      </c>
      <c r="M881" s="33">
        <f t="shared" si="2"/>
        <v>8</v>
      </c>
      <c r="N881" s="33">
        <f t="shared" si="3"/>
        <v>2023</v>
      </c>
      <c r="O881" s="35" t="str">
        <f>VLOOKUP(K881,'CA y tablas'!$B$22:$C$28,2,FALSE)</f>
        <v>AMERICANO</v>
      </c>
      <c r="P881" s="28" t="str">
        <f t="shared" si="4"/>
        <v>S2</v>
      </c>
      <c r="Q881" s="29">
        <v>2.0</v>
      </c>
      <c r="R881" s="29" t="str">
        <f t="shared" si="5"/>
        <v>Q2</v>
      </c>
    </row>
    <row r="882" ht="15.75" customHeight="1">
      <c r="A882" s="22">
        <v>45139.0</v>
      </c>
      <c r="B882" s="23">
        <v>5.836342864E9</v>
      </c>
      <c r="C882" s="24" t="s">
        <v>859</v>
      </c>
      <c r="D882" s="23">
        <v>1.4073414E7</v>
      </c>
      <c r="E882" s="22">
        <v>45140.0</v>
      </c>
      <c r="F882" s="25" t="s">
        <v>76</v>
      </c>
      <c r="G882" s="26">
        <v>1.0</v>
      </c>
      <c r="H882" s="25" t="s">
        <v>116</v>
      </c>
      <c r="I882" s="25" t="s">
        <v>71</v>
      </c>
      <c r="J882" s="25" t="s">
        <v>318</v>
      </c>
      <c r="K882" s="25" t="s">
        <v>107</v>
      </c>
      <c r="L882" s="25" t="str">
        <f t="shared" si="1"/>
        <v>INDIVIDUAL</v>
      </c>
      <c r="M882" s="25">
        <f t="shared" si="2"/>
        <v>8</v>
      </c>
      <c r="N882" s="25">
        <f t="shared" si="3"/>
        <v>2023</v>
      </c>
      <c r="O882" s="27" t="str">
        <f>VLOOKUP(K882,'CA y tablas'!$B$22:$C$28,2,FALSE)</f>
        <v>AMERICANO</v>
      </c>
      <c r="P882" s="28" t="str">
        <f t="shared" si="4"/>
        <v>S2</v>
      </c>
      <c r="Q882" s="29">
        <v>2.0</v>
      </c>
      <c r="R882" s="29" t="str">
        <f t="shared" si="5"/>
        <v>Q2</v>
      </c>
    </row>
    <row r="883" ht="15.75" customHeight="1">
      <c r="A883" s="30">
        <v>45139.0</v>
      </c>
      <c r="B883" s="31">
        <v>5.543359706E9</v>
      </c>
      <c r="C883" s="32" t="s">
        <v>860</v>
      </c>
      <c r="D883" s="31">
        <v>4.1833354E7</v>
      </c>
      <c r="E883" s="30">
        <v>45140.0</v>
      </c>
      <c r="F883" s="33" t="s">
        <v>69</v>
      </c>
      <c r="G883" s="34">
        <v>1.0</v>
      </c>
      <c r="H883" s="33" t="s">
        <v>116</v>
      </c>
      <c r="I883" s="33" t="s">
        <v>71</v>
      </c>
      <c r="J883" s="33" t="s">
        <v>318</v>
      </c>
      <c r="K883" s="33" t="s">
        <v>103</v>
      </c>
      <c r="L883" s="33" t="str">
        <f t="shared" si="1"/>
        <v>INDIVIDUAL</v>
      </c>
      <c r="M883" s="33">
        <f t="shared" si="2"/>
        <v>8</v>
      </c>
      <c r="N883" s="33">
        <f t="shared" si="3"/>
        <v>2023</v>
      </c>
      <c r="O883" s="35" t="str">
        <f>VLOOKUP(K883,'CA y tablas'!$B$22:$C$28,2,FALSE)</f>
        <v>EUROPEO</v>
      </c>
      <c r="P883" s="28" t="str">
        <f t="shared" si="4"/>
        <v>S2</v>
      </c>
      <c r="Q883" s="29">
        <v>2.0</v>
      </c>
      <c r="R883" s="29" t="str">
        <f t="shared" si="5"/>
        <v>Q2</v>
      </c>
    </row>
    <row r="884" ht="15.75" customHeight="1">
      <c r="A884" s="22">
        <v>45139.0</v>
      </c>
      <c r="B884" s="23">
        <v>3.633922283E9</v>
      </c>
      <c r="C884" s="24" t="s">
        <v>861</v>
      </c>
      <c r="D884" s="23">
        <v>4.3431961E7</v>
      </c>
      <c r="E884" s="22">
        <v>45140.0</v>
      </c>
      <c r="F884" s="25" t="s">
        <v>69</v>
      </c>
      <c r="G884" s="26">
        <v>1.0</v>
      </c>
      <c r="H884" s="25" t="s">
        <v>116</v>
      </c>
      <c r="I884" s="25" t="s">
        <v>71</v>
      </c>
      <c r="J884" s="25" t="s">
        <v>318</v>
      </c>
      <c r="K884" s="25" t="s">
        <v>103</v>
      </c>
      <c r="L884" s="25" t="str">
        <f t="shared" si="1"/>
        <v>INDIVIDUAL</v>
      </c>
      <c r="M884" s="25">
        <f t="shared" si="2"/>
        <v>8</v>
      </c>
      <c r="N884" s="25">
        <f t="shared" si="3"/>
        <v>2023</v>
      </c>
      <c r="O884" s="27" t="str">
        <f>VLOOKUP(K884,'CA y tablas'!$B$22:$C$28,2,FALSE)</f>
        <v>EUROPEO</v>
      </c>
      <c r="P884" s="28" t="str">
        <f t="shared" si="4"/>
        <v>S2</v>
      </c>
      <c r="Q884" s="29">
        <v>2.0</v>
      </c>
      <c r="R884" s="29" t="str">
        <f t="shared" si="5"/>
        <v>Q2</v>
      </c>
    </row>
    <row r="885" ht="15.75" customHeight="1">
      <c r="A885" s="30">
        <v>45119.0</v>
      </c>
      <c r="B885" s="31">
        <v>9.93127625E9</v>
      </c>
      <c r="C885" s="32" t="s">
        <v>862</v>
      </c>
      <c r="D885" s="31">
        <v>4.3431841E7</v>
      </c>
      <c r="E885" s="30">
        <v>45141.0</v>
      </c>
      <c r="F885" s="33" t="s">
        <v>69</v>
      </c>
      <c r="G885" s="34">
        <v>2.0</v>
      </c>
      <c r="H885" s="33" t="s">
        <v>116</v>
      </c>
      <c r="I885" s="33" t="s">
        <v>71</v>
      </c>
      <c r="J885" s="33" t="s">
        <v>83</v>
      </c>
      <c r="K885" s="33" t="s">
        <v>103</v>
      </c>
      <c r="L885" s="33" t="str">
        <f t="shared" si="1"/>
        <v>FAMILIAR</v>
      </c>
      <c r="M885" s="33">
        <f t="shared" si="2"/>
        <v>8</v>
      </c>
      <c r="N885" s="33">
        <f t="shared" si="3"/>
        <v>2023</v>
      </c>
      <c r="O885" s="35" t="str">
        <f>VLOOKUP(K885,'CA y tablas'!$B$22:$C$28,2,FALSE)</f>
        <v>EUROPEO</v>
      </c>
      <c r="P885" s="28" t="str">
        <f t="shared" si="4"/>
        <v>S2</v>
      </c>
      <c r="Q885" s="29">
        <v>2.0</v>
      </c>
      <c r="R885" s="29" t="str">
        <f t="shared" si="5"/>
        <v>Q2</v>
      </c>
    </row>
    <row r="886" ht="15.75" customHeight="1">
      <c r="A886" s="22">
        <v>45132.0</v>
      </c>
      <c r="B886" s="23">
        <v>2.540025574E9</v>
      </c>
      <c r="C886" s="24" t="s">
        <v>863</v>
      </c>
      <c r="D886" s="23">
        <v>4.2270212E7</v>
      </c>
      <c r="E886" s="22">
        <v>45141.0</v>
      </c>
      <c r="F886" s="25" t="s">
        <v>69</v>
      </c>
      <c r="G886" s="26">
        <v>2.0</v>
      </c>
      <c r="H886" s="25" t="s">
        <v>112</v>
      </c>
      <c r="I886" s="25" t="s">
        <v>71</v>
      </c>
      <c r="J886" s="25" t="s">
        <v>83</v>
      </c>
      <c r="K886" s="25" t="s">
        <v>103</v>
      </c>
      <c r="L886" s="25" t="str">
        <f t="shared" si="1"/>
        <v>FAMILIAR</v>
      </c>
      <c r="M886" s="25">
        <f t="shared" si="2"/>
        <v>8</v>
      </c>
      <c r="N886" s="25">
        <f t="shared" si="3"/>
        <v>2023</v>
      </c>
      <c r="O886" s="27" t="str">
        <f>VLOOKUP(K886,'CA y tablas'!$B$22:$C$28,2,FALSE)</f>
        <v>EUROPEO</v>
      </c>
      <c r="P886" s="28" t="str">
        <f t="shared" si="4"/>
        <v>S2</v>
      </c>
      <c r="Q886" s="29">
        <v>2.0</v>
      </c>
      <c r="R886" s="29" t="str">
        <f t="shared" si="5"/>
        <v>Q2</v>
      </c>
    </row>
    <row r="887" ht="15.75" customHeight="1">
      <c r="A887" s="30">
        <v>45132.0</v>
      </c>
      <c r="B887" s="31">
        <v>1.462163544E9</v>
      </c>
      <c r="C887" s="32" t="s">
        <v>864</v>
      </c>
      <c r="D887" s="31">
        <v>2.7650818E7</v>
      </c>
      <c r="E887" s="30">
        <v>45141.0</v>
      </c>
      <c r="F887" s="33" t="s">
        <v>69</v>
      </c>
      <c r="G887" s="34">
        <v>3.0</v>
      </c>
      <c r="H887" s="33" t="s">
        <v>112</v>
      </c>
      <c r="I887" s="33" t="s">
        <v>71</v>
      </c>
      <c r="J887" s="33" t="s">
        <v>83</v>
      </c>
      <c r="K887" s="33" t="s">
        <v>103</v>
      </c>
      <c r="L887" s="33" t="str">
        <f t="shared" si="1"/>
        <v>FAMILIAR</v>
      </c>
      <c r="M887" s="33">
        <f t="shared" si="2"/>
        <v>8</v>
      </c>
      <c r="N887" s="33">
        <f t="shared" si="3"/>
        <v>2023</v>
      </c>
      <c r="O887" s="35" t="str">
        <f>VLOOKUP(K887,'CA y tablas'!$B$22:$C$28,2,FALSE)</f>
        <v>EUROPEO</v>
      </c>
      <c r="P887" s="28" t="str">
        <f t="shared" si="4"/>
        <v>S2</v>
      </c>
      <c r="Q887" s="29">
        <v>2.0</v>
      </c>
      <c r="R887" s="29" t="str">
        <f t="shared" si="5"/>
        <v>Q2</v>
      </c>
    </row>
    <row r="888" ht="15.75" customHeight="1">
      <c r="A888" s="22">
        <v>45133.0</v>
      </c>
      <c r="B888" s="23">
        <v>2.436907476E9</v>
      </c>
      <c r="C888" s="24" t="s">
        <v>864</v>
      </c>
      <c r="D888" s="23">
        <v>2.7650818E7</v>
      </c>
      <c r="E888" s="22">
        <v>45141.0</v>
      </c>
      <c r="F888" s="25" t="s">
        <v>69</v>
      </c>
      <c r="G888" s="26">
        <v>3.0</v>
      </c>
      <c r="H888" s="25" t="s">
        <v>112</v>
      </c>
      <c r="I888" s="25" t="s">
        <v>71</v>
      </c>
      <c r="J888" s="25" t="s">
        <v>83</v>
      </c>
      <c r="K888" s="25" t="s">
        <v>103</v>
      </c>
      <c r="L888" s="25" t="str">
        <f t="shared" si="1"/>
        <v>FAMILIAR</v>
      </c>
      <c r="M888" s="25">
        <f t="shared" si="2"/>
        <v>8</v>
      </c>
      <c r="N888" s="25">
        <f t="shared" si="3"/>
        <v>2023</v>
      </c>
      <c r="O888" s="27" t="str">
        <f>VLOOKUP(K888,'CA y tablas'!$B$22:$C$28,2,FALSE)</f>
        <v>EUROPEO</v>
      </c>
      <c r="P888" s="28" t="str">
        <f t="shared" si="4"/>
        <v>S2</v>
      </c>
      <c r="Q888" s="29">
        <v>2.0</v>
      </c>
      <c r="R888" s="29" t="str">
        <f t="shared" si="5"/>
        <v>Q2</v>
      </c>
    </row>
    <row r="889" ht="15.75" customHeight="1">
      <c r="A889" s="30">
        <v>45133.0</v>
      </c>
      <c r="B889" s="31">
        <v>1.496997176E9</v>
      </c>
      <c r="C889" s="32" t="s">
        <v>865</v>
      </c>
      <c r="D889" s="31">
        <v>2.4509809E7</v>
      </c>
      <c r="E889" s="30">
        <v>45141.0</v>
      </c>
      <c r="F889" s="33" t="s">
        <v>69</v>
      </c>
      <c r="G889" s="34">
        <v>3.0</v>
      </c>
      <c r="H889" s="33" t="s">
        <v>112</v>
      </c>
      <c r="I889" s="33" t="s">
        <v>71</v>
      </c>
      <c r="J889" s="33" t="s">
        <v>83</v>
      </c>
      <c r="K889" s="33" t="s">
        <v>103</v>
      </c>
      <c r="L889" s="33" t="str">
        <f t="shared" si="1"/>
        <v>FAMILIAR</v>
      </c>
      <c r="M889" s="33">
        <f t="shared" si="2"/>
        <v>8</v>
      </c>
      <c r="N889" s="33">
        <f t="shared" si="3"/>
        <v>2023</v>
      </c>
      <c r="O889" s="35" t="str">
        <f>VLOOKUP(K889,'CA y tablas'!$B$22:$C$28,2,FALSE)</f>
        <v>EUROPEO</v>
      </c>
      <c r="P889" s="28" t="str">
        <f t="shared" si="4"/>
        <v>S2</v>
      </c>
      <c r="Q889" s="29">
        <v>2.0</v>
      </c>
      <c r="R889" s="29" t="str">
        <f t="shared" si="5"/>
        <v>Q2</v>
      </c>
    </row>
    <row r="890" ht="15.75" customHeight="1">
      <c r="A890" s="22">
        <v>45134.0</v>
      </c>
      <c r="B890" s="23">
        <v>7.079741771E9</v>
      </c>
      <c r="C890" s="24" t="s">
        <v>864</v>
      </c>
      <c r="D890" s="23">
        <v>2.7650818E7</v>
      </c>
      <c r="E890" s="22">
        <v>45141.0</v>
      </c>
      <c r="F890" s="25" t="s">
        <v>69</v>
      </c>
      <c r="G890" s="26">
        <v>2.0</v>
      </c>
      <c r="H890" s="25" t="s">
        <v>112</v>
      </c>
      <c r="I890" s="25" t="s">
        <v>71</v>
      </c>
      <c r="J890" s="25" t="s">
        <v>83</v>
      </c>
      <c r="K890" s="25" t="s">
        <v>103</v>
      </c>
      <c r="L890" s="25" t="str">
        <f t="shared" si="1"/>
        <v>FAMILIAR</v>
      </c>
      <c r="M890" s="25">
        <f t="shared" si="2"/>
        <v>8</v>
      </c>
      <c r="N890" s="25">
        <f t="shared" si="3"/>
        <v>2023</v>
      </c>
      <c r="O890" s="27" t="str">
        <f>VLOOKUP(K890,'CA y tablas'!$B$22:$C$28,2,FALSE)</f>
        <v>EUROPEO</v>
      </c>
      <c r="P890" s="28" t="str">
        <f t="shared" si="4"/>
        <v>S2</v>
      </c>
      <c r="Q890" s="29">
        <v>2.0</v>
      </c>
      <c r="R890" s="29" t="str">
        <f t="shared" si="5"/>
        <v>Q2</v>
      </c>
    </row>
    <row r="891" ht="15.75" customHeight="1">
      <c r="A891" s="30">
        <v>45134.0</v>
      </c>
      <c r="B891" s="31">
        <v>5.50676791E9</v>
      </c>
      <c r="C891" s="32" t="s">
        <v>866</v>
      </c>
      <c r="D891" s="31">
        <v>2.8531514E7</v>
      </c>
      <c r="E891" s="30">
        <v>45141.0</v>
      </c>
      <c r="F891" s="33" t="s">
        <v>76</v>
      </c>
      <c r="G891" s="34">
        <v>1.0</v>
      </c>
      <c r="H891" s="33" t="s">
        <v>112</v>
      </c>
      <c r="I891" s="33" t="s">
        <v>71</v>
      </c>
      <c r="J891" s="33" t="s">
        <v>83</v>
      </c>
      <c r="K891" s="33" t="s">
        <v>103</v>
      </c>
      <c r="L891" s="33" t="str">
        <f t="shared" si="1"/>
        <v>INDIVIDUAL</v>
      </c>
      <c r="M891" s="33">
        <f t="shared" si="2"/>
        <v>8</v>
      </c>
      <c r="N891" s="33">
        <f t="shared" si="3"/>
        <v>2023</v>
      </c>
      <c r="O891" s="35" t="str">
        <f>VLOOKUP(K891,'CA y tablas'!$B$22:$C$28,2,FALSE)</f>
        <v>EUROPEO</v>
      </c>
      <c r="P891" s="28" t="str">
        <f t="shared" si="4"/>
        <v>S2</v>
      </c>
      <c r="Q891" s="29">
        <v>2.0</v>
      </c>
      <c r="R891" s="29" t="str">
        <f t="shared" si="5"/>
        <v>Q2</v>
      </c>
    </row>
    <row r="892" ht="15.75" customHeight="1">
      <c r="A892" s="22">
        <v>45139.0</v>
      </c>
      <c r="B892" s="23">
        <v>4.502961982E9</v>
      </c>
      <c r="C892" s="24" t="s">
        <v>867</v>
      </c>
      <c r="D892" s="23">
        <v>2.5212989E7</v>
      </c>
      <c r="E892" s="22">
        <v>45141.0</v>
      </c>
      <c r="F892" s="25" t="s">
        <v>69</v>
      </c>
      <c r="G892" s="26">
        <v>2.0</v>
      </c>
      <c r="H892" s="25" t="s">
        <v>70</v>
      </c>
      <c r="I892" s="25" t="s">
        <v>71</v>
      </c>
      <c r="J892" s="25" t="s">
        <v>83</v>
      </c>
      <c r="K892" s="25" t="s">
        <v>103</v>
      </c>
      <c r="L892" s="25" t="str">
        <f t="shared" si="1"/>
        <v>FAMILIAR</v>
      </c>
      <c r="M892" s="25">
        <f t="shared" si="2"/>
        <v>8</v>
      </c>
      <c r="N892" s="25">
        <f t="shared" si="3"/>
        <v>2023</v>
      </c>
      <c r="O892" s="27" t="str">
        <f>VLOOKUP(K892,'CA y tablas'!$B$22:$C$28,2,FALSE)</f>
        <v>EUROPEO</v>
      </c>
      <c r="P892" s="28" t="str">
        <f t="shared" si="4"/>
        <v>S2</v>
      </c>
      <c r="Q892" s="29">
        <v>2.0</v>
      </c>
      <c r="R892" s="29" t="str">
        <f t="shared" si="5"/>
        <v>Q2</v>
      </c>
    </row>
    <row r="893" ht="15.75" customHeight="1">
      <c r="A893" s="30">
        <v>45139.0</v>
      </c>
      <c r="B893" s="31">
        <v>1.384084656E9</v>
      </c>
      <c r="C893" s="32" t="s">
        <v>868</v>
      </c>
      <c r="D893" s="31">
        <v>3.498113E7</v>
      </c>
      <c r="E893" s="30">
        <v>45141.0</v>
      </c>
      <c r="F893" s="33" t="s">
        <v>69</v>
      </c>
      <c r="G893" s="34">
        <v>2.0</v>
      </c>
      <c r="H893" s="33" t="s">
        <v>70</v>
      </c>
      <c r="I893" s="33" t="s">
        <v>77</v>
      </c>
      <c r="J893" s="33" t="s">
        <v>83</v>
      </c>
      <c r="K893" s="33" t="s">
        <v>73</v>
      </c>
      <c r="L893" s="33" t="str">
        <f t="shared" si="1"/>
        <v>FAMILIAR</v>
      </c>
      <c r="M893" s="33">
        <f t="shared" si="2"/>
        <v>8</v>
      </c>
      <c r="N893" s="33">
        <f t="shared" si="3"/>
        <v>2023</v>
      </c>
      <c r="O893" s="35" t="str">
        <f>VLOOKUP(K893,'CA y tablas'!$B$22:$C$28,2,FALSE)</f>
        <v>AMERICANO</v>
      </c>
      <c r="P893" s="28" t="str">
        <f t="shared" si="4"/>
        <v>S2</v>
      </c>
      <c r="Q893" s="29">
        <v>2.0</v>
      </c>
      <c r="R893" s="29" t="str">
        <f t="shared" si="5"/>
        <v>Q2</v>
      </c>
    </row>
    <row r="894" ht="15.75" customHeight="1">
      <c r="A894" s="22">
        <v>45139.0</v>
      </c>
      <c r="B894" s="23">
        <v>3.123819591E9</v>
      </c>
      <c r="C894" s="24" t="s">
        <v>869</v>
      </c>
      <c r="D894" s="23">
        <v>2.7016163E7</v>
      </c>
      <c r="E894" s="22">
        <v>45141.0</v>
      </c>
      <c r="F894" s="25" t="s">
        <v>69</v>
      </c>
      <c r="G894" s="26">
        <v>2.0</v>
      </c>
      <c r="H894" s="25" t="s">
        <v>70</v>
      </c>
      <c r="I894" s="25" t="s">
        <v>77</v>
      </c>
      <c r="J894" s="25" t="s">
        <v>83</v>
      </c>
      <c r="K894" s="25" t="s">
        <v>73</v>
      </c>
      <c r="L894" s="25" t="str">
        <f t="shared" si="1"/>
        <v>FAMILIAR</v>
      </c>
      <c r="M894" s="25">
        <f t="shared" si="2"/>
        <v>8</v>
      </c>
      <c r="N894" s="25">
        <f t="shared" si="3"/>
        <v>2023</v>
      </c>
      <c r="O894" s="27" t="str">
        <f>VLOOKUP(K894,'CA y tablas'!$B$22:$C$28,2,FALSE)</f>
        <v>AMERICANO</v>
      </c>
      <c r="P894" s="28" t="str">
        <f t="shared" si="4"/>
        <v>S2</v>
      </c>
      <c r="Q894" s="29">
        <v>2.0</v>
      </c>
      <c r="R894" s="29" t="str">
        <f t="shared" si="5"/>
        <v>Q2</v>
      </c>
    </row>
    <row r="895" ht="15.75" customHeight="1">
      <c r="A895" s="30">
        <v>45139.0</v>
      </c>
      <c r="B895" s="31">
        <v>5.250104635E9</v>
      </c>
      <c r="C895" s="32" t="s">
        <v>869</v>
      </c>
      <c r="D895" s="31">
        <v>2.7016163E7</v>
      </c>
      <c r="E895" s="30">
        <v>45141.0</v>
      </c>
      <c r="F895" s="33" t="s">
        <v>69</v>
      </c>
      <c r="G895" s="34">
        <v>2.0</v>
      </c>
      <c r="H895" s="33" t="s">
        <v>70</v>
      </c>
      <c r="I895" s="33" t="s">
        <v>77</v>
      </c>
      <c r="J895" s="33" t="s">
        <v>83</v>
      </c>
      <c r="K895" s="33" t="s">
        <v>73</v>
      </c>
      <c r="L895" s="33" t="str">
        <f t="shared" si="1"/>
        <v>FAMILIAR</v>
      </c>
      <c r="M895" s="33">
        <f t="shared" si="2"/>
        <v>8</v>
      </c>
      <c r="N895" s="33">
        <f t="shared" si="3"/>
        <v>2023</v>
      </c>
      <c r="O895" s="35" t="str">
        <f>VLOOKUP(K895,'CA y tablas'!$B$22:$C$28,2,FALSE)</f>
        <v>AMERICANO</v>
      </c>
      <c r="P895" s="28" t="str">
        <f t="shared" si="4"/>
        <v>S2</v>
      </c>
      <c r="Q895" s="29">
        <v>2.0</v>
      </c>
      <c r="R895" s="29" t="str">
        <f t="shared" si="5"/>
        <v>Q2</v>
      </c>
    </row>
    <row r="896" ht="15.75" customHeight="1">
      <c r="A896" s="22">
        <v>45139.0</v>
      </c>
      <c r="B896" s="23">
        <v>3.421355011E9</v>
      </c>
      <c r="C896" s="24" t="s">
        <v>865</v>
      </c>
      <c r="D896" s="23">
        <v>2.4509809E7</v>
      </c>
      <c r="E896" s="22">
        <v>45141.0</v>
      </c>
      <c r="F896" s="25" t="s">
        <v>69</v>
      </c>
      <c r="G896" s="26">
        <v>1.0</v>
      </c>
      <c r="H896" s="25" t="s">
        <v>70</v>
      </c>
      <c r="I896" s="25" t="s">
        <v>77</v>
      </c>
      <c r="J896" s="25" t="s">
        <v>98</v>
      </c>
      <c r="K896" s="25" t="s">
        <v>73</v>
      </c>
      <c r="L896" s="25" t="str">
        <f t="shared" si="1"/>
        <v>INDIVIDUAL</v>
      </c>
      <c r="M896" s="25">
        <f t="shared" si="2"/>
        <v>8</v>
      </c>
      <c r="N896" s="25">
        <f t="shared" si="3"/>
        <v>2023</v>
      </c>
      <c r="O896" s="27" t="str">
        <f>VLOOKUP(K896,'CA y tablas'!$B$22:$C$28,2,FALSE)</f>
        <v>AMERICANO</v>
      </c>
      <c r="P896" s="28" t="str">
        <f t="shared" si="4"/>
        <v>S2</v>
      </c>
      <c r="Q896" s="29">
        <v>2.0</v>
      </c>
      <c r="R896" s="29" t="str">
        <f t="shared" si="5"/>
        <v>Q2</v>
      </c>
    </row>
    <row r="897" ht="15.75" customHeight="1">
      <c r="A897" s="30">
        <v>45139.0</v>
      </c>
      <c r="B897" s="31">
        <v>6.572606913E9</v>
      </c>
      <c r="C897" s="32" t="s">
        <v>870</v>
      </c>
      <c r="D897" s="31">
        <v>3.7457372E7</v>
      </c>
      <c r="E897" s="30">
        <v>45141.0</v>
      </c>
      <c r="F897" s="33" t="s">
        <v>69</v>
      </c>
      <c r="G897" s="34">
        <v>1.0</v>
      </c>
      <c r="H897" s="33" t="s">
        <v>70</v>
      </c>
      <c r="I897" s="33" t="s">
        <v>77</v>
      </c>
      <c r="J897" s="33" t="s">
        <v>98</v>
      </c>
      <c r="K897" s="33" t="s">
        <v>73</v>
      </c>
      <c r="L897" s="33" t="str">
        <f t="shared" si="1"/>
        <v>INDIVIDUAL</v>
      </c>
      <c r="M897" s="33">
        <f t="shared" si="2"/>
        <v>8</v>
      </c>
      <c r="N897" s="33">
        <f t="shared" si="3"/>
        <v>2023</v>
      </c>
      <c r="O897" s="35" t="str">
        <f>VLOOKUP(K897,'CA y tablas'!$B$22:$C$28,2,FALSE)</f>
        <v>AMERICANO</v>
      </c>
      <c r="P897" s="28" t="str">
        <f t="shared" si="4"/>
        <v>S2</v>
      </c>
      <c r="Q897" s="29">
        <v>2.0</v>
      </c>
      <c r="R897" s="29" t="str">
        <f t="shared" si="5"/>
        <v>Q2</v>
      </c>
    </row>
    <row r="898" ht="15.75" customHeight="1">
      <c r="A898" s="22">
        <v>45139.0</v>
      </c>
      <c r="B898" s="23">
        <v>5.249991865E9</v>
      </c>
      <c r="C898" s="24" t="s">
        <v>871</v>
      </c>
      <c r="D898" s="23">
        <v>3.8184294E7</v>
      </c>
      <c r="E898" s="22">
        <v>45141.0</v>
      </c>
      <c r="F898" s="25" t="s">
        <v>69</v>
      </c>
      <c r="G898" s="26">
        <v>2.0</v>
      </c>
      <c r="H898" s="25" t="s">
        <v>70</v>
      </c>
      <c r="I898" s="25" t="s">
        <v>77</v>
      </c>
      <c r="J898" s="25" t="s">
        <v>98</v>
      </c>
      <c r="K898" s="25" t="s">
        <v>73</v>
      </c>
      <c r="L898" s="25" t="str">
        <f t="shared" si="1"/>
        <v>FAMILIAR</v>
      </c>
      <c r="M898" s="25">
        <f t="shared" si="2"/>
        <v>8</v>
      </c>
      <c r="N898" s="25">
        <f t="shared" si="3"/>
        <v>2023</v>
      </c>
      <c r="O898" s="27" t="str">
        <f>VLOOKUP(K898,'CA y tablas'!$B$22:$C$28,2,FALSE)</f>
        <v>AMERICANO</v>
      </c>
      <c r="P898" s="28" t="str">
        <f t="shared" si="4"/>
        <v>S2</v>
      </c>
      <c r="Q898" s="29">
        <v>2.0</v>
      </c>
      <c r="R898" s="29" t="str">
        <f t="shared" si="5"/>
        <v>Q2</v>
      </c>
    </row>
    <row r="899" ht="15.75" customHeight="1">
      <c r="A899" s="30">
        <v>45140.0</v>
      </c>
      <c r="B899" s="31">
        <v>5.971892721E9</v>
      </c>
      <c r="C899" s="32" t="s">
        <v>872</v>
      </c>
      <c r="D899" s="31">
        <v>8036865.0</v>
      </c>
      <c r="E899" s="30">
        <v>45141.0</v>
      </c>
      <c r="F899" s="33" t="s">
        <v>69</v>
      </c>
      <c r="G899" s="34">
        <v>2.0</v>
      </c>
      <c r="H899" s="33" t="s">
        <v>70</v>
      </c>
      <c r="I899" s="33" t="s">
        <v>77</v>
      </c>
      <c r="J899" s="33" t="s">
        <v>98</v>
      </c>
      <c r="K899" s="33" t="s">
        <v>73</v>
      </c>
      <c r="L899" s="33" t="str">
        <f t="shared" si="1"/>
        <v>FAMILIAR</v>
      </c>
      <c r="M899" s="33">
        <f t="shared" si="2"/>
        <v>8</v>
      </c>
      <c r="N899" s="33">
        <f t="shared" si="3"/>
        <v>2023</v>
      </c>
      <c r="O899" s="35" t="str">
        <f>VLOOKUP(K899,'CA y tablas'!$B$22:$C$28,2,FALSE)</f>
        <v>AMERICANO</v>
      </c>
      <c r="P899" s="28" t="str">
        <f t="shared" si="4"/>
        <v>S2</v>
      </c>
      <c r="Q899" s="29">
        <v>2.0</v>
      </c>
      <c r="R899" s="29" t="str">
        <f t="shared" si="5"/>
        <v>Q2</v>
      </c>
    </row>
    <row r="900" ht="15.75" customHeight="1">
      <c r="A900" s="22">
        <v>45128.0</v>
      </c>
      <c r="B900" s="23">
        <v>6.485397074E9</v>
      </c>
      <c r="C900" s="24" t="s">
        <v>873</v>
      </c>
      <c r="D900" s="23">
        <v>3.3628449E7</v>
      </c>
      <c r="E900" s="22">
        <v>45142.0</v>
      </c>
      <c r="F900" s="25" t="s">
        <v>69</v>
      </c>
      <c r="G900" s="26">
        <v>1.0</v>
      </c>
      <c r="H900" s="25" t="s">
        <v>70</v>
      </c>
      <c r="I900" s="25" t="s">
        <v>77</v>
      </c>
      <c r="J900" s="25" t="s">
        <v>98</v>
      </c>
      <c r="K900" s="25" t="s">
        <v>73</v>
      </c>
      <c r="L900" s="25" t="str">
        <f t="shared" si="1"/>
        <v>INDIVIDUAL</v>
      </c>
      <c r="M900" s="25">
        <f t="shared" si="2"/>
        <v>8</v>
      </c>
      <c r="N900" s="25">
        <f t="shared" si="3"/>
        <v>2023</v>
      </c>
      <c r="O900" s="27" t="str">
        <f>VLOOKUP(K900,'CA y tablas'!$B$22:$C$28,2,FALSE)</f>
        <v>AMERICANO</v>
      </c>
      <c r="P900" s="28" t="str">
        <f t="shared" si="4"/>
        <v>S2</v>
      </c>
      <c r="Q900" s="29">
        <v>2.0</v>
      </c>
      <c r="R900" s="29" t="str">
        <f t="shared" si="5"/>
        <v>Q2</v>
      </c>
    </row>
    <row r="901" ht="15.75" customHeight="1">
      <c r="A901" s="30">
        <v>45135.0</v>
      </c>
      <c r="B901" s="31">
        <v>3.100334436E9</v>
      </c>
      <c r="C901" s="32" t="s">
        <v>874</v>
      </c>
      <c r="D901" s="31">
        <v>2.1028706E7</v>
      </c>
      <c r="E901" s="30">
        <v>45142.0</v>
      </c>
      <c r="F901" s="33" t="s">
        <v>69</v>
      </c>
      <c r="G901" s="34">
        <v>1.0</v>
      </c>
      <c r="H901" s="33" t="s">
        <v>70</v>
      </c>
      <c r="I901" s="33" t="s">
        <v>77</v>
      </c>
      <c r="J901" s="33" t="s">
        <v>98</v>
      </c>
      <c r="K901" s="33" t="s">
        <v>90</v>
      </c>
      <c r="L901" s="33" t="str">
        <f t="shared" si="1"/>
        <v>INDIVIDUAL</v>
      </c>
      <c r="M901" s="33">
        <f t="shared" si="2"/>
        <v>8</v>
      </c>
      <c r="N901" s="33">
        <f t="shared" si="3"/>
        <v>2023</v>
      </c>
      <c r="O901" s="35" t="str">
        <f>VLOOKUP(K901,'CA y tablas'!$B$22:$C$28,2,FALSE)</f>
        <v>EUROPEO</v>
      </c>
      <c r="P901" s="28" t="str">
        <f t="shared" si="4"/>
        <v>S2</v>
      </c>
      <c r="Q901" s="29">
        <v>2.0</v>
      </c>
      <c r="R901" s="29" t="str">
        <f t="shared" si="5"/>
        <v>Q2</v>
      </c>
    </row>
    <row r="902" ht="15.75" customHeight="1">
      <c r="A902" s="22">
        <v>45139.0</v>
      </c>
      <c r="B902" s="23">
        <v>4.502959565E9</v>
      </c>
      <c r="C902" s="24" t="s">
        <v>875</v>
      </c>
      <c r="D902" s="23">
        <v>3.7656254E7</v>
      </c>
      <c r="E902" s="22">
        <v>45142.0</v>
      </c>
      <c r="F902" s="25" t="s">
        <v>69</v>
      </c>
      <c r="G902" s="26">
        <v>1.0</v>
      </c>
      <c r="H902" s="25" t="s">
        <v>70</v>
      </c>
      <c r="I902" s="25" t="s">
        <v>77</v>
      </c>
      <c r="J902" s="25" t="s">
        <v>98</v>
      </c>
      <c r="K902" s="25" t="s">
        <v>90</v>
      </c>
      <c r="L902" s="25" t="str">
        <f t="shared" si="1"/>
        <v>INDIVIDUAL</v>
      </c>
      <c r="M902" s="25">
        <f t="shared" si="2"/>
        <v>8</v>
      </c>
      <c r="N902" s="25">
        <f t="shared" si="3"/>
        <v>2023</v>
      </c>
      <c r="O902" s="27" t="str">
        <f>VLOOKUP(K902,'CA y tablas'!$B$22:$C$28,2,FALSE)</f>
        <v>EUROPEO</v>
      </c>
      <c r="P902" s="28" t="str">
        <f t="shared" si="4"/>
        <v>S2</v>
      </c>
      <c r="Q902" s="29">
        <v>2.0</v>
      </c>
      <c r="R902" s="29" t="str">
        <f t="shared" si="5"/>
        <v>Q2</v>
      </c>
    </row>
    <row r="903" ht="15.75" customHeight="1">
      <c r="A903" s="30">
        <v>45139.0</v>
      </c>
      <c r="B903" s="31">
        <v>5.417435446E9</v>
      </c>
      <c r="C903" s="32" t="s">
        <v>876</v>
      </c>
      <c r="D903" s="31">
        <v>2.6805954E7</v>
      </c>
      <c r="E903" s="30">
        <v>45142.0</v>
      </c>
      <c r="F903" s="33" t="s">
        <v>69</v>
      </c>
      <c r="G903" s="34">
        <v>1.0</v>
      </c>
      <c r="H903" s="33" t="s">
        <v>70</v>
      </c>
      <c r="I903" s="33" t="s">
        <v>77</v>
      </c>
      <c r="J903" s="33" t="s">
        <v>98</v>
      </c>
      <c r="K903" s="33" t="s">
        <v>90</v>
      </c>
      <c r="L903" s="33" t="str">
        <f t="shared" si="1"/>
        <v>INDIVIDUAL</v>
      </c>
      <c r="M903" s="33">
        <f t="shared" si="2"/>
        <v>8</v>
      </c>
      <c r="N903" s="33">
        <f t="shared" si="3"/>
        <v>2023</v>
      </c>
      <c r="O903" s="35" t="str">
        <f>VLOOKUP(K903,'CA y tablas'!$B$22:$C$28,2,FALSE)</f>
        <v>EUROPEO</v>
      </c>
      <c r="P903" s="28" t="str">
        <f t="shared" si="4"/>
        <v>S2</v>
      </c>
      <c r="Q903" s="29">
        <v>2.0</v>
      </c>
      <c r="R903" s="29" t="str">
        <f t="shared" si="5"/>
        <v>Q2</v>
      </c>
    </row>
    <row r="904" ht="15.75" customHeight="1">
      <c r="A904" s="22">
        <v>45139.0</v>
      </c>
      <c r="B904" s="23">
        <v>3.45194661E9</v>
      </c>
      <c r="C904" s="24" t="s">
        <v>877</v>
      </c>
      <c r="D904" s="23">
        <v>2.440932E7</v>
      </c>
      <c r="E904" s="22">
        <v>45142.0</v>
      </c>
      <c r="F904" s="25" t="s">
        <v>69</v>
      </c>
      <c r="G904" s="26">
        <v>2.0</v>
      </c>
      <c r="H904" s="25" t="s">
        <v>70</v>
      </c>
      <c r="I904" s="25" t="s">
        <v>77</v>
      </c>
      <c r="J904" s="25" t="s">
        <v>98</v>
      </c>
      <c r="K904" s="25" t="s">
        <v>90</v>
      </c>
      <c r="L904" s="25" t="str">
        <f t="shared" si="1"/>
        <v>FAMILIAR</v>
      </c>
      <c r="M904" s="25">
        <f t="shared" si="2"/>
        <v>8</v>
      </c>
      <c r="N904" s="25">
        <f t="shared" si="3"/>
        <v>2023</v>
      </c>
      <c r="O904" s="27" t="str">
        <f>VLOOKUP(K904,'CA y tablas'!$B$22:$C$28,2,FALSE)</f>
        <v>EUROPEO</v>
      </c>
      <c r="P904" s="28" t="str">
        <f t="shared" si="4"/>
        <v>S2</v>
      </c>
      <c r="Q904" s="29">
        <v>2.0</v>
      </c>
      <c r="R904" s="29" t="str">
        <f t="shared" si="5"/>
        <v>Q2</v>
      </c>
    </row>
    <row r="905" ht="15.75" customHeight="1">
      <c r="A905" s="30">
        <v>45142.0</v>
      </c>
      <c r="B905" s="31">
        <v>4.158995153E9</v>
      </c>
      <c r="C905" s="32" t="s">
        <v>878</v>
      </c>
      <c r="D905" s="31">
        <v>3.3139841E7</v>
      </c>
      <c r="E905" s="30">
        <v>45142.0</v>
      </c>
      <c r="F905" s="33" t="s">
        <v>69</v>
      </c>
      <c r="G905" s="34">
        <v>2.0</v>
      </c>
      <c r="H905" s="33" t="s">
        <v>106</v>
      </c>
      <c r="I905" s="33" t="s">
        <v>77</v>
      </c>
      <c r="J905" s="33" t="s">
        <v>79</v>
      </c>
      <c r="K905" s="33" t="s">
        <v>90</v>
      </c>
      <c r="L905" s="33" t="str">
        <f t="shared" si="1"/>
        <v>FAMILIAR</v>
      </c>
      <c r="M905" s="33">
        <f t="shared" si="2"/>
        <v>8</v>
      </c>
      <c r="N905" s="33">
        <f t="shared" si="3"/>
        <v>2023</v>
      </c>
      <c r="O905" s="35" t="str">
        <f>VLOOKUP(K905,'CA y tablas'!$B$22:$C$28,2,FALSE)</f>
        <v>EUROPEO</v>
      </c>
      <c r="P905" s="28" t="str">
        <f t="shared" si="4"/>
        <v>S2</v>
      </c>
      <c r="Q905" s="29">
        <v>2.0</v>
      </c>
      <c r="R905" s="29" t="str">
        <f t="shared" si="5"/>
        <v>Q2</v>
      </c>
    </row>
    <row r="906" ht="15.75" customHeight="1">
      <c r="A906" s="22">
        <v>45142.0</v>
      </c>
      <c r="B906" s="23">
        <v>4.897015056E9</v>
      </c>
      <c r="C906" s="24" t="s">
        <v>879</v>
      </c>
      <c r="D906" s="23">
        <v>4.3289877E7</v>
      </c>
      <c r="E906" s="22">
        <v>45142.0</v>
      </c>
      <c r="F906" s="25" t="s">
        <v>69</v>
      </c>
      <c r="G906" s="26">
        <v>3.0</v>
      </c>
      <c r="H906" s="25" t="s">
        <v>106</v>
      </c>
      <c r="I906" s="25" t="s">
        <v>77</v>
      </c>
      <c r="J906" s="25" t="s">
        <v>79</v>
      </c>
      <c r="K906" s="25" t="s">
        <v>90</v>
      </c>
      <c r="L906" s="25" t="str">
        <f t="shared" si="1"/>
        <v>FAMILIAR</v>
      </c>
      <c r="M906" s="25">
        <f t="shared" si="2"/>
        <v>8</v>
      </c>
      <c r="N906" s="25">
        <f t="shared" si="3"/>
        <v>2023</v>
      </c>
      <c r="O906" s="27" t="str">
        <f>VLOOKUP(K906,'CA y tablas'!$B$22:$C$28,2,FALSE)</f>
        <v>EUROPEO</v>
      </c>
      <c r="P906" s="28" t="str">
        <f t="shared" si="4"/>
        <v>S2</v>
      </c>
      <c r="Q906" s="29">
        <v>2.0</v>
      </c>
      <c r="R906" s="29" t="str">
        <f t="shared" si="5"/>
        <v>Q2</v>
      </c>
    </row>
    <row r="907" ht="15.75" customHeight="1">
      <c r="A907" s="30">
        <v>45119.0</v>
      </c>
      <c r="B907" s="31">
        <v>3.486545694E9</v>
      </c>
      <c r="C907" s="32" t="s">
        <v>880</v>
      </c>
      <c r="D907" s="31">
        <v>3.3628004E8</v>
      </c>
      <c r="E907" s="30">
        <v>45145.0</v>
      </c>
      <c r="F907" s="33" t="s">
        <v>76</v>
      </c>
      <c r="G907" s="34">
        <v>1.0</v>
      </c>
      <c r="H907" s="33" t="s">
        <v>106</v>
      </c>
      <c r="I907" s="33" t="s">
        <v>77</v>
      </c>
      <c r="J907" s="33" t="s">
        <v>79</v>
      </c>
      <c r="K907" s="33" t="s">
        <v>90</v>
      </c>
      <c r="L907" s="33" t="str">
        <f t="shared" si="1"/>
        <v>INDIVIDUAL</v>
      </c>
      <c r="M907" s="33">
        <f t="shared" si="2"/>
        <v>8</v>
      </c>
      <c r="N907" s="33">
        <f t="shared" si="3"/>
        <v>2023</v>
      </c>
      <c r="O907" s="35" t="str">
        <f>VLOOKUP(K907,'CA y tablas'!$B$22:$C$28,2,FALSE)</f>
        <v>EUROPEO</v>
      </c>
      <c r="P907" s="28" t="str">
        <f t="shared" si="4"/>
        <v>S2</v>
      </c>
      <c r="Q907" s="29">
        <v>2.0</v>
      </c>
      <c r="R907" s="29" t="str">
        <f t="shared" si="5"/>
        <v>Q2</v>
      </c>
    </row>
    <row r="908" ht="15.75" customHeight="1">
      <c r="A908" s="22">
        <v>45128.0</v>
      </c>
      <c r="B908" s="23">
        <v>3.464801255E9</v>
      </c>
      <c r="C908" s="24" t="s">
        <v>881</v>
      </c>
      <c r="D908" s="23">
        <v>2.1328335E7</v>
      </c>
      <c r="E908" s="22">
        <v>45145.0</v>
      </c>
      <c r="F908" s="25" t="s">
        <v>76</v>
      </c>
      <c r="G908" s="26">
        <v>1.0</v>
      </c>
      <c r="H908" s="25" t="s">
        <v>106</v>
      </c>
      <c r="I908" s="25" t="s">
        <v>77</v>
      </c>
      <c r="J908" s="25" t="s">
        <v>79</v>
      </c>
      <c r="K908" s="25" t="s">
        <v>90</v>
      </c>
      <c r="L908" s="25" t="str">
        <f t="shared" si="1"/>
        <v>INDIVIDUAL</v>
      </c>
      <c r="M908" s="25">
        <f t="shared" si="2"/>
        <v>8</v>
      </c>
      <c r="N908" s="25">
        <f t="shared" si="3"/>
        <v>2023</v>
      </c>
      <c r="O908" s="27" t="str">
        <f>VLOOKUP(K908,'CA y tablas'!$B$22:$C$28,2,FALSE)</f>
        <v>EUROPEO</v>
      </c>
      <c r="P908" s="28" t="str">
        <f t="shared" si="4"/>
        <v>S2</v>
      </c>
      <c r="Q908" s="29">
        <v>2.0</v>
      </c>
      <c r="R908" s="29" t="str">
        <f t="shared" si="5"/>
        <v>Q2</v>
      </c>
    </row>
    <row r="909" ht="15.75" customHeight="1">
      <c r="A909" s="30">
        <v>45132.0</v>
      </c>
      <c r="B909" s="31">
        <v>4.214122452E9</v>
      </c>
      <c r="C909" s="32" t="s">
        <v>882</v>
      </c>
      <c r="D909" s="31">
        <v>3.3815057E7</v>
      </c>
      <c r="E909" s="30">
        <v>45145.0</v>
      </c>
      <c r="F909" s="33" t="s">
        <v>76</v>
      </c>
      <c r="G909" s="34">
        <v>3.0</v>
      </c>
      <c r="H909" s="33" t="s">
        <v>106</v>
      </c>
      <c r="I909" s="33" t="s">
        <v>77</v>
      </c>
      <c r="J909" s="33" t="s">
        <v>79</v>
      </c>
      <c r="K909" s="33" t="s">
        <v>90</v>
      </c>
      <c r="L909" s="33" t="str">
        <f t="shared" si="1"/>
        <v>FAMILIAR</v>
      </c>
      <c r="M909" s="33">
        <f t="shared" si="2"/>
        <v>8</v>
      </c>
      <c r="N909" s="33">
        <f t="shared" si="3"/>
        <v>2023</v>
      </c>
      <c r="O909" s="35" t="str">
        <f>VLOOKUP(K909,'CA y tablas'!$B$22:$C$28,2,FALSE)</f>
        <v>EUROPEO</v>
      </c>
      <c r="P909" s="28" t="str">
        <f t="shared" si="4"/>
        <v>S2</v>
      </c>
      <c r="Q909" s="29">
        <v>2.0</v>
      </c>
      <c r="R909" s="29" t="str">
        <f t="shared" si="5"/>
        <v>Q2</v>
      </c>
    </row>
    <row r="910" ht="15.75" customHeight="1">
      <c r="A910" s="22">
        <v>45135.0</v>
      </c>
      <c r="B910" s="23">
        <v>2.317478365E9</v>
      </c>
      <c r="C910" s="24" t="s">
        <v>883</v>
      </c>
      <c r="D910" s="23">
        <v>2.5543843E7</v>
      </c>
      <c r="E910" s="22">
        <v>45145.0</v>
      </c>
      <c r="F910" s="25" t="s">
        <v>76</v>
      </c>
      <c r="G910" s="26">
        <v>2.0</v>
      </c>
      <c r="H910" s="25" t="s">
        <v>112</v>
      </c>
      <c r="I910" s="25" t="s">
        <v>88</v>
      </c>
      <c r="J910" s="25" t="s">
        <v>79</v>
      </c>
      <c r="K910" s="25" t="s">
        <v>90</v>
      </c>
      <c r="L910" s="25" t="str">
        <f t="shared" si="1"/>
        <v>FAMILIAR</v>
      </c>
      <c r="M910" s="25">
        <f t="shared" si="2"/>
        <v>8</v>
      </c>
      <c r="N910" s="25">
        <f t="shared" si="3"/>
        <v>2023</v>
      </c>
      <c r="O910" s="27" t="str">
        <f>VLOOKUP(K910,'CA y tablas'!$B$22:$C$28,2,FALSE)</f>
        <v>EUROPEO</v>
      </c>
      <c r="P910" s="28" t="str">
        <f t="shared" si="4"/>
        <v>S2</v>
      </c>
      <c r="Q910" s="29">
        <v>2.0</v>
      </c>
      <c r="R910" s="29" t="str">
        <f t="shared" si="5"/>
        <v>Q2</v>
      </c>
    </row>
    <row r="911" ht="15.75" customHeight="1">
      <c r="A911" s="30">
        <v>45135.0</v>
      </c>
      <c r="B911" s="31">
        <v>2.190676946E9</v>
      </c>
      <c r="C911" s="32" t="s">
        <v>884</v>
      </c>
      <c r="D911" s="31">
        <v>2.2429501E7</v>
      </c>
      <c r="E911" s="30">
        <v>45145.0</v>
      </c>
      <c r="F911" s="33" t="s">
        <v>76</v>
      </c>
      <c r="G911" s="34">
        <v>2.0</v>
      </c>
      <c r="H911" s="33" t="s">
        <v>112</v>
      </c>
      <c r="I911" s="33" t="s">
        <v>88</v>
      </c>
      <c r="J911" s="33" t="s">
        <v>79</v>
      </c>
      <c r="K911" s="33" t="s">
        <v>90</v>
      </c>
      <c r="L911" s="33" t="str">
        <f t="shared" si="1"/>
        <v>FAMILIAR</v>
      </c>
      <c r="M911" s="33">
        <f t="shared" si="2"/>
        <v>8</v>
      </c>
      <c r="N911" s="33">
        <f t="shared" si="3"/>
        <v>2023</v>
      </c>
      <c r="O911" s="35" t="str">
        <f>VLOOKUP(K911,'CA y tablas'!$B$22:$C$28,2,FALSE)</f>
        <v>EUROPEO</v>
      </c>
      <c r="P911" s="28" t="str">
        <f t="shared" si="4"/>
        <v>S2</v>
      </c>
      <c r="Q911" s="29">
        <v>2.0</v>
      </c>
      <c r="R911" s="29" t="str">
        <f t="shared" si="5"/>
        <v>Q2</v>
      </c>
    </row>
    <row r="912" ht="15.75" customHeight="1">
      <c r="A912" s="22">
        <v>45139.0</v>
      </c>
      <c r="B912" s="23">
        <v>9.987917833E9</v>
      </c>
      <c r="C912" s="24" t="s">
        <v>885</v>
      </c>
      <c r="D912" s="23">
        <v>2.6408519E7</v>
      </c>
      <c r="E912" s="22">
        <v>45145.0</v>
      </c>
      <c r="F912" s="25" t="s">
        <v>76</v>
      </c>
      <c r="G912" s="26">
        <v>1.0</v>
      </c>
      <c r="H912" s="25" t="s">
        <v>112</v>
      </c>
      <c r="I912" s="25" t="s">
        <v>88</v>
      </c>
      <c r="J912" s="25" t="s">
        <v>79</v>
      </c>
      <c r="K912" s="25" t="s">
        <v>90</v>
      </c>
      <c r="L912" s="25" t="str">
        <f t="shared" si="1"/>
        <v>INDIVIDUAL</v>
      </c>
      <c r="M912" s="25">
        <f t="shared" si="2"/>
        <v>8</v>
      </c>
      <c r="N912" s="25">
        <f t="shared" si="3"/>
        <v>2023</v>
      </c>
      <c r="O912" s="27" t="str">
        <f>VLOOKUP(K912,'CA y tablas'!$B$22:$C$28,2,FALSE)</f>
        <v>EUROPEO</v>
      </c>
      <c r="P912" s="28" t="str">
        <f t="shared" si="4"/>
        <v>S2</v>
      </c>
      <c r="Q912" s="29">
        <v>2.0</v>
      </c>
      <c r="R912" s="29" t="str">
        <f t="shared" si="5"/>
        <v>Q2</v>
      </c>
    </row>
    <row r="913" ht="15.75" customHeight="1">
      <c r="A913" s="30">
        <v>45140.0</v>
      </c>
      <c r="B913" s="31">
        <v>7.055170323E9</v>
      </c>
      <c r="C913" s="32" t="s">
        <v>886</v>
      </c>
      <c r="D913" s="31">
        <v>2.1745624E7</v>
      </c>
      <c r="E913" s="30">
        <v>45145.0</v>
      </c>
      <c r="F913" s="33" t="s">
        <v>76</v>
      </c>
      <c r="G913" s="34">
        <v>2.0</v>
      </c>
      <c r="H913" s="33" t="s">
        <v>112</v>
      </c>
      <c r="I913" s="33" t="s">
        <v>88</v>
      </c>
      <c r="J913" s="33" t="s">
        <v>79</v>
      </c>
      <c r="K913" s="33" t="s">
        <v>217</v>
      </c>
      <c r="L913" s="33" t="str">
        <f t="shared" si="1"/>
        <v>FAMILIAR</v>
      </c>
      <c r="M913" s="33">
        <f t="shared" si="2"/>
        <v>8</v>
      </c>
      <c r="N913" s="33">
        <f t="shared" si="3"/>
        <v>2023</v>
      </c>
      <c r="O913" s="35" t="str">
        <f>VLOOKUP(K913,'CA y tablas'!$B$22:$C$28,2,FALSE)</f>
        <v>ASIATICO</v>
      </c>
      <c r="P913" s="28" t="str">
        <f t="shared" si="4"/>
        <v>S2</v>
      </c>
      <c r="Q913" s="29">
        <v>2.0</v>
      </c>
      <c r="R913" s="29" t="str">
        <f t="shared" si="5"/>
        <v>Q2</v>
      </c>
    </row>
    <row r="914" ht="15.75" customHeight="1">
      <c r="A914" s="22">
        <v>45142.0</v>
      </c>
      <c r="B914" s="23">
        <v>6.326903811E9</v>
      </c>
      <c r="C914" s="24" t="s">
        <v>887</v>
      </c>
      <c r="D914" s="23">
        <v>2.3015576E7</v>
      </c>
      <c r="E914" s="22">
        <v>45145.0</v>
      </c>
      <c r="F914" s="25" t="s">
        <v>76</v>
      </c>
      <c r="G914" s="26">
        <v>1.0</v>
      </c>
      <c r="H914" s="25" t="s">
        <v>106</v>
      </c>
      <c r="I914" s="25" t="s">
        <v>88</v>
      </c>
      <c r="J914" s="25" t="s">
        <v>79</v>
      </c>
      <c r="K914" s="25" t="s">
        <v>217</v>
      </c>
      <c r="L914" s="25" t="str">
        <f t="shared" si="1"/>
        <v>INDIVIDUAL</v>
      </c>
      <c r="M914" s="25">
        <f t="shared" si="2"/>
        <v>8</v>
      </c>
      <c r="N914" s="25">
        <f t="shared" si="3"/>
        <v>2023</v>
      </c>
      <c r="O914" s="27" t="str">
        <f>VLOOKUP(K914,'CA y tablas'!$B$22:$C$28,2,FALSE)</f>
        <v>ASIATICO</v>
      </c>
      <c r="P914" s="28" t="str">
        <f t="shared" si="4"/>
        <v>S2</v>
      </c>
      <c r="Q914" s="29">
        <v>2.0</v>
      </c>
      <c r="R914" s="29" t="str">
        <f t="shared" si="5"/>
        <v>Q2</v>
      </c>
    </row>
    <row r="915" ht="15.75" customHeight="1">
      <c r="A915" s="30">
        <v>45142.0</v>
      </c>
      <c r="B915" s="31">
        <v>6.304181343E9</v>
      </c>
      <c r="C915" s="32" t="s">
        <v>888</v>
      </c>
      <c r="D915" s="31">
        <v>2.9877933E7</v>
      </c>
      <c r="E915" s="30">
        <v>45145.0</v>
      </c>
      <c r="F915" s="33" t="s">
        <v>76</v>
      </c>
      <c r="G915" s="34">
        <v>1.0</v>
      </c>
      <c r="H915" s="33" t="s">
        <v>106</v>
      </c>
      <c r="I915" s="33" t="s">
        <v>88</v>
      </c>
      <c r="J915" s="33" t="s">
        <v>79</v>
      </c>
      <c r="K915" s="33" t="s">
        <v>217</v>
      </c>
      <c r="L915" s="33" t="str">
        <f t="shared" si="1"/>
        <v>INDIVIDUAL</v>
      </c>
      <c r="M915" s="33">
        <f t="shared" si="2"/>
        <v>8</v>
      </c>
      <c r="N915" s="33">
        <f t="shared" si="3"/>
        <v>2023</v>
      </c>
      <c r="O915" s="35" t="str">
        <f>VLOOKUP(K915,'CA y tablas'!$B$22:$C$28,2,FALSE)</f>
        <v>ASIATICO</v>
      </c>
      <c r="P915" s="28" t="str">
        <f t="shared" si="4"/>
        <v>S2</v>
      </c>
      <c r="Q915" s="29">
        <v>2.0</v>
      </c>
      <c r="R915" s="29" t="str">
        <f t="shared" si="5"/>
        <v>Q2</v>
      </c>
    </row>
    <row r="916" ht="15.75" customHeight="1">
      <c r="A916" s="22">
        <v>45142.0</v>
      </c>
      <c r="B916" s="23">
        <v>9.761146743E9</v>
      </c>
      <c r="C916" s="24" t="s">
        <v>889</v>
      </c>
      <c r="D916" s="23">
        <v>4955609.0</v>
      </c>
      <c r="E916" s="22">
        <v>45145.0</v>
      </c>
      <c r="F916" s="25" t="s">
        <v>76</v>
      </c>
      <c r="G916" s="26">
        <v>6.0</v>
      </c>
      <c r="H916" s="25" t="s">
        <v>106</v>
      </c>
      <c r="I916" s="25" t="s">
        <v>88</v>
      </c>
      <c r="J916" s="25" t="s">
        <v>79</v>
      </c>
      <c r="K916" s="25" t="s">
        <v>217</v>
      </c>
      <c r="L916" s="25" t="str">
        <f t="shared" si="1"/>
        <v>FAMILIAR</v>
      </c>
      <c r="M916" s="25">
        <f t="shared" si="2"/>
        <v>8</v>
      </c>
      <c r="N916" s="25">
        <f t="shared" si="3"/>
        <v>2023</v>
      </c>
      <c r="O916" s="27" t="str">
        <f>VLOOKUP(K916,'CA y tablas'!$B$22:$C$28,2,FALSE)</f>
        <v>ASIATICO</v>
      </c>
      <c r="P916" s="28" t="str">
        <f t="shared" si="4"/>
        <v>S2</v>
      </c>
      <c r="Q916" s="29">
        <v>2.0</v>
      </c>
      <c r="R916" s="29" t="str">
        <f t="shared" si="5"/>
        <v>Q2</v>
      </c>
    </row>
    <row r="917" ht="15.75" customHeight="1">
      <c r="A917" s="30">
        <v>45142.0</v>
      </c>
      <c r="B917" s="31">
        <v>1.018463143E9</v>
      </c>
      <c r="C917" s="32" t="s">
        <v>890</v>
      </c>
      <c r="D917" s="31">
        <v>3.3756947E7</v>
      </c>
      <c r="E917" s="30">
        <v>45145.0</v>
      </c>
      <c r="F917" s="33" t="s">
        <v>76</v>
      </c>
      <c r="G917" s="34">
        <v>7.0</v>
      </c>
      <c r="H917" s="33" t="s">
        <v>106</v>
      </c>
      <c r="I917" s="33" t="s">
        <v>88</v>
      </c>
      <c r="J917" s="33" t="s">
        <v>79</v>
      </c>
      <c r="K917" s="33" t="s">
        <v>217</v>
      </c>
      <c r="L917" s="33" t="str">
        <f t="shared" si="1"/>
        <v>FAMILIAR</v>
      </c>
      <c r="M917" s="33">
        <f t="shared" si="2"/>
        <v>8</v>
      </c>
      <c r="N917" s="33">
        <f t="shared" si="3"/>
        <v>2023</v>
      </c>
      <c r="O917" s="35" t="str">
        <f>VLOOKUP(K917,'CA y tablas'!$B$22:$C$28,2,FALSE)</f>
        <v>ASIATICO</v>
      </c>
      <c r="P917" s="28" t="str">
        <f t="shared" si="4"/>
        <v>S2</v>
      </c>
      <c r="Q917" s="29">
        <v>2.0</v>
      </c>
      <c r="R917" s="29" t="str">
        <f t="shared" si="5"/>
        <v>Q2</v>
      </c>
    </row>
    <row r="918" ht="15.75" customHeight="1">
      <c r="A918" s="22">
        <v>45134.0</v>
      </c>
      <c r="B918" s="23">
        <v>5.506743513E9</v>
      </c>
      <c r="C918" s="24" t="s">
        <v>891</v>
      </c>
      <c r="D918" s="23">
        <v>2.1744844E7</v>
      </c>
      <c r="E918" s="22">
        <v>45146.0</v>
      </c>
      <c r="F918" s="25" t="s">
        <v>76</v>
      </c>
      <c r="G918" s="26">
        <v>8.0</v>
      </c>
      <c r="H918" s="25" t="s">
        <v>81</v>
      </c>
      <c r="I918" s="25" t="s">
        <v>88</v>
      </c>
      <c r="J918" s="25" t="s">
        <v>79</v>
      </c>
      <c r="K918" s="25" t="s">
        <v>84</v>
      </c>
      <c r="L918" s="25" t="str">
        <f t="shared" si="1"/>
        <v>FAMILIAR</v>
      </c>
      <c r="M918" s="25">
        <f t="shared" si="2"/>
        <v>8</v>
      </c>
      <c r="N918" s="25">
        <f t="shared" si="3"/>
        <v>2023</v>
      </c>
      <c r="O918" s="27" t="str">
        <f>VLOOKUP(K918,'CA y tablas'!$B$22:$C$28,2,FALSE)</f>
        <v>EUROPEO</v>
      </c>
      <c r="P918" s="28" t="str">
        <f t="shared" si="4"/>
        <v>S2</v>
      </c>
      <c r="Q918" s="29">
        <v>2.0</v>
      </c>
      <c r="R918" s="29" t="str">
        <f t="shared" si="5"/>
        <v>Q2</v>
      </c>
    </row>
    <row r="919" ht="15.75" customHeight="1">
      <c r="A919" s="30">
        <v>45140.0</v>
      </c>
      <c r="B919" s="31">
        <v>3.218014236E9</v>
      </c>
      <c r="C919" s="32" t="s">
        <v>892</v>
      </c>
      <c r="D919" s="31">
        <v>5779284.0</v>
      </c>
      <c r="E919" s="30">
        <v>45146.0</v>
      </c>
      <c r="F919" s="33" t="s">
        <v>76</v>
      </c>
      <c r="G919" s="34">
        <v>4.0</v>
      </c>
      <c r="H919" s="33" t="s">
        <v>81</v>
      </c>
      <c r="I919" s="33" t="s">
        <v>88</v>
      </c>
      <c r="J919" s="33" t="s">
        <v>79</v>
      </c>
      <c r="K919" s="33" t="s">
        <v>84</v>
      </c>
      <c r="L919" s="33" t="str">
        <f t="shared" si="1"/>
        <v>FAMILIAR</v>
      </c>
      <c r="M919" s="33">
        <f t="shared" si="2"/>
        <v>8</v>
      </c>
      <c r="N919" s="33">
        <f t="shared" si="3"/>
        <v>2023</v>
      </c>
      <c r="O919" s="35" t="str">
        <f>VLOOKUP(K919,'CA y tablas'!$B$22:$C$28,2,FALSE)</f>
        <v>EUROPEO</v>
      </c>
      <c r="P919" s="28" t="str">
        <f t="shared" si="4"/>
        <v>S2</v>
      </c>
      <c r="Q919" s="29">
        <v>2.0</v>
      </c>
      <c r="R919" s="29" t="str">
        <f t="shared" si="5"/>
        <v>Q2</v>
      </c>
    </row>
    <row r="920" ht="15.75" customHeight="1">
      <c r="A920" s="22">
        <v>45140.0</v>
      </c>
      <c r="B920" s="23">
        <v>1.386276986E9</v>
      </c>
      <c r="C920" s="24" t="s">
        <v>859</v>
      </c>
      <c r="D920" s="23">
        <v>1.4073414E7</v>
      </c>
      <c r="E920" s="22">
        <v>45146.0</v>
      </c>
      <c r="F920" s="25" t="s">
        <v>69</v>
      </c>
      <c r="G920" s="26">
        <v>1.0</v>
      </c>
      <c r="H920" s="25" t="s">
        <v>81</v>
      </c>
      <c r="I920" s="25" t="s">
        <v>88</v>
      </c>
      <c r="J920" s="25" t="s">
        <v>93</v>
      </c>
      <c r="K920" s="25" t="s">
        <v>84</v>
      </c>
      <c r="L920" s="25" t="str">
        <f t="shared" si="1"/>
        <v>INDIVIDUAL</v>
      </c>
      <c r="M920" s="25">
        <f t="shared" si="2"/>
        <v>8</v>
      </c>
      <c r="N920" s="25">
        <f t="shared" si="3"/>
        <v>2023</v>
      </c>
      <c r="O920" s="27" t="str">
        <f>VLOOKUP(K920,'CA y tablas'!$B$22:$C$28,2,FALSE)</f>
        <v>EUROPEO</v>
      </c>
      <c r="P920" s="28" t="str">
        <f t="shared" si="4"/>
        <v>S2</v>
      </c>
      <c r="Q920" s="29">
        <v>2.0</v>
      </c>
      <c r="R920" s="29" t="str">
        <f t="shared" si="5"/>
        <v>Q2</v>
      </c>
    </row>
    <row r="921" ht="15.75" customHeight="1">
      <c r="A921" s="30">
        <v>45142.0</v>
      </c>
      <c r="B921" s="31">
        <v>1.66685393E9</v>
      </c>
      <c r="C921" s="32" t="s">
        <v>893</v>
      </c>
      <c r="D921" s="31">
        <v>3.0268121E7</v>
      </c>
      <c r="E921" s="30">
        <v>45146.0</v>
      </c>
      <c r="F921" s="33" t="s">
        <v>69</v>
      </c>
      <c r="G921" s="34">
        <v>2.0</v>
      </c>
      <c r="H921" s="33" t="s">
        <v>81</v>
      </c>
      <c r="I921" s="33" t="s">
        <v>71</v>
      </c>
      <c r="J921" s="33" t="s">
        <v>93</v>
      </c>
      <c r="K921" s="33" t="s">
        <v>84</v>
      </c>
      <c r="L921" s="33" t="str">
        <f t="shared" si="1"/>
        <v>FAMILIAR</v>
      </c>
      <c r="M921" s="33">
        <f t="shared" si="2"/>
        <v>8</v>
      </c>
      <c r="N921" s="33">
        <f t="shared" si="3"/>
        <v>2023</v>
      </c>
      <c r="O921" s="35" t="str">
        <f>VLOOKUP(K921,'CA y tablas'!$B$22:$C$28,2,FALSE)</f>
        <v>EUROPEO</v>
      </c>
      <c r="P921" s="28" t="str">
        <f t="shared" si="4"/>
        <v>S2</v>
      </c>
      <c r="Q921" s="29">
        <v>2.0</v>
      </c>
      <c r="R921" s="29" t="str">
        <f t="shared" si="5"/>
        <v>Q2</v>
      </c>
    </row>
    <row r="922" ht="15.75" customHeight="1">
      <c r="A922" s="22">
        <v>45142.0</v>
      </c>
      <c r="B922" s="23">
        <v>6.326904205E9</v>
      </c>
      <c r="C922" s="24" t="s">
        <v>397</v>
      </c>
      <c r="D922" s="23">
        <v>3.170603E7</v>
      </c>
      <c r="E922" s="22">
        <v>45146.0</v>
      </c>
      <c r="F922" s="25" t="s">
        <v>69</v>
      </c>
      <c r="G922" s="26">
        <v>3.0</v>
      </c>
      <c r="H922" s="25" t="s">
        <v>81</v>
      </c>
      <c r="I922" s="25" t="s">
        <v>71</v>
      </c>
      <c r="J922" s="25" t="s">
        <v>93</v>
      </c>
      <c r="K922" s="25" t="s">
        <v>84</v>
      </c>
      <c r="L922" s="25" t="str">
        <f t="shared" si="1"/>
        <v>FAMILIAR</v>
      </c>
      <c r="M922" s="25">
        <f t="shared" si="2"/>
        <v>8</v>
      </c>
      <c r="N922" s="25">
        <f t="shared" si="3"/>
        <v>2023</v>
      </c>
      <c r="O922" s="27" t="str">
        <f>VLOOKUP(K922,'CA y tablas'!$B$22:$C$28,2,FALSE)</f>
        <v>EUROPEO</v>
      </c>
      <c r="P922" s="28" t="str">
        <f t="shared" si="4"/>
        <v>S2</v>
      </c>
      <c r="Q922" s="29">
        <v>2.0</v>
      </c>
      <c r="R922" s="29" t="str">
        <f t="shared" si="5"/>
        <v>Q2</v>
      </c>
    </row>
    <row r="923" ht="15.75" customHeight="1">
      <c r="A923" s="30">
        <v>45142.0</v>
      </c>
      <c r="B923" s="31">
        <v>3.612086822E9</v>
      </c>
      <c r="C923" s="32" t="s">
        <v>397</v>
      </c>
      <c r="D923" s="31">
        <v>3.170603E7</v>
      </c>
      <c r="E923" s="30">
        <v>45146.0</v>
      </c>
      <c r="F923" s="33" t="s">
        <v>69</v>
      </c>
      <c r="G923" s="34">
        <v>5.0</v>
      </c>
      <c r="H923" s="33" t="s">
        <v>92</v>
      </c>
      <c r="I923" s="33" t="s">
        <v>71</v>
      </c>
      <c r="J923" s="33" t="s">
        <v>93</v>
      </c>
      <c r="K923" s="33" t="s">
        <v>84</v>
      </c>
      <c r="L923" s="33" t="str">
        <f t="shared" si="1"/>
        <v>FAMILIAR</v>
      </c>
      <c r="M923" s="33">
        <f t="shared" si="2"/>
        <v>8</v>
      </c>
      <c r="N923" s="33">
        <f t="shared" si="3"/>
        <v>2023</v>
      </c>
      <c r="O923" s="35" t="str">
        <f>VLOOKUP(K923,'CA y tablas'!$B$22:$C$28,2,FALSE)</f>
        <v>EUROPEO</v>
      </c>
      <c r="P923" s="28" t="str">
        <f t="shared" si="4"/>
        <v>S2</v>
      </c>
      <c r="Q923" s="29">
        <v>2.0</v>
      </c>
      <c r="R923" s="29" t="str">
        <f t="shared" si="5"/>
        <v>Q2</v>
      </c>
    </row>
    <row r="924" ht="15.75" customHeight="1">
      <c r="A924" s="22">
        <v>45142.0</v>
      </c>
      <c r="B924" s="23">
        <v>1.40725767E9</v>
      </c>
      <c r="C924" s="24" t="s">
        <v>397</v>
      </c>
      <c r="D924" s="23">
        <v>3.170603E7</v>
      </c>
      <c r="E924" s="22">
        <v>45146.0</v>
      </c>
      <c r="F924" s="25" t="s">
        <v>69</v>
      </c>
      <c r="G924" s="26">
        <v>1.0</v>
      </c>
      <c r="H924" s="25" t="s">
        <v>92</v>
      </c>
      <c r="I924" s="25" t="s">
        <v>71</v>
      </c>
      <c r="J924" s="25" t="s">
        <v>93</v>
      </c>
      <c r="K924" s="25" t="s">
        <v>84</v>
      </c>
      <c r="L924" s="25" t="str">
        <f t="shared" si="1"/>
        <v>INDIVIDUAL</v>
      </c>
      <c r="M924" s="25">
        <f t="shared" si="2"/>
        <v>8</v>
      </c>
      <c r="N924" s="25">
        <f t="shared" si="3"/>
        <v>2023</v>
      </c>
      <c r="O924" s="27" t="str">
        <f>VLOOKUP(K924,'CA y tablas'!$B$22:$C$28,2,FALSE)</f>
        <v>EUROPEO</v>
      </c>
      <c r="P924" s="28" t="str">
        <f t="shared" si="4"/>
        <v>S2</v>
      </c>
      <c r="Q924" s="29">
        <v>2.0</v>
      </c>
      <c r="R924" s="29" t="str">
        <f t="shared" si="5"/>
        <v>Q2</v>
      </c>
    </row>
    <row r="925" ht="15.75" customHeight="1">
      <c r="A925" s="30">
        <v>45142.0</v>
      </c>
      <c r="B925" s="31">
        <v>1.666834304E9</v>
      </c>
      <c r="C925" s="32" t="s">
        <v>894</v>
      </c>
      <c r="D925" s="31">
        <v>3.8472257E7</v>
      </c>
      <c r="E925" s="30">
        <v>45146.0</v>
      </c>
      <c r="F925" s="33" t="s">
        <v>69</v>
      </c>
      <c r="G925" s="34">
        <v>6.0</v>
      </c>
      <c r="H925" s="33" t="s">
        <v>92</v>
      </c>
      <c r="I925" s="33" t="s">
        <v>71</v>
      </c>
      <c r="J925" s="33" t="s">
        <v>93</v>
      </c>
      <c r="K925" s="33" t="s">
        <v>84</v>
      </c>
      <c r="L925" s="33" t="str">
        <f t="shared" si="1"/>
        <v>FAMILIAR</v>
      </c>
      <c r="M925" s="33">
        <f t="shared" si="2"/>
        <v>8</v>
      </c>
      <c r="N925" s="33">
        <f t="shared" si="3"/>
        <v>2023</v>
      </c>
      <c r="O925" s="35" t="str">
        <f>VLOOKUP(K925,'CA y tablas'!$B$22:$C$28,2,FALSE)</f>
        <v>EUROPEO</v>
      </c>
      <c r="P925" s="28" t="str">
        <f t="shared" si="4"/>
        <v>S2</v>
      </c>
      <c r="Q925" s="29">
        <v>2.0</v>
      </c>
      <c r="R925" s="29" t="str">
        <f t="shared" si="5"/>
        <v>Q2</v>
      </c>
    </row>
    <row r="926" ht="15.75" customHeight="1">
      <c r="A926" s="22">
        <v>45146.0</v>
      </c>
      <c r="B926" s="23">
        <v>3.848345244E9</v>
      </c>
      <c r="C926" s="24" t="s">
        <v>895</v>
      </c>
      <c r="D926" s="23">
        <v>2.0977212E7</v>
      </c>
      <c r="E926" s="22">
        <v>45146.0</v>
      </c>
      <c r="F926" s="25" t="s">
        <v>69</v>
      </c>
      <c r="G926" s="26">
        <v>7.0</v>
      </c>
      <c r="H926" s="25" t="s">
        <v>92</v>
      </c>
      <c r="I926" s="25" t="s">
        <v>71</v>
      </c>
      <c r="J926" s="25" t="s">
        <v>93</v>
      </c>
      <c r="K926" s="25" t="s">
        <v>84</v>
      </c>
      <c r="L926" s="25" t="str">
        <f t="shared" si="1"/>
        <v>FAMILIAR</v>
      </c>
      <c r="M926" s="25">
        <f t="shared" si="2"/>
        <v>8</v>
      </c>
      <c r="N926" s="25">
        <f t="shared" si="3"/>
        <v>2023</v>
      </c>
      <c r="O926" s="27" t="str">
        <f>VLOOKUP(K926,'CA y tablas'!$B$22:$C$28,2,FALSE)</f>
        <v>EUROPEO</v>
      </c>
      <c r="P926" s="28" t="str">
        <f t="shared" si="4"/>
        <v>S2</v>
      </c>
      <c r="Q926" s="29">
        <v>2.0</v>
      </c>
      <c r="R926" s="29" t="str">
        <f t="shared" si="5"/>
        <v>Q2</v>
      </c>
    </row>
    <row r="927" ht="15.75" customHeight="1">
      <c r="A927" s="30">
        <v>45146.0</v>
      </c>
      <c r="B927" s="31">
        <v>3.12202359E9</v>
      </c>
      <c r="C927" s="32" t="s">
        <v>896</v>
      </c>
      <c r="D927" s="31">
        <v>4.4186823E7</v>
      </c>
      <c r="E927" s="30">
        <v>45146.0</v>
      </c>
      <c r="F927" s="33" t="s">
        <v>69</v>
      </c>
      <c r="G927" s="34">
        <v>8.0</v>
      </c>
      <c r="H927" s="33" t="s">
        <v>92</v>
      </c>
      <c r="I927" s="33" t="s">
        <v>71</v>
      </c>
      <c r="J927" s="33" t="s">
        <v>93</v>
      </c>
      <c r="K927" s="33" t="s">
        <v>84</v>
      </c>
      <c r="L927" s="33" t="str">
        <f t="shared" si="1"/>
        <v>FAMILIAR</v>
      </c>
      <c r="M927" s="33">
        <f t="shared" si="2"/>
        <v>8</v>
      </c>
      <c r="N927" s="33">
        <f t="shared" si="3"/>
        <v>2023</v>
      </c>
      <c r="O927" s="35" t="str">
        <f>VLOOKUP(K927,'CA y tablas'!$B$22:$C$28,2,FALSE)</f>
        <v>EUROPEO</v>
      </c>
      <c r="P927" s="28" t="str">
        <f t="shared" si="4"/>
        <v>S2</v>
      </c>
      <c r="Q927" s="29">
        <v>2.0</v>
      </c>
      <c r="R927" s="29" t="str">
        <f t="shared" si="5"/>
        <v>Q2</v>
      </c>
    </row>
    <row r="928" ht="15.75" customHeight="1">
      <c r="A928" s="22">
        <v>45146.0</v>
      </c>
      <c r="B928" s="23">
        <v>1.777217934E9</v>
      </c>
      <c r="C928" s="24" t="s">
        <v>897</v>
      </c>
      <c r="D928" s="23">
        <v>3.8184582E7</v>
      </c>
      <c r="E928" s="22">
        <v>45146.0</v>
      </c>
      <c r="F928" s="25" t="s">
        <v>76</v>
      </c>
      <c r="G928" s="26">
        <v>8.0</v>
      </c>
      <c r="H928" s="25" t="s">
        <v>92</v>
      </c>
      <c r="I928" s="25" t="s">
        <v>71</v>
      </c>
      <c r="J928" s="25" t="s">
        <v>93</v>
      </c>
      <c r="K928" s="25" t="s">
        <v>84</v>
      </c>
      <c r="L928" s="25" t="str">
        <f t="shared" si="1"/>
        <v>FAMILIAR</v>
      </c>
      <c r="M928" s="25">
        <f t="shared" si="2"/>
        <v>8</v>
      </c>
      <c r="N928" s="25">
        <f t="shared" si="3"/>
        <v>2023</v>
      </c>
      <c r="O928" s="27" t="str">
        <f>VLOOKUP(K928,'CA y tablas'!$B$22:$C$28,2,FALSE)</f>
        <v>EUROPEO</v>
      </c>
      <c r="P928" s="28" t="str">
        <f t="shared" si="4"/>
        <v>S2</v>
      </c>
      <c r="Q928" s="29">
        <v>2.0</v>
      </c>
      <c r="R928" s="29" t="str">
        <f t="shared" si="5"/>
        <v>Q2</v>
      </c>
    </row>
    <row r="929" ht="15.75" customHeight="1">
      <c r="A929" s="30">
        <v>45125.0</v>
      </c>
      <c r="B929" s="31">
        <v>1.341141524E9</v>
      </c>
      <c r="C929" s="32" t="s">
        <v>898</v>
      </c>
      <c r="D929" s="31">
        <v>2.4059858E7</v>
      </c>
      <c r="E929" s="30">
        <v>45147.0</v>
      </c>
      <c r="F929" s="33" t="s">
        <v>69</v>
      </c>
      <c r="G929" s="34">
        <v>1.0</v>
      </c>
      <c r="H929" s="33" t="s">
        <v>92</v>
      </c>
      <c r="I929" s="33" t="s">
        <v>71</v>
      </c>
      <c r="J929" s="33" t="s">
        <v>93</v>
      </c>
      <c r="K929" s="33" t="s">
        <v>73</v>
      </c>
      <c r="L929" s="33" t="str">
        <f t="shared" si="1"/>
        <v>INDIVIDUAL</v>
      </c>
      <c r="M929" s="33">
        <f t="shared" si="2"/>
        <v>8</v>
      </c>
      <c r="N929" s="33">
        <f t="shared" si="3"/>
        <v>2023</v>
      </c>
      <c r="O929" s="35" t="str">
        <f>VLOOKUP(K929,'CA y tablas'!$B$22:$C$28,2,FALSE)</f>
        <v>AMERICANO</v>
      </c>
      <c r="P929" s="28" t="str">
        <f t="shared" si="4"/>
        <v>S2</v>
      </c>
      <c r="Q929" s="29">
        <v>2.0</v>
      </c>
      <c r="R929" s="29" t="str">
        <f t="shared" si="5"/>
        <v>Q2</v>
      </c>
    </row>
    <row r="930" ht="15.75" customHeight="1">
      <c r="A930" s="22">
        <v>45125.0</v>
      </c>
      <c r="B930" s="23">
        <v>6.274058276E9</v>
      </c>
      <c r="C930" s="24" t="s">
        <v>898</v>
      </c>
      <c r="D930" s="23">
        <v>2.4059858E7</v>
      </c>
      <c r="E930" s="22">
        <v>45147.0</v>
      </c>
      <c r="F930" s="25" t="s">
        <v>76</v>
      </c>
      <c r="G930" s="26">
        <v>7.0</v>
      </c>
      <c r="H930" s="25" t="s">
        <v>92</v>
      </c>
      <c r="I930" s="25" t="s">
        <v>71</v>
      </c>
      <c r="J930" s="25" t="s">
        <v>98</v>
      </c>
      <c r="K930" s="25" t="s">
        <v>73</v>
      </c>
      <c r="L930" s="25" t="str">
        <f t="shared" si="1"/>
        <v>FAMILIAR</v>
      </c>
      <c r="M930" s="25">
        <f t="shared" si="2"/>
        <v>8</v>
      </c>
      <c r="N930" s="25">
        <f t="shared" si="3"/>
        <v>2023</v>
      </c>
      <c r="O930" s="27" t="str">
        <f>VLOOKUP(K930,'CA y tablas'!$B$22:$C$28,2,FALSE)</f>
        <v>AMERICANO</v>
      </c>
      <c r="P930" s="28" t="str">
        <f t="shared" si="4"/>
        <v>S2</v>
      </c>
      <c r="Q930" s="29">
        <v>2.0</v>
      </c>
      <c r="R930" s="29" t="str">
        <f t="shared" si="5"/>
        <v>Q2</v>
      </c>
    </row>
    <row r="931" ht="15.75" customHeight="1">
      <c r="A931" s="30">
        <v>45125.0</v>
      </c>
      <c r="B931" s="31">
        <v>1.529757386E9</v>
      </c>
      <c r="C931" s="32" t="s">
        <v>899</v>
      </c>
      <c r="D931" s="31">
        <v>2.0206122E7</v>
      </c>
      <c r="E931" s="30">
        <v>45147.0</v>
      </c>
      <c r="F931" s="33" t="s">
        <v>76</v>
      </c>
      <c r="G931" s="34">
        <v>1.0</v>
      </c>
      <c r="H931" s="33" t="s">
        <v>70</v>
      </c>
      <c r="I931" s="33" t="s">
        <v>71</v>
      </c>
      <c r="J931" s="33" t="s">
        <v>98</v>
      </c>
      <c r="K931" s="33" t="s">
        <v>73</v>
      </c>
      <c r="L931" s="33" t="str">
        <f t="shared" si="1"/>
        <v>INDIVIDUAL</v>
      </c>
      <c r="M931" s="33">
        <f t="shared" si="2"/>
        <v>8</v>
      </c>
      <c r="N931" s="33">
        <f t="shared" si="3"/>
        <v>2023</v>
      </c>
      <c r="O931" s="35" t="str">
        <f>VLOOKUP(K931,'CA y tablas'!$B$22:$C$28,2,FALSE)</f>
        <v>AMERICANO</v>
      </c>
      <c r="P931" s="28" t="str">
        <f t="shared" si="4"/>
        <v>S2</v>
      </c>
      <c r="Q931" s="29">
        <v>2.0</v>
      </c>
      <c r="R931" s="29" t="str">
        <f t="shared" si="5"/>
        <v>Q2</v>
      </c>
    </row>
    <row r="932" ht="15.75" customHeight="1">
      <c r="A932" s="22">
        <v>45135.0</v>
      </c>
      <c r="B932" s="23">
        <v>9.612711312E9</v>
      </c>
      <c r="C932" s="24" t="s">
        <v>900</v>
      </c>
      <c r="D932" s="23">
        <v>2.836753E7</v>
      </c>
      <c r="E932" s="22">
        <v>45147.0</v>
      </c>
      <c r="F932" s="25" t="s">
        <v>76</v>
      </c>
      <c r="G932" s="26">
        <v>2.0</v>
      </c>
      <c r="H932" s="25" t="s">
        <v>70</v>
      </c>
      <c r="I932" s="25" t="s">
        <v>77</v>
      </c>
      <c r="J932" s="25" t="s">
        <v>98</v>
      </c>
      <c r="K932" s="25" t="s">
        <v>73</v>
      </c>
      <c r="L932" s="25" t="str">
        <f t="shared" si="1"/>
        <v>FAMILIAR</v>
      </c>
      <c r="M932" s="25">
        <f t="shared" si="2"/>
        <v>8</v>
      </c>
      <c r="N932" s="25">
        <f t="shared" si="3"/>
        <v>2023</v>
      </c>
      <c r="O932" s="27" t="str">
        <f>VLOOKUP(K932,'CA y tablas'!$B$22:$C$28,2,FALSE)</f>
        <v>AMERICANO</v>
      </c>
      <c r="P932" s="28" t="str">
        <f t="shared" si="4"/>
        <v>S2</v>
      </c>
      <c r="Q932" s="29">
        <v>2.0</v>
      </c>
      <c r="R932" s="29" t="str">
        <f t="shared" si="5"/>
        <v>Q2</v>
      </c>
    </row>
    <row r="933" ht="15.75" customHeight="1">
      <c r="A933" s="30">
        <v>45139.0</v>
      </c>
      <c r="B933" s="31">
        <v>3.633925551E9</v>
      </c>
      <c r="C933" s="32" t="s">
        <v>901</v>
      </c>
      <c r="D933" s="31">
        <v>4.1817295E7</v>
      </c>
      <c r="E933" s="30">
        <v>45147.0</v>
      </c>
      <c r="F933" s="33" t="s">
        <v>76</v>
      </c>
      <c r="G933" s="34">
        <v>1.0</v>
      </c>
      <c r="H933" s="33" t="s">
        <v>70</v>
      </c>
      <c r="I933" s="33" t="s">
        <v>77</v>
      </c>
      <c r="J933" s="33" t="s">
        <v>98</v>
      </c>
      <c r="K933" s="33" t="s">
        <v>73</v>
      </c>
      <c r="L933" s="33" t="str">
        <f t="shared" si="1"/>
        <v>INDIVIDUAL</v>
      </c>
      <c r="M933" s="33">
        <f t="shared" si="2"/>
        <v>8</v>
      </c>
      <c r="N933" s="33">
        <f t="shared" si="3"/>
        <v>2023</v>
      </c>
      <c r="O933" s="35" t="str">
        <f>VLOOKUP(K933,'CA y tablas'!$B$22:$C$28,2,FALSE)</f>
        <v>AMERICANO</v>
      </c>
      <c r="P933" s="28" t="str">
        <f t="shared" si="4"/>
        <v>S2</v>
      </c>
      <c r="Q933" s="29">
        <v>2.0</v>
      </c>
      <c r="R933" s="29" t="str">
        <f t="shared" si="5"/>
        <v>Q2</v>
      </c>
    </row>
    <row r="934" ht="15.75" customHeight="1">
      <c r="A934" s="22">
        <v>45140.0</v>
      </c>
      <c r="B934" s="23">
        <v>1.43684772E9</v>
      </c>
      <c r="C934" s="24" t="s">
        <v>902</v>
      </c>
      <c r="D934" s="23">
        <v>2.999734E7</v>
      </c>
      <c r="E934" s="22">
        <v>45147.0</v>
      </c>
      <c r="F934" s="25" t="s">
        <v>69</v>
      </c>
      <c r="G934" s="26">
        <v>2.0</v>
      </c>
      <c r="H934" s="25" t="s">
        <v>70</v>
      </c>
      <c r="I934" s="25" t="s">
        <v>77</v>
      </c>
      <c r="J934" s="25" t="s">
        <v>98</v>
      </c>
      <c r="K934" s="25" t="s">
        <v>73</v>
      </c>
      <c r="L934" s="25" t="str">
        <f t="shared" si="1"/>
        <v>FAMILIAR</v>
      </c>
      <c r="M934" s="25">
        <f t="shared" si="2"/>
        <v>8</v>
      </c>
      <c r="N934" s="25">
        <f t="shared" si="3"/>
        <v>2023</v>
      </c>
      <c r="O934" s="27" t="str">
        <f>VLOOKUP(K934,'CA y tablas'!$B$22:$C$28,2,FALSE)</f>
        <v>AMERICANO</v>
      </c>
      <c r="P934" s="28" t="str">
        <f t="shared" si="4"/>
        <v>S2</v>
      </c>
      <c r="Q934" s="29">
        <v>2.0</v>
      </c>
      <c r="R934" s="29" t="str">
        <f t="shared" si="5"/>
        <v>Q2</v>
      </c>
    </row>
    <row r="935" ht="15.75" customHeight="1">
      <c r="A935" s="30">
        <v>45146.0</v>
      </c>
      <c r="B935" s="31">
        <v>9.859039676E9</v>
      </c>
      <c r="C935" s="32" t="s">
        <v>903</v>
      </c>
      <c r="D935" s="31">
        <v>2.4056938E7</v>
      </c>
      <c r="E935" s="30">
        <v>45147.0</v>
      </c>
      <c r="F935" s="33" t="s">
        <v>69</v>
      </c>
      <c r="G935" s="34">
        <v>2.0</v>
      </c>
      <c r="H935" s="33" t="s">
        <v>70</v>
      </c>
      <c r="I935" s="33" t="s">
        <v>77</v>
      </c>
      <c r="J935" s="33" t="s">
        <v>98</v>
      </c>
      <c r="K935" s="33" t="s">
        <v>73</v>
      </c>
      <c r="L935" s="33" t="str">
        <f t="shared" si="1"/>
        <v>FAMILIAR</v>
      </c>
      <c r="M935" s="33">
        <f t="shared" si="2"/>
        <v>8</v>
      </c>
      <c r="N935" s="33">
        <f t="shared" si="3"/>
        <v>2023</v>
      </c>
      <c r="O935" s="35" t="str">
        <f>VLOOKUP(K935,'CA y tablas'!$B$22:$C$28,2,FALSE)</f>
        <v>AMERICANO</v>
      </c>
      <c r="P935" s="28" t="str">
        <f t="shared" si="4"/>
        <v>S2</v>
      </c>
      <c r="Q935" s="29">
        <v>2.0</v>
      </c>
      <c r="R935" s="29" t="str">
        <f t="shared" si="5"/>
        <v>Q2</v>
      </c>
    </row>
    <row r="936" ht="15.75" customHeight="1">
      <c r="A936" s="22">
        <v>45146.0</v>
      </c>
      <c r="B936" s="23">
        <v>2.543827156E9</v>
      </c>
      <c r="C936" s="24" t="s">
        <v>904</v>
      </c>
      <c r="D936" s="23">
        <v>2.6412607E7</v>
      </c>
      <c r="E936" s="22">
        <v>45148.0</v>
      </c>
      <c r="F936" s="25" t="s">
        <v>76</v>
      </c>
      <c r="G936" s="26">
        <v>2.0</v>
      </c>
      <c r="H936" s="25" t="s">
        <v>70</v>
      </c>
      <c r="I936" s="25" t="s">
        <v>77</v>
      </c>
      <c r="J936" s="25" t="s">
        <v>98</v>
      </c>
      <c r="K936" s="25" t="s">
        <v>73</v>
      </c>
      <c r="L936" s="25" t="str">
        <f t="shared" si="1"/>
        <v>FAMILIAR</v>
      </c>
      <c r="M936" s="25">
        <f t="shared" si="2"/>
        <v>8</v>
      </c>
      <c r="N936" s="25">
        <f t="shared" si="3"/>
        <v>2023</v>
      </c>
      <c r="O936" s="27" t="str">
        <f>VLOOKUP(K936,'CA y tablas'!$B$22:$C$28,2,FALSE)</f>
        <v>AMERICANO</v>
      </c>
      <c r="P936" s="28" t="str">
        <f t="shared" si="4"/>
        <v>S2</v>
      </c>
      <c r="Q936" s="29">
        <v>2.0</v>
      </c>
      <c r="R936" s="29" t="str">
        <f t="shared" si="5"/>
        <v>Q2</v>
      </c>
    </row>
    <row r="937" ht="15.75" customHeight="1">
      <c r="A937" s="30">
        <v>45146.0</v>
      </c>
      <c r="B937" s="31">
        <v>3.122022676E9</v>
      </c>
      <c r="C937" s="32" t="s">
        <v>905</v>
      </c>
      <c r="D937" s="31">
        <v>1.0910683E7</v>
      </c>
      <c r="E937" s="30">
        <v>45148.0</v>
      </c>
      <c r="F937" s="33" t="s">
        <v>69</v>
      </c>
      <c r="G937" s="34">
        <v>2.0</v>
      </c>
      <c r="H937" s="33" t="s">
        <v>70</v>
      </c>
      <c r="I937" s="33" t="s">
        <v>77</v>
      </c>
      <c r="J937" s="33" t="s">
        <v>98</v>
      </c>
      <c r="K937" s="33" t="s">
        <v>73</v>
      </c>
      <c r="L937" s="33" t="str">
        <f t="shared" si="1"/>
        <v>FAMILIAR</v>
      </c>
      <c r="M937" s="33">
        <f t="shared" si="2"/>
        <v>8</v>
      </c>
      <c r="N937" s="33">
        <f t="shared" si="3"/>
        <v>2023</v>
      </c>
      <c r="O937" s="35" t="str">
        <f>VLOOKUP(K937,'CA y tablas'!$B$22:$C$28,2,FALSE)</f>
        <v>AMERICANO</v>
      </c>
      <c r="P937" s="28" t="str">
        <f t="shared" si="4"/>
        <v>S2</v>
      </c>
      <c r="Q937" s="29">
        <v>2.0</v>
      </c>
      <c r="R937" s="29" t="str">
        <f t="shared" si="5"/>
        <v>Q2</v>
      </c>
    </row>
    <row r="938" ht="15.75" customHeight="1">
      <c r="A938" s="22">
        <v>45147.0</v>
      </c>
      <c r="B938" s="23">
        <v>1.455830924E9</v>
      </c>
      <c r="C938" s="24" t="s">
        <v>906</v>
      </c>
      <c r="D938" s="23">
        <v>2.7210319E7</v>
      </c>
      <c r="E938" s="22">
        <v>45148.0</v>
      </c>
      <c r="F938" s="25" t="s">
        <v>76</v>
      </c>
      <c r="G938" s="26">
        <v>2.0</v>
      </c>
      <c r="H938" s="25" t="s">
        <v>70</v>
      </c>
      <c r="I938" s="25" t="s">
        <v>77</v>
      </c>
      <c r="J938" s="25" t="s">
        <v>98</v>
      </c>
      <c r="K938" s="25" t="s">
        <v>73</v>
      </c>
      <c r="L938" s="25" t="str">
        <f t="shared" si="1"/>
        <v>FAMILIAR</v>
      </c>
      <c r="M938" s="25">
        <f t="shared" si="2"/>
        <v>8</v>
      </c>
      <c r="N938" s="25">
        <f t="shared" si="3"/>
        <v>2023</v>
      </c>
      <c r="O938" s="27" t="str">
        <f>VLOOKUP(K938,'CA y tablas'!$B$22:$C$28,2,FALSE)</f>
        <v>AMERICANO</v>
      </c>
      <c r="P938" s="28" t="str">
        <f t="shared" si="4"/>
        <v>S2</v>
      </c>
      <c r="Q938" s="29">
        <v>2.0</v>
      </c>
      <c r="R938" s="29" t="str">
        <f t="shared" si="5"/>
        <v>Q2</v>
      </c>
    </row>
    <row r="939" ht="15.75" customHeight="1">
      <c r="A939" s="30">
        <v>45147.0</v>
      </c>
      <c r="B939" s="31">
        <v>5.302724501E9</v>
      </c>
      <c r="C939" s="32" t="s">
        <v>907</v>
      </c>
      <c r="D939" s="31">
        <v>8285809.0</v>
      </c>
      <c r="E939" s="30">
        <v>45148.0</v>
      </c>
      <c r="F939" s="33" t="s">
        <v>69</v>
      </c>
      <c r="G939" s="34">
        <v>2.0</v>
      </c>
      <c r="H939" s="33" t="s">
        <v>70</v>
      </c>
      <c r="I939" s="33" t="s">
        <v>77</v>
      </c>
      <c r="J939" s="33" t="s">
        <v>98</v>
      </c>
      <c r="K939" s="33" t="s">
        <v>73</v>
      </c>
      <c r="L939" s="33" t="str">
        <f t="shared" si="1"/>
        <v>FAMILIAR</v>
      </c>
      <c r="M939" s="33">
        <f t="shared" si="2"/>
        <v>8</v>
      </c>
      <c r="N939" s="33">
        <f t="shared" si="3"/>
        <v>2023</v>
      </c>
      <c r="O939" s="35" t="str">
        <f>VLOOKUP(K939,'CA y tablas'!$B$22:$C$28,2,FALSE)</f>
        <v>AMERICANO</v>
      </c>
      <c r="P939" s="28" t="str">
        <f t="shared" si="4"/>
        <v>S2</v>
      </c>
      <c r="Q939" s="29">
        <v>2.0</v>
      </c>
      <c r="R939" s="29" t="str">
        <f t="shared" si="5"/>
        <v>Q2</v>
      </c>
    </row>
    <row r="940" ht="15.75" customHeight="1">
      <c r="A940" s="22">
        <v>45148.0</v>
      </c>
      <c r="B940" s="23">
        <v>5.589580415E9</v>
      </c>
      <c r="C940" s="24" t="s">
        <v>908</v>
      </c>
      <c r="D940" s="23">
        <v>3.4132961E7</v>
      </c>
      <c r="E940" s="22">
        <v>45148.0</v>
      </c>
      <c r="F940" s="25" t="s">
        <v>76</v>
      </c>
      <c r="G940" s="26">
        <v>1.0</v>
      </c>
      <c r="H940" s="25" t="s">
        <v>70</v>
      </c>
      <c r="I940" s="25" t="s">
        <v>77</v>
      </c>
      <c r="J940" s="25" t="s">
        <v>79</v>
      </c>
      <c r="K940" s="25" t="s">
        <v>73</v>
      </c>
      <c r="L940" s="25" t="str">
        <f t="shared" si="1"/>
        <v>INDIVIDUAL</v>
      </c>
      <c r="M940" s="25">
        <f t="shared" si="2"/>
        <v>8</v>
      </c>
      <c r="N940" s="25">
        <f t="shared" si="3"/>
        <v>2023</v>
      </c>
      <c r="O940" s="27" t="str">
        <f>VLOOKUP(K940,'CA y tablas'!$B$22:$C$28,2,FALSE)</f>
        <v>AMERICANO</v>
      </c>
      <c r="P940" s="28" t="str">
        <f t="shared" si="4"/>
        <v>S2</v>
      </c>
      <c r="Q940" s="29">
        <v>2.0</v>
      </c>
      <c r="R940" s="29" t="str">
        <f t="shared" si="5"/>
        <v>Q2</v>
      </c>
    </row>
    <row r="941" ht="15.75" customHeight="1">
      <c r="A941" s="30">
        <v>45125.0</v>
      </c>
      <c r="B941" s="31">
        <v>2.486638781E9</v>
      </c>
      <c r="C941" s="32" t="s">
        <v>909</v>
      </c>
      <c r="D941" s="31">
        <v>1.3338778E7</v>
      </c>
      <c r="E941" s="30">
        <v>45149.0</v>
      </c>
      <c r="F941" s="33" t="s">
        <v>69</v>
      </c>
      <c r="G941" s="34">
        <v>3.0</v>
      </c>
      <c r="H941" s="33" t="s">
        <v>70</v>
      </c>
      <c r="I941" s="33" t="s">
        <v>77</v>
      </c>
      <c r="J941" s="33" t="s">
        <v>79</v>
      </c>
      <c r="K941" s="33" t="s">
        <v>73</v>
      </c>
      <c r="L941" s="33" t="str">
        <f t="shared" si="1"/>
        <v>FAMILIAR</v>
      </c>
      <c r="M941" s="33">
        <f t="shared" si="2"/>
        <v>8</v>
      </c>
      <c r="N941" s="33">
        <f t="shared" si="3"/>
        <v>2023</v>
      </c>
      <c r="O941" s="35" t="str">
        <f>VLOOKUP(K941,'CA y tablas'!$B$22:$C$28,2,FALSE)</f>
        <v>AMERICANO</v>
      </c>
      <c r="P941" s="28" t="str">
        <f t="shared" si="4"/>
        <v>S2</v>
      </c>
      <c r="Q941" s="29">
        <v>2.0</v>
      </c>
      <c r="R941" s="29" t="str">
        <f t="shared" si="5"/>
        <v>Q2</v>
      </c>
    </row>
    <row r="942" ht="15.75" customHeight="1">
      <c r="A942" s="22">
        <v>45146.0</v>
      </c>
      <c r="B942" s="23">
        <v>1.324080704E9</v>
      </c>
      <c r="C942" s="24" t="s">
        <v>910</v>
      </c>
      <c r="D942" s="23">
        <v>3.2459705E7</v>
      </c>
      <c r="E942" s="22">
        <v>45149.0</v>
      </c>
      <c r="F942" s="25" t="s">
        <v>69</v>
      </c>
      <c r="G942" s="26">
        <v>3.0</v>
      </c>
      <c r="H942" s="25" t="s">
        <v>70</v>
      </c>
      <c r="I942" s="25" t="s">
        <v>77</v>
      </c>
      <c r="J942" s="25" t="s">
        <v>79</v>
      </c>
      <c r="K942" s="25" t="s">
        <v>73</v>
      </c>
      <c r="L942" s="25" t="str">
        <f t="shared" si="1"/>
        <v>FAMILIAR</v>
      </c>
      <c r="M942" s="25">
        <f t="shared" si="2"/>
        <v>8</v>
      </c>
      <c r="N942" s="25">
        <f t="shared" si="3"/>
        <v>2023</v>
      </c>
      <c r="O942" s="27" t="str">
        <f>VLOOKUP(K942,'CA y tablas'!$B$22:$C$28,2,FALSE)</f>
        <v>AMERICANO</v>
      </c>
      <c r="P942" s="28" t="str">
        <f t="shared" si="4"/>
        <v>S2</v>
      </c>
      <c r="Q942" s="29">
        <v>2.0</v>
      </c>
      <c r="R942" s="29" t="str">
        <f t="shared" si="5"/>
        <v>Q2</v>
      </c>
    </row>
    <row r="943" ht="15.75" customHeight="1">
      <c r="A943" s="30">
        <v>45146.0</v>
      </c>
      <c r="B943" s="31">
        <v>1.32417838E9</v>
      </c>
      <c r="C943" s="32" t="s">
        <v>911</v>
      </c>
      <c r="D943" s="31">
        <v>1.8203032E7</v>
      </c>
      <c r="E943" s="30">
        <v>45149.0</v>
      </c>
      <c r="F943" s="33" t="s">
        <v>69</v>
      </c>
      <c r="G943" s="34">
        <v>1.0</v>
      </c>
      <c r="H943" s="33" t="s">
        <v>70</v>
      </c>
      <c r="I943" s="33" t="s">
        <v>77</v>
      </c>
      <c r="J943" s="33" t="s">
        <v>79</v>
      </c>
      <c r="K943" s="33" t="s">
        <v>107</v>
      </c>
      <c r="L943" s="33" t="str">
        <f t="shared" si="1"/>
        <v>INDIVIDUAL</v>
      </c>
      <c r="M943" s="33">
        <f t="shared" si="2"/>
        <v>8</v>
      </c>
      <c r="N943" s="33">
        <f t="shared" si="3"/>
        <v>2023</v>
      </c>
      <c r="O943" s="35" t="str">
        <f>VLOOKUP(K943,'CA y tablas'!$B$22:$C$28,2,FALSE)</f>
        <v>AMERICANO</v>
      </c>
      <c r="P943" s="28" t="str">
        <f t="shared" si="4"/>
        <v>S2</v>
      </c>
      <c r="Q943" s="29">
        <v>2.0</v>
      </c>
      <c r="R943" s="29" t="str">
        <f t="shared" si="5"/>
        <v>Q2</v>
      </c>
    </row>
    <row r="944" ht="15.75" customHeight="1">
      <c r="A944" s="22">
        <v>45147.0</v>
      </c>
      <c r="B944" s="23">
        <v>1.916119962E9</v>
      </c>
      <c r="C944" s="24" t="s">
        <v>912</v>
      </c>
      <c r="D944" s="23">
        <v>4.1126172E7</v>
      </c>
      <c r="E944" s="22">
        <v>45149.0</v>
      </c>
      <c r="F944" s="25" t="s">
        <v>69</v>
      </c>
      <c r="G944" s="26">
        <v>1.0</v>
      </c>
      <c r="H944" s="25" t="s">
        <v>70</v>
      </c>
      <c r="I944" s="25" t="s">
        <v>77</v>
      </c>
      <c r="J944" s="25" t="s">
        <v>79</v>
      </c>
      <c r="K944" s="25" t="s">
        <v>107</v>
      </c>
      <c r="L944" s="25" t="str">
        <f t="shared" si="1"/>
        <v>INDIVIDUAL</v>
      </c>
      <c r="M944" s="25">
        <f t="shared" si="2"/>
        <v>8</v>
      </c>
      <c r="N944" s="25">
        <f t="shared" si="3"/>
        <v>2023</v>
      </c>
      <c r="O944" s="27" t="str">
        <f>VLOOKUP(K944,'CA y tablas'!$B$22:$C$28,2,FALSE)</f>
        <v>AMERICANO</v>
      </c>
      <c r="P944" s="28" t="str">
        <f t="shared" si="4"/>
        <v>S2</v>
      </c>
      <c r="Q944" s="29">
        <v>2.0</v>
      </c>
      <c r="R944" s="29" t="str">
        <f t="shared" si="5"/>
        <v>Q2</v>
      </c>
    </row>
    <row r="945" ht="15.75" customHeight="1">
      <c r="A945" s="30">
        <v>45147.0</v>
      </c>
      <c r="B945" s="31">
        <v>5.261355971E9</v>
      </c>
      <c r="C945" s="32" t="s">
        <v>912</v>
      </c>
      <c r="D945" s="31">
        <v>4.1126172E7</v>
      </c>
      <c r="E945" s="30">
        <v>45149.0</v>
      </c>
      <c r="F945" s="33" t="s">
        <v>69</v>
      </c>
      <c r="G945" s="34">
        <v>1.0</v>
      </c>
      <c r="H945" s="33" t="s">
        <v>70</v>
      </c>
      <c r="I945" s="33" t="s">
        <v>71</v>
      </c>
      <c r="J945" s="33" t="s">
        <v>79</v>
      </c>
      <c r="K945" s="33" t="s">
        <v>107</v>
      </c>
      <c r="L945" s="33" t="str">
        <f t="shared" si="1"/>
        <v>INDIVIDUAL</v>
      </c>
      <c r="M945" s="33">
        <f t="shared" si="2"/>
        <v>8</v>
      </c>
      <c r="N945" s="33">
        <f t="shared" si="3"/>
        <v>2023</v>
      </c>
      <c r="O945" s="35" t="str">
        <f>VLOOKUP(K945,'CA y tablas'!$B$22:$C$28,2,FALSE)</f>
        <v>AMERICANO</v>
      </c>
      <c r="P945" s="28" t="str">
        <f t="shared" si="4"/>
        <v>S2</v>
      </c>
      <c r="Q945" s="29">
        <v>2.0</v>
      </c>
      <c r="R945" s="29" t="str">
        <f t="shared" si="5"/>
        <v>Q2</v>
      </c>
    </row>
    <row r="946" ht="15.75" customHeight="1">
      <c r="A946" s="22">
        <v>45148.0</v>
      </c>
      <c r="B946" s="23">
        <v>4.336194656E9</v>
      </c>
      <c r="C946" s="24" t="s">
        <v>913</v>
      </c>
      <c r="D946" s="23">
        <v>1.2148556E7</v>
      </c>
      <c r="E946" s="22">
        <v>45149.0</v>
      </c>
      <c r="F946" s="25" t="s">
        <v>69</v>
      </c>
      <c r="G946" s="26">
        <v>1.0</v>
      </c>
      <c r="H946" s="25" t="s">
        <v>70</v>
      </c>
      <c r="I946" s="25" t="s">
        <v>71</v>
      </c>
      <c r="J946" s="25" t="s">
        <v>98</v>
      </c>
      <c r="K946" s="25" t="s">
        <v>107</v>
      </c>
      <c r="L946" s="25" t="str">
        <f t="shared" si="1"/>
        <v>INDIVIDUAL</v>
      </c>
      <c r="M946" s="25">
        <f t="shared" si="2"/>
        <v>8</v>
      </c>
      <c r="N946" s="25">
        <f t="shared" si="3"/>
        <v>2023</v>
      </c>
      <c r="O946" s="27" t="str">
        <f>VLOOKUP(K946,'CA y tablas'!$B$22:$C$28,2,FALSE)</f>
        <v>AMERICANO</v>
      </c>
      <c r="P946" s="28" t="str">
        <f t="shared" si="4"/>
        <v>S2</v>
      </c>
      <c r="Q946" s="29">
        <v>2.0</v>
      </c>
      <c r="R946" s="29" t="str">
        <f t="shared" si="5"/>
        <v>Q2</v>
      </c>
    </row>
    <row r="947" ht="15.75" customHeight="1">
      <c r="A947" s="30">
        <v>45148.0</v>
      </c>
      <c r="B947" s="31">
        <v>9.808875322E9</v>
      </c>
      <c r="C947" s="32" t="s">
        <v>914</v>
      </c>
      <c r="D947" s="31">
        <v>1.7860437E7</v>
      </c>
      <c r="E947" s="30">
        <v>45149.0</v>
      </c>
      <c r="F947" s="33" t="s">
        <v>69</v>
      </c>
      <c r="G947" s="34">
        <v>1.0</v>
      </c>
      <c r="H947" s="33" t="s">
        <v>70</v>
      </c>
      <c r="I947" s="33" t="s">
        <v>71</v>
      </c>
      <c r="J947" s="33" t="s">
        <v>98</v>
      </c>
      <c r="K947" s="33" t="s">
        <v>107</v>
      </c>
      <c r="L947" s="33" t="str">
        <f t="shared" si="1"/>
        <v>INDIVIDUAL</v>
      </c>
      <c r="M947" s="33">
        <f t="shared" si="2"/>
        <v>8</v>
      </c>
      <c r="N947" s="33">
        <f t="shared" si="3"/>
        <v>2023</v>
      </c>
      <c r="O947" s="35" t="str">
        <f>VLOOKUP(K947,'CA y tablas'!$B$22:$C$28,2,FALSE)</f>
        <v>AMERICANO</v>
      </c>
      <c r="P947" s="28" t="str">
        <f t="shared" si="4"/>
        <v>S2</v>
      </c>
      <c r="Q947" s="29">
        <v>2.0</v>
      </c>
      <c r="R947" s="29" t="str">
        <f t="shared" si="5"/>
        <v>Q2</v>
      </c>
    </row>
    <row r="948" ht="15.75" customHeight="1">
      <c r="A948" s="22">
        <v>45148.0</v>
      </c>
      <c r="B948" s="23">
        <v>4.61186565E9</v>
      </c>
      <c r="C948" s="24" t="s">
        <v>912</v>
      </c>
      <c r="D948" s="23">
        <v>4.1126172E7</v>
      </c>
      <c r="E948" s="22">
        <v>45149.0</v>
      </c>
      <c r="F948" s="25" t="s">
        <v>69</v>
      </c>
      <c r="G948" s="26">
        <v>3.0</v>
      </c>
      <c r="H948" s="25" t="s">
        <v>70</v>
      </c>
      <c r="I948" s="25" t="s">
        <v>71</v>
      </c>
      <c r="J948" s="25" t="s">
        <v>98</v>
      </c>
      <c r="K948" s="25" t="s">
        <v>107</v>
      </c>
      <c r="L948" s="25" t="str">
        <f t="shared" si="1"/>
        <v>FAMILIAR</v>
      </c>
      <c r="M948" s="25">
        <f t="shared" si="2"/>
        <v>8</v>
      </c>
      <c r="N948" s="25">
        <f t="shared" si="3"/>
        <v>2023</v>
      </c>
      <c r="O948" s="27" t="str">
        <f>VLOOKUP(K948,'CA y tablas'!$B$22:$C$28,2,FALSE)</f>
        <v>AMERICANO</v>
      </c>
      <c r="P948" s="28" t="str">
        <f t="shared" si="4"/>
        <v>S2</v>
      </c>
      <c r="Q948" s="29">
        <v>2.0</v>
      </c>
      <c r="R948" s="29" t="str">
        <f t="shared" si="5"/>
        <v>Q2</v>
      </c>
    </row>
    <row r="949" ht="15.75" customHeight="1">
      <c r="A949" s="30">
        <v>45148.0</v>
      </c>
      <c r="B949" s="31">
        <v>2.212256863E9</v>
      </c>
      <c r="C949" s="32" t="s">
        <v>915</v>
      </c>
      <c r="D949" s="31">
        <v>3.7096628E7</v>
      </c>
      <c r="E949" s="30">
        <v>45149.0</v>
      </c>
      <c r="F949" s="33" t="s">
        <v>69</v>
      </c>
      <c r="G949" s="34">
        <v>3.0</v>
      </c>
      <c r="H949" s="33" t="s">
        <v>70</v>
      </c>
      <c r="I949" s="33" t="s">
        <v>71</v>
      </c>
      <c r="J949" s="33" t="s">
        <v>98</v>
      </c>
      <c r="K949" s="33" t="s">
        <v>103</v>
      </c>
      <c r="L949" s="33" t="str">
        <f t="shared" si="1"/>
        <v>FAMILIAR</v>
      </c>
      <c r="M949" s="33">
        <f t="shared" si="2"/>
        <v>8</v>
      </c>
      <c r="N949" s="33">
        <f t="shared" si="3"/>
        <v>2023</v>
      </c>
      <c r="O949" s="35" t="str">
        <f>VLOOKUP(K949,'CA y tablas'!$B$22:$C$28,2,FALSE)</f>
        <v>EUROPEO</v>
      </c>
      <c r="P949" s="28" t="str">
        <f t="shared" si="4"/>
        <v>S2</v>
      </c>
      <c r="Q949" s="29">
        <v>2.0</v>
      </c>
      <c r="R949" s="29" t="str">
        <f t="shared" si="5"/>
        <v>Q2</v>
      </c>
    </row>
    <row r="950" ht="15.75" customHeight="1">
      <c r="A950" s="22">
        <v>45127.0</v>
      </c>
      <c r="B950" s="23">
        <v>6.177697536E9</v>
      </c>
      <c r="C950" s="24" t="s">
        <v>916</v>
      </c>
      <c r="D950" s="23">
        <v>1.6074256E7</v>
      </c>
      <c r="E950" s="22">
        <v>45152.0</v>
      </c>
      <c r="F950" s="25" t="s">
        <v>69</v>
      </c>
      <c r="G950" s="26">
        <v>4.0</v>
      </c>
      <c r="H950" s="25" t="s">
        <v>116</v>
      </c>
      <c r="I950" s="25" t="s">
        <v>71</v>
      </c>
      <c r="J950" s="25" t="s">
        <v>98</v>
      </c>
      <c r="K950" s="25" t="s">
        <v>103</v>
      </c>
      <c r="L950" s="25" t="str">
        <f t="shared" si="1"/>
        <v>FAMILIAR</v>
      </c>
      <c r="M950" s="25">
        <f t="shared" si="2"/>
        <v>8</v>
      </c>
      <c r="N950" s="25">
        <f t="shared" si="3"/>
        <v>2023</v>
      </c>
      <c r="O950" s="27" t="str">
        <f>VLOOKUP(K950,'CA y tablas'!$B$22:$C$28,2,FALSE)</f>
        <v>EUROPEO</v>
      </c>
      <c r="P950" s="28" t="str">
        <f t="shared" si="4"/>
        <v>S2</v>
      </c>
      <c r="Q950" s="29">
        <v>2.0</v>
      </c>
      <c r="R950" s="29" t="str">
        <f t="shared" si="5"/>
        <v>Q2</v>
      </c>
    </row>
    <row r="951" ht="15.75" customHeight="1">
      <c r="A951" s="30">
        <v>45128.0</v>
      </c>
      <c r="B951" s="31">
        <v>4.610970151E9</v>
      </c>
      <c r="C951" s="32" t="s">
        <v>917</v>
      </c>
      <c r="D951" s="31">
        <v>1.7134295E7</v>
      </c>
      <c r="E951" s="30">
        <v>45152.0</v>
      </c>
      <c r="F951" s="33" t="s">
        <v>69</v>
      </c>
      <c r="G951" s="34">
        <v>4.0</v>
      </c>
      <c r="H951" s="33" t="s">
        <v>116</v>
      </c>
      <c r="I951" s="33" t="s">
        <v>71</v>
      </c>
      <c r="J951" s="33" t="s">
        <v>98</v>
      </c>
      <c r="K951" s="33" t="s">
        <v>103</v>
      </c>
      <c r="L951" s="33" t="str">
        <f t="shared" si="1"/>
        <v>FAMILIAR</v>
      </c>
      <c r="M951" s="33">
        <f t="shared" si="2"/>
        <v>8</v>
      </c>
      <c r="N951" s="33">
        <f t="shared" si="3"/>
        <v>2023</v>
      </c>
      <c r="O951" s="35" t="str">
        <f>VLOOKUP(K951,'CA y tablas'!$B$22:$C$28,2,FALSE)</f>
        <v>EUROPEO</v>
      </c>
      <c r="P951" s="28" t="str">
        <f t="shared" si="4"/>
        <v>S2</v>
      </c>
      <c r="Q951" s="29">
        <v>2.0</v>
      </c>
      <c r="R951" s="29" t="str">
        <f t="shared" si="5"/>
        <v>Q2</v>
      </c>
    </row>
    <row r="952" ht="15.75" customHeight="1">
      <c r="A952" s="22">
        <v>45132.0</v>
      </c>
      <c r="B952" s="23">
        <v>1.462089226E9</v>
      </c>
      <c r="C952" s="24" t="s">
        <v>918</v>
      </c>
      <c r="D952" s="23">
        <v>2.5740312E7</v>
      </c>
      <c r="E952" s="22">
        <v>45152.0</v>
      </c>
      <c r="F952" s="25" t="s">
        <v>69</v>
      </c>
      <c r="G952" s="26">
        <v>5.0</v>
      </c>
      <c r="H952" s="25" t="s">
        <v>116</v>
      </c>
      <c r="I952" s="25" t="s">
        <v>71</v>
      </c>
      <c r="J952" s="25" t="s">
        <v>98</v>
      </c>
      <c r="K952" s="25" t="s">
        <v>103</v>
      </c>
      <c r="L952" s="25" t="str">
        <f t="shared" si="1"/>
        <v>FAMILIAR</v>
      </c>
      <c r="M952" s="25">
        <f t="shared" si="2"/>
        <v>8</v>
      </c>
      <c r="N952" s="25">
        <f t="shared" si="3"/>
        <v>2023</v>
      </c>
      <c r="O952" s="27" t="str">
        <f>VLOOKUP(K952,'CA y tablas'!$B$22:$C$28,2,FALSE)</f>
        <v>EUROPEO</v>
      </c>
      <c r="P952" s="28" t="str">
        <f t="shared" si="4"/>
        <v>S2</v>
      </c>
      <c r="Q952" s="29">
        <v>2.0</v>
      </c>
      <c r="R952" s="29" t="str">
        <f t="shared" si="5"/>
        <v>Q2</v>
      </c>
    </row>
    <row r="953" ht="15.75" customHeight="1">
      <c r="A953" s="30">
        <v>45132.0</v>
      </c>
      <c r="B953" s="31">
        <v>4.9650643E9</v>
      </c>
      <c r="C953" s="32" t="s">
        <v>919</v>
      </c>
      <c r="D953" s="31">
        <v>3.9145327E7</v>
      </c>
      <c r="E953" s="30">
        <v>45152.0</v>
      </c>
      <c r="F953" s="33" t="s">
        <v>69</v>
      </c>
      <c r="G953" s="34">
        <v>1.0</v>
      </c>
      <c r="H953" s="33" t="s">
        <v>116</v>
      </c>
      <c r="I953" s="33" t="s">
        <v>71</v>
      </c>
      <c r="J953" s="33" t="s">
        <v>98</v>
      </c>
      <c r="K953" s="33" t="s">
        <v>103</v>
      </c>
      <c r="L953" s="33" t="str">
        <f t="shared" si="1"/>
        <v>INDIVIDUAL</v>
      </c>
      <c r="M953" s="33">
        <f t="shared" si="2"/>
        <v>8</v>
      </c>
      <c r="N953" s="33">
        <f t="shared" si="3"/>
        <v>2023</v>
      </c>
      <c r="O953" s="35" t="str">
        <f>VLOOKUP(K953,'CA y tablas'!$B$22:$C$28,2,FALSE)</f>
        <v>EUROPEO</v>
      </c>
      <c r="P953" s="28" t="str">
        <f t="shared" si="4"/>
        <v>S2</v>
      </c>
      <c r="Q953" s="29">
        <v>2.0</v>
      </c>
      <c r="R953" s="29" t="str">
        <f t="shared" si="5"/>
        <v>Q2</v>
      </c>
    </row>
    <row r="954" ht="15.75" customHeight="1">
      <c r="A954" s="22">
        <v>45132.0</v>
      </c>
      <c r="B954" s="23">
        <v>3.496264822E9</v>
      </c>
      <c r="C954" s="24" t="s">
        <v>916</v>
      </c>
      <c r="D954" s="23">
        <v>1.6074256E7</v>
      </c>
      <c r="E954" s="22">
        <v>45152.0</v>
      </c>
      <c r="F954" s="25" t="s">
        <v>76</v>
      </c>
      <c r="G954" s="26">
        <v>1.0</v>
      </c>
      <c r="H954" s="25" t="s">
        <v>116</v>
      </c>
      <c r="I954" s="25" t="s">
        <v>71</v>
      </c>
      <c r="J954" s="25" t="s">
        <v>98</v>
      </c>
      <c r="K954" s="25" t="s">
        <v>103</v>
      </c>
      <c r="L954" s="25" t="str">
        <f t="shared" si="1"/>
        <v>INDIVIDUAL</v>
      </c>
      <c r="M954" s="25">
        <f t="shared" si="2"/>
        <v>8</v>
      </c>
      <c r="N954" s="25">
        <f t="shared" si="3"/>
        <v>2023</v>
      </c>
      <c r="O954" s="27" t="str">
        <f>VLOOKUP(K954,'CA y tablas'!$B$22:$C$28,2,FALSE)</f>
        <v>EUROPEO</v>
      </c>
      <c r="P954" s="28" t="str">
        <f t="shared" si="4"/>
        <v>S2</v>
      </c>
      <c r="Q954" s="29">
        <v>2.0</v>
      </c>
      <c r="R954" s="29" t="str">
        <f t="shared" si="5"/>
        <v>Q2</v>
      </c>
    </row>
    <row r="955" ht="15.75" customHeight="1">
      <c r="A955" s="30">
        <v>45147.0</v>
      </c>
      <c r="B955" s="31">
        <v>5.302683492E9</v>
      </c>
      <c r="C955" s="32" t="s">
        <v>920</v>
      </c>
      <c r="D955" s="31">
        <v>4.1959596E7</v>
      </c>
      <c r="E955" s="30">
        <v>45152.0</v>
      </c>
      <c r="F955" s="33" t="s">
        <v>76</v>
      </c>
      <c r="G955" s="34">
        <v>1.0</v>
      </c>
      <c r="H955" s="33" t="s">
        <v>116</v>
      </c>
      <c r="I955" s="33" t="s">
        <v>71</v>
      </c>
      <c r="J955" s="33" t="s">
        <v>98</v>
      </c>
      <c r="K955" s="33" t="s">
        <v>107</v>
      </c>
      <c r="L955" s="33" t="str">
        <f t="shared" si="1"/>
        <v>INDIVIDUAL</v>
      </c>
      <c r="M955" s="33">
        <f t="shared" si="2"/>
        <v>8</v>
      </c>
      <c r="N955" s="33">
        <f t="shared" si="3"/>
        <v>2023</v>
      </c>
      <c r="O955" s="35" t="str">
        <f>VLOOKUP(K955,'CA y tablas'!$B$22:$C$28,2,FALSE)</f>
        <v>AMERICANO</v>
      </c>
      <c r="P955" s="28" t="str">
        <f t="shared" si="4"/>
        <v>S2</v>
      </c>
      <c r="Q955" s="29">
        <v>2.0</v>
      </c>
      <c r="R955" s="29" t="str">
        <f t="shared" si="5"/>
        <v>Q2</v>
      </c>
    </row>
    <row r="956" ht="15.75" customHeight="1">
      <c r="A956" s="22">
        <v>45147.0</v>
      </c>
      <c r="B956" s="23">
        <v>1.113390213E9</v>
      </c>
      <c r="C956" s="24" t="s">
        <v>921</v>
      </c>
      <c r="D956" s="23">
        <v>1.407388E7</v>
      </c>
      <c r="E956" s="22">
        <v>45152.0</v>
      </c>
      <c r="F956" s="25" t="s">
        <v>76</v>
      </c>
      <c r="G956" s="26">
        <v>1.0</v>
      </c>
      <c r="H956" s="25" t="s">
        <v>116</v>
      </c>
      <c r="I956" s="25" t="s">
        <v>71</v>
      </c>
      <c r="J956" s="25" t="s">
        <v>318</v>
      </c>
      <c r="K956" s="25" t="s">
        <v>107</v>
      </c>
      <c r="L956" s="25" t="str">
        <f t="shared" si="1"/>
        <v>INDIVIDUAL</v>
      </c>
      <c r="M956" s="25">
        <f t="shared" si="2"/>
        <v>8</v>
      </c>
      <c r="N956" s="25">
        <f t="shared" si="3"/>
        <v>2023</v>
      </c>
      <c r="O956" s="27" t="str">
        <f>VLOOKUP(K956,'CA y tablas'!$B$22:$C$28,2,FALSE)</f>
        <v>AMERICANO</v>
      </c>
      <c r="P956" s="28" t="str">
        <f t="shared" si="4"/>
        <v>S2</v>
      </c>
      <c r="Q956" s="29">
        <v>2.0</v>
      </c>
      <c r="R956" s="29" t="str">
        <f t="shared" si="5"/>
        <v>Q2</v>
      </c>
    </row>
    <row r="957" ht="15.75" customHeight="1">
      <c r="A957" s="30">
        <v>45147.0</v>
      </c>
      <c r="B957" s="31">
        <v>8.370383626E9</v>
      </c>
      <c r="C957" s="32" t="s">
        <v>922</v>
      </c>
      <c r="D957" s="31">
        <v>3.3815507E7</v>
      </c>
      <c r="E957" s="30">
        <v>45152.0</v>
      </c>
      <c r="F957" s="33" t="s">
        <v>76</v>
      </c>
      <c r="G957" s="34">
        <v>2.0</v>
      </c>
      <c r="H957" s="33" t="s">
        <v>106</v>
      </c>
      <c r="I957" s="33" t="s">
        <v>71</v>
      </c>
      <c r="J957" s="33" t="s">
        <v>318</v>
      </c>
      <c r="K957" s="33" t="s">
        <v>107</v>
      </c>
      <c r="L957" s="33" t="str">
        <f t="shared" si="1"/>
        <v>FAMILIAR</v>
      </c>
      <c r="M957" s="33">
        <f t="shared" si="2"/>
        <v>8</v>
      </c>
      <c r="N957" s="33">
        <f t="shared" si="3"/>
        <v>2023</v>
      </c>
      <c r="O957" s="35" t="str">
        <f>VLOOKUP(K957,'CA y tablas'!$B$22:$C$28,2,FALSE)</f>
        <v>AMERICANO</v>
      </c>
      <c r="P957" s="28" t="str">
        <f t="shared" si="4"/>
        <v>S2</v>
      </c>
      <c r="Q957" s="29">
        <v>2.0</v>
      </c>
      <c r="R957" s="29" t="str">
        <f t="shared" si="5"/>
        <v>Q2</v>
      </c>
    </row>
    <row r="958" ht="15.75" customHeight="1">
      <c r="A958" s="22">
        <v>45149.0</v>
      </c>
      <c r="B958" s="23">
        <v>5.59828157E9</v>
      </c>
      <c r="C958" s="24" t="s">
        <v>923</v>
      </c>
      <c r="D958" s="23">
        <v>4.1300067E7</v>
      </c>
      <c r="E958" s="22">
        <v>45152.0</v>
      </c>
      <c r="F958" s="25" t="s">
        <v>69</v>
      </c>
      <c r="G958" s="26">
        <v>2.0</v>
      </c>
      <c r="H958" s="25" t="s">
        <v>106</v>
      </c>
      <c r="I958" s="25" t="s">
        <v>71</v>
      </c>
      <c r="J958" s="25" t="s">
        <v>318</v>
      </c>
      <c r="K958" s="25" t="s">
        <v>217</v>
      </c>
      <c r="L958" s="25" t="str">
        <f t="shared" si="1"/>
        <v>FAMILIAR</v>
      </c>
      <c r="M958" s="25">
        <f t="shared" si="2"/>
        <v>8</v>
      </c>
      <c r="N958" s="25">
        <f t="shared" si="3"/>
        <v>2023</v>
      </c>
      <c r="O958" s="27" t="str">
        <f>VLOOKUP(K958,'CA y tablas'!$B$22:$C$28,2,FALSE)</f>
        <v>ASIATICO</v>
      </c>
      <c r="P958" s="28" t="str">
        <f t="shared" si="4"/>
        <v>S2</v>
      </c>
      <c r="Q958" s="29">
        <v>2.0</v>
      </c>
      <c r="R958" s="29" t="str">
        <f t="shared" si="5"/>
        <v>Q2</v>
      </c>
    </row>
    <row r="959" ht="15.75" customHeight="1">
      <c r="A959" s="30">
        <v>45149.0</v>
      </c>
      <c r="B959" s="31">
        <v>9.793225245E9</v>
      </c>
      <c r="C959" s="32" t="s">
        <v>924</v>
      </c>
      <c r="D959" s="31">
        <v>1.4226653E7</v>
      </c>
      <c r="E959" s="30">
        <v>45152.0</v>
      </c>
      <c r="F959" s="33" t="s">
        <v>69</v>
      </c>
      <c r="G959" s="34">
        <v>2.0</v>
      </c>
      <c r="H959" s="33" t="s">
        <v>106</v>
      </c>
      <c r="I959" s="33" t="s">
        <v>71</v>
      </c>
      <c r="J959" s="33" t="s">
        <v>318</v>
      </c>
      <c r="K959" s="33" t="s">
        <v>217</v>
      </c>
      <c r="L959" s="33" t="str">
        <f t="shared" si="1"/>
        <v>FAMILIAR</v>
      </c>
      <c r="M959" s="33">
        <f t="shared" si="2"/>
        <v>8</v>
      </c>
      <c r="N959" s="33">
        <f t="shared" si="3"/>
        <v>2023</v>
      </c>
      <c r="O959" s="35" t="str">
        <f>VLOOKUP(K959,'CA y tablas'!$B$22:$C$28,2,FALSE)</f>
        <v>ASIATICO</v>
      </c>
      <c r="P959" s="28" t="str">
        <f t="shared" si="4"/>
        <v>S2</v>
      </c>
      <c r="Q959" s="29">
        <v>2.0</v>
      </c>
      <c r="R959" s="29" t="str">
        <f t="shared" si="5"/>
        <v>Q2</v>
      </c>
    </row>
    <row r="960" ht="15.75" customHeight="1">
      <c r="A960" s="22">
        <v>45149.0</v>
      </c>
      <c r="B960" s="23">
        <v>3.129376655E9</v>
      </c>
      <c r="C960" s="24" t="s">
        <v>925</v>
      </c>
      <c r="D960" s="23">
        <v>4.3706846E7</v>
      </c>
      <c r="E960" s="22">
        <v>45152.0</v>
      </c>
      <c r="F960" s="25" t="s">
        <v>69</v>
      </c>
      <c r="G960" s="26">
        <v>1.0</v>
      </c>
      <c r="H960" s="25" t="s">
        <v>106</v>
      </c>
      <c r="I960" s="25" t="s">
        <v>77</v>
      </c>
      <c r="J960" s="25" t="s">
        <v>318</v>
      </c>
      <c r="K960" s="25" t="s">
        <v>217</v>
      </c>
      <c r="L960" s="25" t="str">
        <f t="shared" si="1"/>
        <v>INDIVIDUAL</v>
      </c>
      <c r="M960" s="25">
        <f t="shared" si="2"/>
        <v>8</v>
      </c>
      <c r="N960" s="25">
        <f t="shared" si="3"/>
        <v>2023</v>
      </c>
      <c r="O960" s="27" t="str">
        <f>VLOOKUP(K960,'CA y tablas'!$B$22:$C$28,2,FALSE)</f>
        <v>ASIATICO</v>
      </c>
      <c r="P960" s="28" t="str">
        <f t="shared" si="4"/>
        <v>S2</v>
      </c>
      <c r="Q960" s="29">
        <v>2.0</v>
      </c>
      <c r="R960" s="29" t="str">
        <f t="shared" si="5"/>
        <v>Q2</v>
      </c>
    </row>
    <row r="961" ht="15.75" customHeight="1">
      <c r="A961" s="30">
        <v>45149.0</v>
      </c>
      <c r="B961" s="31">
        <v>7.511488261E9</v>
      </c>
      <c r="C961" s="32" t="s">
        <v>926</v>
      </c>
      <c r="D961" s="31">
        <v>1.6821221E7</v>
      </c>
      <c r="E961" s="30">
        <v>45152.0</v>
      </c>
      <c r="F961" s="33" t="s">
        <v>69</v>
      </c>
      <c r="G961" s="34">
        <v>1.0</v>
      </c>
      <c r="H961" s="33" t="s">
        <v>106</v>
      </c>
      <c r="I961" s="33" t="s">
        <v>77</v>
      </c>
      <c r="J961" s="33" t="s">
        <v>318</v>
      </c>
      <c r="K961" s="33" t="s">
        <v>217</v>
      </c>
      <c r="L961" s="33" t="str">
        <f t="shared" si="1"/>
        <v>INDIVIDUAL</v>
      </c>
      <c r="M961" s="33">
        <f t="shared" si="2"/>
        <v>8</v>
      </c>
      <c r="N961" s="33">
        <f t="shared" si="3"/>
        <v>2023</v>
      </c>
      <c r="O961" s="35" t="str">
        <f>VLOOKUP(K961,'CA y tablas'!$B$22:$C$28,2,FALSE)</f>
        <v>ASIATICO</v>
      </c>
      <c r="P961" s="28" t="str">
        <f t="shared" si="4"/>
        <v>S2</v>
      </c>
      <c r="Q961" s="29">
        <v>2.0</v>
      </c>
      <c r="R961" s="29" t="str">
        <f t="shared" si="5"/>
        <v>Q2</v>
      </c>
    </row>
    <row r="962" ht="15.75" customHeight="1">
      <c r="A962" s="22">
        <v>45142.0</v>
      </c>
      <c r="B962" s="23">
        <v>6.326931564E9</v>
      </c>
      <c r="C962" s="24" t="s">
        <v>927</v>
      </c>
      <c r="D962" s="23">
        <v>3.4132303E7</v>
      </c>
      <c r="E962" s="22">
        <v>45153.0</v>
      </c>
      <c r="F962" s="25" t="s">
        <v>69</v>
      </c>
      <c r="G962" s="26">
        <v>1.0</v>
      </c>
      <c r="H962" s="25" t="s">
        <v>81</v>
      </c>
      <c r="I962" s="25" t="s">
        <v>77</v>
      </c>
      <c r="J962" s="25" t="s">
        <v>318</v>
      </c>
      <c r="K962" s="25" t="s">
        <v>217</v>
      </c>
      <c r="L962" s="25" t="str">
        <f t="shared" si="1"/>
        <v>INDIVIDUAL</v>
      </c>
      <c r="M962" s="25">
        <f t="shared" si="2"/>
        <v>8</v>
      </c>
      <c r="N962" s="25">
        <f t="shared" si="3"/>
        <v>2023</v>
      </c>
      <c r="O962" s="27" t="str">
        <f>VLOOKUP(K962,'CA y tablas'!$B$22:$C$28,2,FALSE)</f>
        <v>ASIATICO</v>
      </c>
      <c r="P962" s="28" t="str">
        <f t="shared" si="4"/>
        <v>S2</v>
      </c>
      <c r="Q962" s="29">
        <v>2.0</v>
      </c>
      <c r="R962" s="29" t="str">
        <f t="shared" si="5"/>
        <v>Q2</v>
      </c>
    </row>
    <row r="963" ht="15.75" customHeight="1">
      <c r="A963" s="30">
        <v>45146.0</v>
      </c>
      <c r="B963" s="31">
        <v>2.543766643E9</v>
      </c>
      <c r="C963" s="32" t="s">
        <v>928</v>
      </c>
      <c r="D963" s="31">
        <v>2.1397233E7</v>
      </c>
      <c r="E963" s="30">
        <v>45153.0</v>
      </c>
      <c r="F963" s="33" t="s">
        <v>76</v>
      </c>
      <c r="G963" s="34">
        <v>1.0</v>
      </c>
      <c r="H963" s="33" t="s">
        <v>81</v>
      </c>
      <c r="I963" s="33" t="s">
        <v>77</v>
      </c>
      <c r="J963" s="33" t="s">
        <v>318</v>
      </c>
      <c r="K963" s="33" t="s">
        <v>84</v>
      </c>
      <c r="L963" s="33" t="str">
        <f t="shared" si="1"/>
        <v>INDIVIDUAL</v>
      </c>
      <c r="M963" s="33">
        <f t="shared" si="2"/>
        <v>8</v>
      </c>
      <c r="N963" s="33">
        <f t="shared" si="3"/>
        <v>2023</v>
      </c>
      <c r="O963" s="35" t="str">
        <f>VLOOKUP(K963,'CA y tablas'!$B$22:$C$28,2,FALSE)</f>
        <v>EUROPEO</v>
      </c>
      <c r="P963" s="28" t="str">
        <f t="shared" si="4"/>
        <v>S2</v>
      </c>
      <c r="Q963" s="29">
        <v>2.0</v>
      </c>
      <c r="R963" s="29" t="str">
        <f t="shared" si="5"/>
        <v>Q2</v>
      </c>
    </row>
    <row r="964" ht="15.75" customHeight="1">
      <c r="A964" s="22">
        <v>45148.0</v>
      </c>
      <c r="B964" s="23">
        <v>5.48690751E9</v>
      </c>
      <c r="C964" s="24" t="s">
        <v>929</v>
      </c>
      <c r="D964" s="23">
        <v>2.0159339E7</v>
      </c>
      <c r="E964" s="22">
        <v>45153.0</v>
      </c>
      <c r="F964" s="25" t="s">
        <v>76</v>
      </c>
      <c r="G964" s="26">
        <v>1.0</v>
      </c>
      <c r="H964" s="25" t="s">
        <v>81</v>
      </c>
      <c r="I964" s="25" t="s">
        <v>77</v>
      </c>
      <c r="J964" s="25" t="s">
        <v>72</v>
      </c>
      <c r="K964" s="25" t="s">
        <v>84</v>
      </c>
      <c r="L964" s="25" t="str">
        <f t="shared" si="1"/>
        <v>INDIVIDUAL</v>
      </c>
      <c r="M964" s="25">
        <f t="shared" si="2"/>
        <v>8</v>
      </c>
      <c r="N964" s="25">
        <f t="shared" si="3"/>
        <v>2023</v>
      </c>
      <c r="O964" s="27" t="str">
        <f>VLOOKUP(K964,'CA y tablas'!$B$22:$C$28,2,FALSE)</f>
        <v>EUROPEO</v>
      </c>
      <c r="P964" s="28" t="str">
        <f t="shared" si="4"/>
        <v>S2</v>
      </c>
      <c r="Q964" s="29">
        <v>2.0</v>
      </c>
      <c r="R964" s="29" t="str">
        <f t="shared" si="5"/>
        <v>Q2</v>
      </c>
    </row>
    <row r="965" ht="15.75" customHeight="1">
      <c r="A965" s="30">
        <v>45148.0</v>
      </c>
      <c r="B965" s="31">
        <v>8.217607296E9</v>
      </c>
      <c r="C965" s="32" t="s">
        <v>930</v>
      </c>
      <c r="D965" s="31">
        <v>1.7859475E7</v>
      </c>
      <c r="E965" s="30">
        <v>45153.0</v>
      </c>
      <c r="F965" s="33" t="s">
        <v>69</v>
      </c>
      <c r="G965" s="34">
        <v>1.0</v>
      </c>
      <c r="H965" s="33" t="s">
        <v>81</v>
      </c>
      <c r="I965" s="33" t="s">
        <v>77</v>
      </c>
      <c r="J965" s="33" t="s">
        <v>72</v>
      </c>
      <c r="K965" s="33" t="s">
        <v>84</v>
      </c>
      <c r="L965" s="33" t="str">
        <f t="shared" si="1"/>
        <v>INDIVIDUAL</v>
      </c>
      <c r="M965" s="33">
        <f t="shared" si="2"/>
        <v>8</v>
      </c>
      <c r="N965" s="33">
        <f t="shared" si="3"/>
        <v>2023</v>
      </c>
      <c r="O965" s="35" t="str">
        <f>VLOOKUP(K965,'CA y tablas'!$B$22:$C$28,2,FALSE)</f>
        <v>EUROPEO</v>
      </c>
      <c r="P965" s="28" t="str">
        <f t="shared" si="4"/>
        <v>S2</v>
      </c>
      <c r="Q965" s="29">
        <v>2.0</v>
      </c>
      <c r="R965" s="29" t="str">
        <f t="shared" si="5"/>
        <v>Q2</v>
      </c>
    </row>
    <row r="966" ht="15.75" customHeight="1">
      <c r="A966" s="22">
        <v>45149.0</v>
      </c>
      <c r="B966" s="23">
        <v>9.793147932E9</v>
      </c>
      <c r="C966" s="24" t="s">
        <v>597</v>
      </c>
      <c r="D966" s="23">
        <v>2.6012846E7</v>
      </c>
      <c r="E966" s="22">
        <v>45153.0</v>
      </c>
      <c r="F966" s="25" t="s">
        <v>69</v>
      </c>
      <c r="G966" s="26">
        <v>1.0</v>
      </c>
      <c r="H966" s="25" t="s">
        <v>81</v>
      </c>
      <c r="I966" s="25" t="s">
        <v>77</v>
      </c>
      <c r="J966" s="25" t="s">
        <v>72</v>
      </c>
      <c r="K966" s="25" t="s">
        <v>84</v>
      </c>
      <c r="L966" s="25" t="str">
        <f t="shared" si="1"/>
        <v>INDIVIDUAL</v>
      </c>
      <c r="M966" s="25">
        <f t="shared" si="2"/>
        <v>8</v>
      </c>
      <c r="N966" s="25">
        <f t="shared" si="3"/>
        <v>2023</v>
      </c>
      <c r="O966" s="27" t="str">
        <f>VLOOKUP(K966,'CA y tablas'!$B$22:$C$28,2,FALSE)</f>
        <v>EUROPEO</v>
      </c>
      <c r="P966" s="28" t="str">
        <f t="shared" si="4"/>
        <v>S2</v>
      </c>
      <c r="Q966" s="29">
        <v>2.0</v>
      </c>
      <c r="R966" s="29" t="str">
        <f t="shared" si="5"/>
        <v>Q2</v>
      </c>
    </row>
    <row r="967" ht="15.75" customHeight="1">
      <c r="A967" s="30">
        <v>45153.0</v>
      </c>
      <c r="B967" s="31">
        <v>6.980995383E9</v>
      </c>
      <c r="C967" s="32" t="s">
        <v>931</v>
      </c>
      <c r="D967" s="31">
        <v>1.9094444E7</v>
      </c>
      <c r="E967" s="30">
        <v>45153.0</v>
      </c>
      <c r="F967" s="33" t="s">
        <v>76</v>
      </c>
      <c r="G967" s="34">
        <v>2.0</v>
      </c>
      <c r="H967" s="33" t="s">
        <v>81</v>
      </c>
      <c r="I967" s="33" t="s">
        <v>77</v>
      </c>
      <c r="J967" s="33" t="s">
        <v>72</v>
      </c>
      <c r="K967" s="33" t="s">
        <v>84</v>
      </c>
      <c r="L967" s="33" t="str">
        <f t="shared" si="1"/>
        <v>FAMILIAR</v>
      </c>
      <c r="M967" s="33">
        <f t="shared" si="2"/>
        <v>8</v>
      </c>
      <c r="N967" s="33">
        <f t="shared" si="3"/>
        <v>2023</v>
      </c>
      <c r="O967" s="35" t="str">
        <f>VLOOKUP(K967,'CA y tablas'!$B$22:$C$28,2,FALSE)</f>
        <v>EUROPEO</v>
      </c>
      <c r="P967" s="28" t="str">
        <f t="shared" si="4"/>
        <v>S2</v>
      </c>
      <c r="Q967" s="29">
        <v>2.0</v>
      </c>
      <c r="R967" s="29" t="str">
        <f t="shared" si="5"/>
        <v>Q2</v>
      </c>
    </row>
    <row r="968" ht="15.75" customHeight="1">
      <c r="A968" s="22">
        <v>45153.0</v>
      </c>
      <c r="B968" s="23">
        <v>1.217236753E9</v>
      </c>
      <c r="C968" s="24" t="s">
        <v>932</v>
      </c>
      <c r="D968" s="23">
        <v>3.6420914E7</v>
      </c>
      <c r="E968" s="22">
        <v>45153.0</v>
      </c>
      <c r="F968" s="25" t="s">
        <v>69</v>
      </c>
      <c r="G968" s="26">
        <v>2.0</v>
      </c>
      <c r="H968" s="25" t="s">
        <v>81</v>
      </c>
      <c r="I968" s="25" t="s">
        <v>77</v>
      </c>
      <c r="J968" s="25" t="s">
        <v>72</v>
      </c>
      <c r="K968" s="25" t="s">
        <v>84</v>
      </c>
      <c r="L968" s="25" t="str">
        <f t="shared" si="1"/>
        <v>FAMILIAR</v>
      </c>
      <c r="M968" s="25">
        <f t="shared" si="2"/>
        <v>8</v>
      </c>
      <c r="N968" s="25">
        <f t="shared" si="3"/>
        <v>2023</v>
      </c>
      <c r="O968" s="27" t="str">
        <f>VLOOKUP(K968,'CA y tablas'!$B$22:$C$28,2,FALSE)</f>
        <v>EUROPEO</v>
      </c>
      <c r="P968" s="28" t="str">
        <f t="shared" si="4"/>
        <v>S2</v>
      </c>
      <c r="Q968" s="29">
        <v>2.0</v>
      </c>
      <c r="R968" s="29" t="str">
        <f t="shared" si="5"/>
        <v>Q2</v>
      </c>
    </row>
    <row r="969" ht="15.75" customHeight="1">
      <c r="A969" s="30">
        <v>45125.0</v>
      </c>
      <c r="B969" s="31">
        <v>2.486893452E9</v>
      </c>
      <c r="C969" s="32" t="s">
        <v>933</v>
      </c>
      <c r="D969" s="31">
        <v>2.9666634E7</v>
      </c>
      <c r="E969" s="30">
        <v>45154.0</v>
      </c>
      <c r="F969" s="33" t="s">
        <v>69</v>
      </c>
      <c r="G969" s="34">
        <v>3.0</v>
      </c>
      <c r="H969" s="33" t="s">
        <v>92</v>
      </c>
      <c r="I969" s="33" t="s">
        <v>77</v>
      </c>
      <c r="J969" s="33" t="s">
        <v>72</v>
      </c>
      <c r="K969" s="33" t="s">
        <v>99</v>
      </c>
      <c r="L969" s="33" t="str">
        <f t="shared" si="1"/>
        <v>FAMILIAR</v>
      </c>
      <c r="M969" s="33">
        <f t="shared" si="2"/>
        <v>8</v>
      </c>
      <c r="N969" s="33">
        <f t="shared" si="3"/>
        <v>2023</v>
      </c>
      <c r="O969" s="35" t="str">
        <f>VLOOKUP(K969,'CA y tablas'!$B$22:$C$28,2,FALSE)</f>
        <v>EUROPEO</v>
      </c>
      <c r="P969" s="28" t="str">
        <f t="shared" si="4"/>
        <v>S2</v>
      </c>
      <c r="Q969" s="29">
        <v>2.0</v>
      </c>
      <c r="R969" s="29" t="str">
        <f t="shared" si="5"/>
        <v>Q2</v>
      </c>
    </row>
    <row r="970" ht="15.75" customHeight="1">
      <c r="A970" s="22">
        <v>45149.0</v>
      </c>
      <c r="B970" s="23">
        <v>1.174314315E9</v>
      </c>
      <c r="C970" s="24" t="s">
        <v>933</v>
      </c>
      <c r="D970" s="23">
        <v>2.9666634E7</v>
      </c>
      <c r="E970" s="22">
        <v>45154.0</v>
      </c>
      <c r="F970" s="25" t="s">
        <v>76</v>
      </c>
      <c r="G970" s="26">
        <v>4.0</v>
      </c>
      <c r="H970" s="25" t="s">
        <v>92</v>
      </c>
      <c r="I970" s="25" t="s">
        <v>77</v>
      </c>
      <c r="J970" s="25" t="s">
        <v>72</v>
      </c>
      <c r="K970" s="25" t="s">
        <v>99</v>
      </c>
      <c r="L970" s="25" t="str">
        <f t="shared" si="1"/>
        <v>FAMILIAR</v>
      </c>
      <c r="M970" s="25">
        <f t="shared" si="2"/>
        <v>8</v>
      </c>
      <c r="N970" s="25">
        <f t="shared" si="3"/>
        <v>2023</v>
      </c>
      <c r="O970" s="27" t="str">
        <f>VLOOKUP(K970,'CA y tablas'!$B$22:$C$28,2,FALSE)</f>
        <v>EUROPEO</v>
      </c>
      <c r="P970" s="28" t="str">
        <f t="shared" si="4"/>
        <v>S2</v>
      </c>
      <c r="Q970" s="29">
        <v>2.0</v>
      </c>
      <c r="R970" s="29" t="str">
        <f t="shared" si="5"/>
        <v>Q2</v>
      </c>
    </row>
    <row r="971" ht="15.75" customHeight="1">
      <c r="A971" s="30">
        <v>45139.0</v>
      </c>
      <c r="B971" s="31">
        <v>6.572597242E9</v>
      </c>
      <c r="C971" s="32" t="s">
        <v>934</v>
      </c>
      <c r="D971" s="31">
        <v>3.7656236E7</v>
      </c>
      <c r="E971" s="30">
        <v>45155.0</v>
      </c>
      <c r="F971" s="33" t="s">
        <v>76</v>
      </c>
      <c r="G971" s="34">
        <v>1.0</v>
      </c>
      <c r="H971" s="33" t="s">
        <v>92</v>
      </c>
      <c r="I971" s="33" t="s">
        <v>77</v>
      </c>
      <c r="J971" s="33" t="s">
        <v>93</v>
      </c>
      <c r="K971" s="33" t="s">
        <v>99</v>
      </c>
      <c r="L971" s="33" t="str">
        <f t="shared" si="1"/>
        <v>INDIVIDUAL</v>
      </c>
      <c r="M971" s="33">
        <f t="shared" si="2"/>
        <v>8</v>
      </c>
      <c r="N971" s="33">
        <f t="shared" si="3"/>
        <v>2023</v>
      </c>
      <c r="O971" s="35" t="str">
        <f>VLOOKUP(K971,'CA y tablas'!$B$22:$C$28,2,FALSE)</f>
        <v>EUROPEO</v>
      </c>
      <c r="P971" s="28" t="str">
        <f t="shared" si="4"/>
        <v>S2</v>
      </c>
      <c r="Q971" s="29">
        <v>2.0</v>
      </c>
      <c r="R971" s="29" t="str">
        <f t="shared" si="5"/>
        <v>Q2</v>
      </c>
    </row>
    <row r="972" ht="15.75" customHeight="1">
      <c r="A972" s="22">
        <v>45142.0</v>
      </c>
      <c r="B972" s="23">
        <v>6.697837801E9</v>
      </c>
      <c r="C972" s="24" t="s">
        <v>935</v>
      </c>
      <c r="D972" s="23">
        <v>3.8185482E7</v>
      </c>
      <c r="E972" s="22">
        <v>45155.0</v>
      </c>
      <c r="F972" s="25" t="s">
        <v>69</v>
      </c>
      <c r="G972" s="26">
        <v>3.0</v>
      </c>
      <c r="H972" s="25" t="s">
        <v>92</v>
      </c>
      <c r="I972" s="25" t="s">
        <v>77</v>
      </c>
      <c r="J972" s="25" t="s">
        <v>93</v>
      </c>
      <c r="K972" s="25" t="s">
        <v>99</v>
      </c>
      <c r="L972" s="25" t="str">
        <f t="shared" si="1"/>
        <v>FAMILIAR</v>
      </c>
      <c r="M972" s="25">
        <f t="shared" si="2"/>
        <v>8</v>
      </c>
      <c r="N972" s="25">
        <f t="shared" si="3"/>
        <v>2023</v>
      </c>
      <c r="O972" s="27" t="str">
        <f>VLOOKUP(K972,'CA y tablas'!$B$22:$C$28,2,FALSE)</f>
        <v>EUROPEO</v>
      </c>
      <c r="P972" s="28" t="str">
        <f t="shared" si="4"/>
        <v>S2</v>
      </c>
      <c r="Q972" s="29">
        <v>2.0</v>
      </c>
      <c r="R972" s="29" t="str">
        <f t="shared" si="5"/>
        <v>Q2</v>
      </c>
    </row>
    <row r="973" ht="15.75" customHeight="1">
      <c r="A973" s="30">
        <v>45146.0</v>
      </c>
      <c r="B973" s="31">
        <v>4.981769391E9</v>
      </c>
      <c r="C973" s="32" t="s">
        <v>936</v>
      </c>
      <c r="D973" s="31">
        <v>2.1745908E7</v>
      </c>
      <c r="E973" s="30">
        <v>45155.0</v>
      </c>
      <c r="F973" s="33" t="s">
        <v>76</v>
      </c>
      <c r="G973" s="34">
        <v>1.0</v>
      </c>
      <c r="H973" s="33" t="s">
        <v>92</v>
      </c>
      <c r="I973" s="33" t="s">
        <v>77</v>
      </c>
      <c r="J973" s="33" t="s">
        <v>93</v>
      </c>
      <c r="K973" s="33" t="s">
        <v>103</v>
      </c>
      <c r="L973" s="33" t="str">
        <f t="shared" si="1"/>
        <v>INDIVIDUAL</v>
      </c>
      <c r="M973" s="33">
        <f t="shared" si="2"/>
        <v>8</v>
      </c>
      <c r="N973" s="33">
        <f t="shared" si="3"/>
        <v>2023</v>
      </c>
      <c r="O973" s="35" t="str">
        <f>VLOOKUP(K973,'CA y tablas'!$B$22:$C$28,2,FALSE)</f>
        <v>EUROPEO</v>
      </c>
      <c r="P973" s="28" t="str">
        <f t="shared" si="4"/>
        <v>S2</v>
      </c>
      <c r="Q973" s="29">
        <v>2.0</v>
      </c>
      <c r="R973" s="29" t="str">
        <f t="shared" si="5"/>
        <v>Q2</v>
      </c>
    </row>
    <row r="974" ht="15.75" customHeight="1">
      <c r="A974" s="22">
        <v>45146.0</v>
      </c>
      <c r="B974" s="23">
        <v>6.419360894E9</v>
      </c>
      <c r="C974" s="24" t="s">
        <v>937</v>
      </c>
      <c r="D974" s="23">
        <v>2.1397233E7</v>
      </c>
      <c r="E974" s="22">
        <v>45155.0</v>
      </c>
      <c r="F974" s="25" t="s">
        <v>69</v>
      </c>
      <c r="G974" s="26">
        <v>2.0</v>
      </c>
      <c r="H974" s="25" t="s">
        <v>92</v>
      </c>
      <c r="I974" s="25" t="s">
        <v>77</v>
      </c>
      <c r="J974" s="25" t="s">
        <v>93</v>
      </c>
      <c r="K974" s="25" t="s">
        <v>103</v>
      </c>
      <c r="L974" s="25" t="str">
        <f t="shared" si="1"/>
        <v>FAMILIAR</v>
      </c>
      <c r="M974" s="25">
        <f t="shared" si="2"/>
        <v>8</v>
      </c>
      <c r="N974" s="25">
        <f t="shared" si="3"/>
        <v>2023</v>
      </c>
      <c r="O974" s="27" t="str">
        <f>VLOOKUP(K974,'CA y tablas'!$B$22:$C$28,2,FALSE)</f>
        <v>EUROPEO</v>
      </c>
      <c r="P974" s="28" t="str">
        <f t="shared" si="4"/>
        <v>S2</v>
      </c>
      <c r="Q974" s="29">
        <v>2.0</v>
      </c>
      <c r="R974" s="29" t="str">
        <f t="shared" si="5"/>
        <v>Q2</v>
      </c>
    </row>
    <row r="975" ht="15.75" customHeight="1">
      <c r="A975" s="30">
        <v>45147.0</v>
      </c>
      <c r="B975" s="31">
        <v>8.370364682E9</v>
      </c>
      <c r="C975" s="32" t="s">
        <v>938</v>
      </c>
      <c r="D975" s="31">
        <v>2.5735447E7</v>
      </c>
      <c r="E975" s="30">
        <v>45155.0</v>
      </c>
      <c r="F975" s="33" t="s">
        <v>69</v>
      </c>
      <c r="G975" s="34">
        <v>1.0</v>
      </c>
      <c r="H975" s="33" t="s">
        <v>112</v>
      </c>
      <c r="I975" s="33" t="s">
        <v>88</v>
      </c>
      <c r="J975" s="33" t="s">
        <v>93</v>
      </c>
      <c r="K975" s="33" t="s">
        <v>103</v>
      </c>
      <c r="L975" s="33" t="str">
        <f t="shared" si="1"/>
        <v>INDIVIDUAL</v>
      </c>
      <c r="M975" s="33">
        <f t="shared" si="2"/>
        <v>8</v>
      </c>
      <c r="N975" s="33">
        <f t="shared" si="3"/>
        <v>2023</v>
      </c>
      <c r="O975" s="35" t="str">
        <f>VLOOKUP(K975,'CA y tablas'!$B$22:$C$28,2,FALSE)</f>
        <v>EUROPEO</v>
      </c>
      <c r="P975" s="28" t="str">
        <f t="shared" si="4"/>
        <v>S2</v>
      </c>
      <c r="Q975" s="29">
        <v>2.0</v>
      </c>
      <c r="R975" s="29" t="str">
        <f t="shared" si="5"/>
        <v>Q2</v>
      </c>
    </row>
    <row r="976" ht="15.75" customHeight="1">
      <c r="A976" s="22">
        <v>45148.0</v>
      </c>
      <c r="B976" s="23">
        <v>9.815102872E9</v>
      </c>
      <c r="C976" s="24" t="s">
        <v>939</v>
      </c>
      <c r="D976" s="23">
        <v>2.0232007E7</v>
      </c>
      <c r="E976" s="22">
        <v>45155.0</v>
      </c>
      <c r="F976" s="25" t="s">
        <v>76</v>
      </c>
      <c r="G976" s="26">
        <v>1.0</v>
      </c>
      <c r="H976" s="25" t="s">
        <v>112</v>
      </c>
      <c r="I976" s="25" t="s">
        <v>88</v>
      </c>
      <c r="J976" s="25" t="s">
        <v>93</v>
      </c>
      <c r="K976" s="25" t="s">
        <v>103</v>
      </c>
      <c r="L976" s="25" t="str">
        <f t="shared" si="1"/>
        <v>INDIVIDUAL</v>
      </c>
      <c r="M976" s="25">
        <f t="shared" si="2"/>
        <v>8</v>
      </c>
      <c r="N976" s="25">
        <f t="shared" si="3"/>
        <v>2023</v>
      </c>
      <c r="O976" s="27" t="str">
        <f>VLOOKUP(K976,'CA y tablas'!$B$22:$C$28,2,FALSE)</f>
        <v>EUROPEO</v>
      </c>
      <c r="P976" s="28" t="str">
        <f t="shared" si="4"/>
        <v>S2</v>
      </c>
      <c r="Q976" s="29">
        <v>2.0</v>
      </c>
      <c r="R976" s="29" t="str">
        <f t="shared" si="5"/>
        <v>Q2</v>
      </c>
    </row>
    <row r="977" ht="15.75" customHeight="1">
      <c r="A977" s="30">
        <v>45148.0</v>
      </c>
      <c r="B977" s="31">
        <v>1.140111044E9</v>
      </c>
      <c r="C977" s="32" t="s">
        <v>940</v>
      </c>
      <c r="D977" s="31">
        <v>4.2007951E7</v>
      </c>
      <c r="E977" s="30">
        <v>45155.0</v>
      </c>
      <c r="F977" s="33" t="s">
        <v>76</v>
      </c>
      <c r="G977" s="34">
        <v>1.0</v>
      </c>
      <c r="H977" s="33" t="s">
        <v>112</v>
      </c>
      <c r="I977" s="33" t="s">
        <v>88</v>
      </c>
      <c r="J977" s="33" t="s">
        <v>93</v>
      </c>
      <c r="K977" s="33" t="s">
        <v>103</v>
      </c>
      <c r="L977" s="33" t="str">
        <f t="shared" si="1"/>
        <v>INDIVIDUAL</v>
      </c>
      <c r="M977" s="33">
        <f t="shared" si="2"/>
        <v>8</v>
      </c>
      <c r="N977" s="33">
        <f t="shared" si="3"/>
        <v>2023</v>
      </c>
      <c r="O977" s="35" t="str">
        <f>VLOOKUP(K977,'CA y tablas'!$B$22:$C$28,2,FALSE)</f>
        <v>EUROPEO</v>
      </c>
      <c r="P977" s="28" t="str">
        <f t="shared" si="4"/>
        <v>S2</v>
      </c>
      <c r="Q977" s="29">
        <v>2.0</v>
      </c>
      <c r="R977" s="29" t="str">
        <f t="shared" si="5"/>
        <v>Q2</v>
      </c>
    </row>
    <row r="978" ht="15.75" customHeight="1">
      <c r="A978" s="22">
        <v>45149.0</v>
      </c>
      <c r="B978" s="23">
        <v>9.793144756E9</v>
      </c>
      <c r="C978" s="24" t="s">
        <v>939</v>
      </c>
      <c r="D978" s="23">
        <v>2.0232007E7</v>
      </c>
      <c r="E978" s="22">
        <v>45155.0</v>
      </c>
      <c r="F978" s="25" t="s">
        <v>69</v>
      </c>
      <c r="G978" s="26">
        <v>1.0</v>
      </c>
      <c r="H978" s="25" t="s">
        <v>112</v>
      </c>
      <c r="I978" s="25" t="s">
        <v>88</v>
      </c>
      <c r="J978" s="25" t="s">
        <v>83</v>
      </c>
      <c r="K978" s="25" t="s">
        <v>73</v>
      </c>
      <c r="L978" s="25" t="str">
        <f t="shared" si="1"/>
        <v>INDIVIDUAL</v>
      </c>
      <c r="M978" s="25">
        <f t="shared" si="2"/>
        <v>8</v>
      </c>
      <c r="N978" s="25">
        <f t="shared" si="3"/>
        <v>2023</v>
      </c>
      <c r="O978" s="27" t="str">
        <f>VLOOKUP(K978,'CA y tablas'!$B$22:$C$28,2,FALSE)</f>
        <v>AMERICANO</v>
      </c>
      <c r="P978" s="28" t="str">
        <f t="shared" si="4"/>
        <v>S2</v>
      </c>
      <c r="Q978" s="29">
        <v>2.0</v>
      </c>
      <c r="R978" s="29" t="str">
        <f t="shared" si="5"/>
        <v>Q2</v>
      </c>
    </row>
    <row r="979" ht="15.75" customHeight="1">
      <c r="A979" s="30">
        <v>45153.0</v>
      </c>
      <c r="B979" s="31">
        <v>8.433026895E9</v>
      </c>
      <c r="C979" s="32" t="s">
        <v>941</v>
      </c>
      <c r="D979" s="31">
        <v>3.9357338E7</v>
      </c>
      <c r="E979" s="30">
        <v>45155.0</v>
      </c>
      <c r="F979" s="33" t="s">
        <v>69</v>
      </c>
      <c r="G979" s="34">
        <v>1.0</v>
      </c>
      <c r="H979" s="33" t="s">
        <v>112</v>
      </c>
      <c r="I979" s="33" t="s">
        <v>88</v>
      </c>
      <c r="J979" s="33" t="s">
        <v>83</v>
      </c>
      <c r="K979" s="33" t="s">
        <v>73</v>
      </c>
      <c r="L979" s="33" t="str">
        <f t="shared" si="1"/>
        <v>INDIVIDUAL</v>
      </c>
      <c r="M979" s="33">
        <f t="shared" si="2"/>
        <v>8</v>
      </c>
      <c r="N979" s="33">
        <f t="shared" si="3"/>
        <v>2023</v>
      </c>
      <c r="O979" s="35" t="str">
        <f>VLOOKUP(K979,'CA y tablas'!$B$22:$C$28,2,FALSE)</f>
        <v>AMERICANO</v>
      </c>
      <c r="P979" s="28" t="str">
        <f t="shared" si="4"/>
        <v>S2</v>
      </c>
      <c r="Q979" s="29">
        <v>2.0</v>
      </c>
      <c r="R979" s="29" t="str">
        <f t="shared" si="5"/>
        <v>Q2</v>
      </c>
    </row>
    <row r="980" ht="15.75" customHeight="1">
      <c r="A980" s="22">
        <v>45153.0</v>
      </c>
      <c r="B980" s="23">
        <v>6.980958574E9</v>
      </c>
      <c r="C980" s="24" t="s">
        <v>942</v>
      </c>
      <c r="D980" s="23">
        <v>2.2336915E7</v>
      </c>
      <c r="E980" s="22">
        <v>45155.0</v>
      </c>
      <c r="F980" s="25" t="s">
        <v>69</v>
      </c>
      <c r="G980" s="26">
        <v>2.0</v>
      </c>
      <c r="H980" s="25" t="s">
        <v>70</v>
      </c>
      <c r="I980" s="25" t="s">
        <v>88</v>
      </c>
      <c r="J980" s="25" t="s">
        <v>83</v>
      </c>
      <c r="K980" s="25" t="s">
        <v>73</v>
      </c>
      <c r="L980" s="25" t="str">
        <f t="shared" si="1"/>
        <v>FAMILIAR</v>
      </c>
      <c r="M980" s="25">
        <f t="shared" si="2"/>
        <v>8</v>
      </c>
      <c r="N980" s="25">
        <f t="shared" si="3"/>
        <v>2023</v>
      </c>
      <c r="O980" s="27" t="str">
        <f>VLOOKUP(K980,'CA y tablas'!$B$22:$C$28,2,FALSE)</f>
        <v>AMERICANO</v>
      </c>
      <c r="P980" s="28" t="str">
        <f t="shared" si="4"/>
        <v>S2</v>
      </c>
      <c r="Q980" s="29">
        <v>2.0</v>
      </c>
      <c r="R980" s="29" t="str">
        <f t="shared" si="5"/>
        <v>Q2</v>
      </c>
    </row>
    <row r="981" ht="15.75" customHeight="1">
      <c r="A981" s="30">
        <v>45153.0</v>
      </c>
      <c r="B981" s="31">
        <v>7.51459464E9</v>
      </c>
      <c r="C981" s="32" t="s">
        <v>943</v>
      </c>
      <c r="D981" s="31">
        <v>1.6540262E7</v>
      </c>
      <c r="E981" s="30">
        <v>45155.0</v>
      </c>
      <c r="F981" s="33" t="s">
        <v>69</v>
      </c>
      <c r="G981" s="34">
        <v>3.0</v>
      </c>
      <c r="H981" s="33" t="s">
        <v>70</v>
      </c>
      <c r="I981" s="33" t="s">
        <v>88</v>
      </c>
      <c r="J981" s="33" t="s">
        <v>83</v>
      </c>
      <c r="K981" s="33" t="s">
        <v>73</v>
      </c>
      <c r="L981" s="33" t="str">
        <f t="shared" si="1"/>
        <v>FAMILIAR</v>
      </c>
      <c r="M981" s="33">
        <f t="shared" si="2"/>
        <v>8</v>
      </c>
      <c r="N981" s="33">
        <f t="shared" si="3"/>
        <v>2023</v>
      </c>
      <c r="O981" s="35" t="str">
        <f>VLOOKUP(K981,'CA y tablas'!$B$22:$C$28,2,FALSE)</f>
        <v>AMERICANO</v>
      </c>
      <c r="P981" s="28" t="str">
        <f t="shared" si="4"/>
        <v>S2</v>
      </c>
      <c r="Q981" s="29">
        <v>2.0</v>
      </c>
      <c r="R981" s="29" t="str">
        <f t="shared" si="5"/>
        <v>Q2</v>
      </c>
    </row>
    <row r="982" ht="15.75" customHeight="1">
      <c r="A982" s="22">
        <v>45153.0</v>
      </c>
      <c r="B982" s="23">
        <v>3.8954958E9</v>
      </c>
      <c r="C982" s="24" t="s">
        <v>944</v>
      </c>
      <c r="D982" s="23">
        <v>2.1622505E7</v>
      </c>
      <c r="E982" s="22">
        <v>45155.0</v>
      </c>
      <c r="F982" s="25" t="s">
        <v>76</v>
      </c>
      <c r="G982" s="26">
        <v>4.0</v>
      </c>
      <c r="H982" s="25" t="s">
        <v>70</v>
      </c>
      <c r="I982" s="25" t="s">
        <v>88</v>
      </c>
      <c r="J982" s="25" t="s">
        <v>83</v>
      </c>
      <c r="K982" s="25" t="s">
        <v>73</v>
      </c>
      <c r="L982" s="25" t="str">
        <f t="shared" si="1"/>
        <v>FAMILIAR</v>
      </c>
      <c r="M982" s="25">
        <f t="shared" si="2"/>
        <v>8</v>
      </c>
      <c r="N982" s="25">
        <f t="shared" si="3"/>
        <v>2023</v>
      </c>
      <c r="O982" s="27" t="str">
        <f>VLOOKUP(K982,'CA y tablas'!$B$22:$C$28,2,FALSE)</f>
        <v>AMERICANO</v>
      </c>
      <c r="P982" s="28" t="str">
        <f t="shared" si="4"/>
        <v>S2</v>
      </c>
      <c r="Q982" s="29">
        <v>2.0</v>
      </c>
      <c r="R982" s="29" t="str">
        <f t="shared" si="5"/>
        <v>Q2</v>
      </c>
    </row>
    <row r="983" ht="15.75" customHeight="1">
      <c r="A983" s="30">
        <v>45153.0</v>
      </c>
      <c r="B983" s="31">
        <v>1.217244571E9</v>
      </c>
      <c r="C983" s="32" t="s">
        <v>945</v>
      </c>
      <c r="D983" s="31">
        <v>4.1182952E7</v>
      </c>
      <c r="E983" s="30">
        <v>45155.0</v>
      </c>
      <c r="F983" s="33" t="s">
        <v>69</v>
      </c>
      <c r="G983" s="34">
        <v>3.0</v>
      </c>
      <c r="H983" s="33" t="s">
        <v>70</v>
      </c>
      <c r="I983" s="33" t="s">
        <v>88</v>
      </c>
      <c r="J983" s="33" t="s">
        <v>83</v>
      </c>
      <c r="K983" s="33" t="s">
        <v>73</v>
      </c>
      <c r="L983" s="33" t="str">
        <f t="shared" si="1"/>
        <v>FAMILIAR</v>
      </c>
      <c r="M983" s="33">
        <f t="shared" si="2"/>
        <v>8</v>
      </c>
      <c r="N983" s="33">
        <f t="shared" si="3"/>
        <v>2023</v>
      </c>
      <c r="O983" s="35" t="str">
        <f>VLOOKUP(K983,'CA y tablas'!$B$22:$C$28,2,FALSE)</f>
        <v>AMERICANO</v>
      </c>
      <c r="P983" s="28" t="str">
        <f t="shared" si="4"/>
        <v>S2</v>
      </c>
      <c r="Q983" s="29">
        <v>2.0</v>
      </c>
      <c r="R983" s="29" t="str">
        <f t="shared" si="5"/>
        <v>Q2</v>
      </c>
    </row>
    <row r="984" ht="15.75" customHeight="1">
      <c r="A984" s="22">
        <v>45155.0</v>
      </c>
      <c r="B984" s="23">
        <v>3.627711146E9</v>
      </c>
      <c r="C984" s="24" t="s">
        <v>946</v>
      </c>
      <c r="D984" s="23">
        <v>2.7651661E7</v>
      </c>
      <c r="E984" s="22">
        <v>45155.0</v>
      </c>
      <c r="F984" s="25" t="s">
        <v>69</v>
      </c>
      <c r="G984" s="26">
        <v>1.0</v>
      </c>
      <c r="H984" s="25" t="s">
        <v>70</v>
      </c>
      <c r="I984" s="25" t="s">
        <v>88</v>
      </c>
      <c r="J984" s="25" t="s">
        <v>83</v>
      </c>
      <c r="K984" s="25" t="s">
        <v>73</v>
      </c>
      <c r="L984" s="25" t="str">
        <f t="shared" si="1"/>
        <v>INDIVIDUAL</v>
      </c>
      <c r="M984" s="25">
        <f t="shared" si="2"/>
        <v>8</v>
      </c>
      <c r="N984" s="25">
        <f t="shared" si="3"/>
        <v>2023</v>
      </c>
      <c r="O984" s="27" t="str">
        <f>VLOOKUP(K984,'CA y tablas'!$B$22:$C$28,2,FALSE)</f>
        <v>AMERICANO</v>
      </c>
      <c r="P984" s="28" t="str">
        <f t="shared" si="4"/>
        <v>S2</v>
      </c>
      <c r="Q984" s="29">
        <v>2.0</v>
      </c>
      <c r="R984" s="29" t="str">
        <f t="shared" si="5"/>
        <v>Q2</v>
      </c>
    </row>
    <row r="985" ht="15.75" customHeight="1">
      <c r="A985" s="30">
        <v>45155.0</v>
      </c>
      <c r="B985" s="31">
        <v>8.324866476E9</v>
      </c>
      <c r="C985" s="32" t="s">
        <v>947</v>
      </c>
      <c r="D985" s="31">
        <v>3.6224806E7</v>
      </c>
      <c r="E985" s="30">
        <v>45155.0</v>
      </c>
      <c r="F985" s="33" t="s">
        <v>69</v>
      </c>
      <c r="G985" s="34">
        <v>3.0</v>
      </c>
      <c r="H985" s="33" t="s">
        <v>70</v>
      </c>
      <c r="I985" s="33" t="s">
        <v>77</v>
      </c>
      <c r="J985" s="33" t="s">
        <v>83</v>
      </c>
      <c r="K985" s="33" t="s">
        <v>73</v>
      </c>
      <c r="L985" s="33" t="str">
        <f t="shared" si="1"/>
        <v>FAMILIAR</v>
      </c>
      <c r="M985" s="33">
        <f t="shared" si="2"/>
        <v>8</v>
      </c>
      <c r="N985" s="33">
        <f t="shared" si="3"/>
        <v>2023</v>
      </c>
      <c r="O985" s="35" t="str">
        <f>VLOOKUP(K985,'CA y tablas'!$B$22:$C$28,2,FALSE)</f>
        <v>AMERICANO</v>
      </c>
      <c r="P985" s="28" t="str">
        <f t="shared" si="4"/>
        <v>S2</v>
      </c>
      <c r="Q985" s="29">
        <v>2.0</v>
      </c>
      <c r="R985" s="29" t="str">
        <f t="shared" si="5"/>
        <v>Q2</v>
      </c>
    </row>
    <row r="986" ht="15.75" customHeight="1">
      <c r="A986" s="22">
        <v>45155.0</v>
      </c>
      <c r="B986" s="23">
        <v>5.76743468E9</v>
      </c>
      <c r="C986" s="24" t="s">
        <v>948</v>
      </c>
      <c r="D986" s="23">
        <v>1.3045572E7</v>
      </c>
      <c r="E986" s="22">
        <v>45155.0</v>
      </c>
      <c r="F986" s="25" t="s">
        <v>69</v>
      </c>
      <c r="G986" s="26">
        <v>3.0</v>
      </c>
      <c r="H986" s="25" t="s">
        <v>70</v>
      </c>
      <c r="I986" s="25" t="s">
        <v>77</v>
      </c>
      <c r="J986" s="25" t="s">
        <v>83</v>
      </c>
      <c r="K986" s="25" t="s">
        <v>73</v>
      </c>
      <c r="L986" s="25" t="str">
        <f t="shared" si="1"/>
        <v>FAMILIAR</v>
      </c>
      <c r="M986" s="25">
        <f t="shared" si="2"/>
        <v>8</v>
      </c>
      <c r="N986" s="25">
        <f t="shared" si="3"/>
        <v>2023</v>
      </c>
      <c r="O986" s="27" t="str">
        <f>VLOOKUP(K986,'CA y tablas'!$B$22:$C$28,2,FALSE)</f>
        <v>AMERICANO</v>
      </c>
      <c r="P986" s="28" t="str">
        <f t="shared" si="4"/>
        <v>S2</v>
      </c>
      <c r="Q986" s="29">
        <v>2.0</v>
      </c>
      <c r="R986" s="29" t="str">
        <f t="shared" si="5"/>
        <v>Q2</v>
      </c>
    </row>
    <row r="987" ht="15.75" customHeight="1">
      <c r="A987" s="30">
        <v>45155.0</v>
      </c>
      <c r="B987" s="31">
        <v>2.992430976E9</v>
      </c>
      <c r="C987" s="32" t="s">
        <v>949</v>
      </c>
      <c r="D987" s="31">
        <v>3.5517401E7</v>
      </c>
      <c r="E987" s="30">
        <v>45155.0</v>
      </c>
      <c r="F987" s="33" t="s">
        <v>69</v>
      </c>
      <c r="G987" s="34">
        <v>1.0</v>
      </c>
      <c r="H987" s="33" t="s">
        <v>70</v>
      </c>
      <c r="I987" s="33" t="s">
        <v>77</v>
      </c>
      <c r="J987" s="33" t="s">
        <v>83</v>
      </c>
      <c r="K987" s="33" t="s">
        <v>90</v>
      </c>
      <c r="L987" s="33" t="str">
        <f t="shared" si="1"/>
        <v>INDIVIDUAL</v>
      </c>
      <c r="M987" s="33">
        <f t="shared" si="2"/>
        <v>8</v>
      </c>
      <c r="N987" s="33">
        <f t="shared" si="3"/>
        <v>2023</v>
      </c>
      <c r="O987" s="35" t="str">
        <f>VLOOKUP(K987,'CA y tablas'!$B$22:$C$28,2,FALSE)</f>
        <v>EUROPEO</v>
      </c>
      <c r="P987" s="28" t="str">
        <f t="shared" si="4"/>
        <v>S2</v>
      </c>
      <c r="Q987" s="29">
        <v>2.0</v>
      </c>
      <c r="R987" s="29" t="str">
        <f t="shared" si="5"/>
        <v>Q2</v>
      </c>
    </row>
    <row r="988" ht="15.75" customHeight="1">
      <c r="A988" s="22">
        <v>45155.0</v>
      </c>
      <c r="B988" s="23">
        <v>8.324857785E9</v>
      </c>
      <c r="C988" s="24" t="s">
        <v>950</v>
      </c>
      <c r="D988" s="23">
        <v>3.6420595E7</v>
      </c>
      <c r="E988" s="22">
        <v>45155.0</v>
      </c>
      <c r="F988" s="25" t="s">
        <v>69</v>
      </c>
      <c r="G988" s="26">
        <v>2.0</v>
      </c>
      <c r="H988" s="25" t="s">
        <v>70</v>
      </c>
      <c r="I988" s="25" t="s">
        <v>77</v>
      </c>
      <c r="J988" s="25" t="s">
        <v>79</v>
      </c>
      <c r="K988" s="25" t="s">
        <v>90</v>
      </c>
      <c r="L988" s="25" t="str">
        <f t="shared" si="1"/>
        <v>FAMILIAR</v>
      </c>
      <c r="M988" s="25">
        <f t="shared" si="2"/>
        <v>8</v>
      </c>
      <c r="N988" s="25">
        <f t="shared" si="3"/>
        <v>2023</v>
      </c>
      <c r="O988" s="27" t="str">
        <f>VLOOKUP(K988,'CA y tablas'!$B$22:$C$28,2,FALSE)</f>
        <v>EUROPEO</v>
      </c>
      <c r="P988" s="28" t="str">
        <f t="shared" si="4"/>
        <v>S2</v>
      </c>
      <c r="Q988" s="29">
        <v>2.0</v>
      </c>
      <c r="R988" s="29" t="str">
        <f t="shared" si="5"/>
        <v>Q2</v>
      </c>
    </row>
    <row r="989" ht="15.75" customHeight="1">
      <c r="A989" s="30">
        <v>45142.0</v>
      </c>
      <c r="B989" s="31">
        <v>4.897012945E9</v>
      </c>
      <c r="C989" s="32" t="s">
        <v>951</v>
      </c>
      <c r="D989" s="31">
        <v>1.4410447E7</v>
      </c>
      <c r="E989" s="30">
        <v>45156.0</v>
      </c>
      <c r="F989" s="33" t="s">
        <v>69</v>
      </c>
      <c r="G989" s="34">
        <v>2.0</v>
      </c>
      <c r="H989" s="33" t="s">
        <v>70</v>
      </c>
      <c r="I989" s="33" t="s">
        <v>77</v>
      </c>
      <c r="J989" s="33" t="s">
        <v>79</v>
      </c>
      <c r="K989" s="33" t="s">
        <v>90</v>
      </c>
      <c r="L989" s="33" t="str">
        <f t="shared" si="1"/>
        <v>FAMILIAR</v>
      </c>
      <c r="M989" s="33">
        <f t="shared" si="2"/>
        <v>8</v>
      </c>
      <c r="N989" s="33">
        <f t="shared" si="3"/>
        <v>2023</v>
      </c>
      <c r="O989" s="35" t="str">
        <f>VLOOKUP(K989,'CA y tablas'!$B$22:$C$28,2,FALSE)</f>
        <v>EUROPEO</v>
      </c>
      <c r="P989" s="28" t="str">
        <f t="shared" si="4"/>
        <v>S2</v>
      </c>
      <c r="Q989" s="29">
        <v>2.0</v>
      </c>
      <c r="R989" s="29" t="str">
        <f t="shared" si="5"/>
        <v>Q2</v>
      </c>
    </row>
    <row r="990" ht="15.75" customHeight="1">
      <c r="A990" s="22">
        <v>45142.0</v>
      </c>
      <c r="B990" s="23">
        <v>1.66681459E9</v>
      </c>
      <c r="C990" s="24" t="s">
        <v>952</v>
      </c>
      <c r="D990" s="23">
        <v>1.4660518E7</v>
      </c>
      <c r="E990" s="22">
        <v>45156.0</v>
      </c>
      <c r="F990" s="25" t="s">
        <v>69</v>
      </c>
      <c r="G990" s="26">
        <v>1.0</v>
      </c>
      <c r="H990" s="25" t="s">
        <v>70</v>
      </c>
      <c r="I990" s="25" t="s">
        <v>77</v>
      </c>
      <c r="J990" s="25" t="s">
        <v>79</v>
      </c>
      <c r="K990" s="25" t="s">
        <v>90</v>
      </c>
      <c r="L990" s="25" t="str">
        <f t="shared" si="1"/>
        <v>INDIVIDUAL</v>
      </c>
      <c r="M990" s="25">
        <f t="shared" si="2"/>
        <v>8</v>
      </c>
      <c r="N990" s="25">
        <f t="shared" si="3"/>
        <v>2023</v>
      </c>
      <c r="O990" s="27" t="str">
        <f>VLOOKUP(K990,'CA y tablas'!$B$22:$C$28,2,FALSE)</f>
        <v>EUROPEO</v>
      </c>
      <c r="P990" s="28" t="str">
        <f t="shared" si="4"/>
        <v>S2</v>
      </c>
      <c r="Q990" s="29">
        <v>2.0</v>
      </c>
      <c r="R990" s="29" t="str">
        <f t="shared" si="5"/>
        <v>Q2</v>
      </c>
    </row>
    <row r="991" ht="15.75" customHeight="1">
      <c r="A991" s="30">
        <v>45146.0</v>
      </c>
      <c r="B991" s="31">
        <v>6.926862423E9</v>
      </c>
      <c r="C991" s="32" t="s">
        <v>953</v>
      </c>
      <c r="D991" s="31">
        <v>9.2213441E7</v>
      </c>
      <c r="E991" s="30">
        <v>45156.0</v>
      </c>
      <c r="F991" s="33" t="s">
        <v>69</v>
      </c>
      <c r="G991" s="34">
        <v>2.0</v>
      </c>
      <c r="H991" s="33" t="s">
        <v>70</v>
      </c>
      <c r="I991" s="33" t="s">
        <v>77</v>
      </c>
      <c r="J991" s="33" t="s">
        <v>79</v>
      </c>
      <c r="K991" s="33" t="s">
        <v>90</v>
      </c>
      <c r="L991" s="33" t="str">
        <f t="shared" si="1"/>
        <v>FAMILIAR</v>
      </c>
      <c r="M991" s="33">
        <f t="shared" si="2"/>
        <v>8</v>
      </c>
      <c r="N991" s="33">
        <f t="shared" si="3"/>
        <v>2023</v>
      </c>
      <c r="O991" s="35" t="str">
        <f>VLOOKUP(K991,'CA y tablas'!$B$22:$C$28,2,FALSE)</f>
        <v>EUROPEO</v>
      </c>
      <c r="P991" s="28" t="str">
        <f t="shared" si="4"/>
        <v>S2</v>
      </c>
      <c r="Q991" s="29">
        <v>2.0</v>
      </c>
      <c r="R991" s="29" t="str">
        <f t="shared" si="5"/>
        <v>Q2</v>
      </c>
    </row>
    <row r="992" ht="15.75" customHeight="1">
      <c r="A992" s="22">
        <v>45146.0</v>
      </c>
      <c r="B992" s="23">
        <v>2.543793184E9</v>
      </c>
      <c r="C992" s="24" t="s">
        <v>953</v>
      </c>
      <c r="D992" s="23">
        <v>9.2213441E7</v>
      </c>
      <c r="E992" s="22">
        <v>45156.0</v>
      </c>
      <c r="F992" s="25" t="s">
        <v>69</v>
      </c>
      <c r="G992" s="26">
        <v>2.0</v>
      </c>
      <c r="H992" s="25" t="s">
        <v>70</v>
      </c>
      <c r="I992" s="25" t="s">
        <v>77</v>
      </c>
      <c r="J992" s="25" t="s">
        <v>79</v>
      </c>
      <c r="K992" s="25" t="s">
        <v>90</v>
      </c>
      <c r="L992" s="25" t="str">
        <f t="shared" si="1"/>
        <v>FAMILIAR</v>
      </c>
      <c r="M992" s="25">
        <f t="shared" si="2"/>
        <v>8</v>
      </c>
      <c r="N992" s="25">
        <f t="shared" si="3"/>
        <v>2023</v>
      </c>
      <c r="O992" s="27" t="str">
        <f>VLOOKUP(K992,'CA y tablas'!$B$22:$C$28,2,FALSE)</f>
        <v>EUROPEO</v>
      </c>
      <c r="P992" s="28" t="str">
        <f t="shared" si="4"/>
        <v>S2</v>
      </c>
      <c r="Q992" s="29">
        <v>2.0</v>
      </c>
      <c r="R992" s="29" t="str">
        <f t="shared" si="5"/>
        <v>Q2</v>
      </c>
    </row>
    <row r="993" ht="15.75" customHeight="1">
      <c r="A993" s="30">
        <v>45148.0</v>
      </c>
      <c r="B993" s="31">
        <v>8.224352091E9</v>
      </c>
      <c r="C993" s="32" t="s">
        <v>953</v>
      </c>
      <c r="D993" s="31">
        <v>9.2213441E7</v>
      </c>
      <c r="E993" s="30">
        <v>45156.0</v>
      </c>
      <c r="F993" s="33" t="s">
        <v>69</v>
      </c>
      <c r="G993" s="34">
        <v>2.0</v>
      </c>
      <c r="H993" s="33" t="s">
        <v>70</v>
      </c>
      <c r="I993" s="33" t="s">
        <v>77</v>
      </c>
      <c r="J993" s="33" t="s">
        <v>98</v>
      </c>
      <c r="K993" s="33" t="s">
        <v>90</v>
      </c>
      <c r="L993" s="33" t="str">
        <f t="shared" si="1"/>
        <v>FAMILIAR</v>
      </c>
      <c r="M993" s="33">
        <f t="shared" si="2"/>
        <v>8</v>
      </c>
      <c r="N993" s="33">
        <f t="shared" si="3"/>
        <v>2023</v>
      </c>
      <c r="O993" s="35" t="str">
        <f>VLOOKUP(K993,'CA y tablas'!$B$22:$C$28,2,FALSE)</f>
        <v>EUROPEO</v>
      </c>
      <c r="P993" s="28" t="str">
        <f t="shared" si="4"/>
        <v>S2</v>
      </c>
      <c r="Q993" s="29">
        <v>2.0</v>
      </c>
      <c r="R993" s="29" t="str">
        <f t="shared" si="5"/>
        <v>Q2</v>
      </c>
    </row>
    <row r="994" ht="15.75" customHeight="1">
      <c r="A994" s="22">
        <v>45149.0</v>
      </c>
      <c r="B994" s="23">
        <v>3.129384215E9</v>
      </c>
      <c r="C994" s="24" t="s">
        <v>954</v>
      </c>
      <c r="D994" s="23">
        <v>3.4880563E7</v>
      </c>
      <c r="E994" s="22">
        <v>45156.0</v>
      </c>
      <c r="F994" s="25" t="s">
        <v>69</v>
      </c>
      <c r="G994" s="26">
        <v>2.0</v>
      </c>
      <c r="H994" s="25" t="s">
        <v>70</v>
      </c>
      <c r="I994" s="25" t="s">
        <v>77</v>
      </c>
      <c r="J994" s="25" t="s">
        <v>98</v>
      </c>
      <c r="K994" s="25" t="s">
        <v>99</v>
      </c>
      <c r="L994" s="25" t="str">
        <f t="shared" si="1"/>
        <v>FAMILIAR</v>
      </c>
      <c r="M994" s="25">
        <f t="shared" si="2"/>
        <v>8</v>
      </c>
      <c r="N994" s="25">
        <f t="shared" si="3"/>
        <v>2023</v>
      </c>
      <c r="O994" s="27" t="str">
        <f>VLOOKUP(K994,'CA y tablas'!$B$22:$C$28,2,FALSE)</f>
        <v>EUROPEO</v>
      </c>
      <c r="P994" s="28" t="str">
        <f t="shared" si="4"/>
        <v>S2</v>
      </c>
      <c r="Q994" s="29">
        <v>2.0</v>
      </c>
      <c r="R994" s="29" t="str">
        <f t="shared" si="5"/>
        <v>Q2</v>
      </c>
    </row>
    <row r="995" ht="15.75" customHeight="1">
      <c r="A995" s="30">
        <v>45149.0</v>
      </c>
      <c r="B995" s="31">
        <v>4.42268001E9</v>
      </c>
      <c r="C995" s="32" t="s">
        <v>955</v>
      </c>
      <c r="D995" s="31">
        <v>2.132756E7</v>
      </c>
      <c r="E995" s="30">
        <v>45156.0</v>
      </c>
      <c r="F995" s="33" t="s">
        <v>69</v>
      </c>
      <c r="G995" s="34">
        <v>2.0</v>
      </c>
      <c r="H995" s="33" t="s">
        <v>70</v>
      </c>
      <c r="I995" s="33" t="s">
        <v>77</v>
      </c>
      <c r="J995" s="33" t="s">
        <v>98</v>
      </c>
      <c r="K995" s="33" t="s">
        <v>99</v>
      </c>
      <c r="L995" s="33" t="str">
        <f t="shared" si="1"/>
        <v>FAMILIAR</v>
      </c>
      <c r="M995" s="33">
        <f t="shared" si="2"/>
        <v>8</v>
      </c>
      <c r="N995" s="33">
        <f t="shared" si="3"/>
        <v>2023</v>
      </c>
      <c r="O995" s="35" t="str">
        <f>VLOOKUP(K995,'CA y tablas'!$B$22:$C$28,2,FALSE)</f>
        <v>EUROPEO</v>
      </c>
      <c r="P995" s="28" t="str">
        <f t="shared" si="4"/>
        <v>S2</v>
      </c>
      <c r="Q995" s="29">
        <v>2.0</v>
      </c>
      <c r="R995" s="29" t="str">
        <f t="shared" si="5"/>
        <v>Q2</v>
      </c>
    </row>
    <row r="996" ht="15.75" customHeight="1">
      <c r="A996" s="22">
        <v>45153.0</v>
      </c>
      <c r="B996" s="23">
        <v>6.980967641E9</v>
      </c>
      <c r="C996" s="24" t="s">
        <v>956</v>
      </c>
      <c r="D996" s="23">
        <v>4.2221237E7</v>
      </c>
      <c r="E996" s="22">
        <v>45156.0</v>
      </c>
      <c r="F996" s="25" t="s">
        <v>69</v>
      </c>
      <c r="G996" s="26">
        <v>1.0</v>
      </c>
      <c r="H996" s="25" t="s">
        <v>70</v>
      </c>
      <c r="I996" s="25" t="s">
        <v>77</v>
      </c>
      <c r="J996" s="25" t="s">
        <v>98</v>
      </c>
      <c r="K996" s="25" t="s">
        <v>99</v>
      </c>
      <c r="L996" s="25" t="str">
        <f t="shared" si="1"/>
        <v>INDIVIDUAL</v>
      </c>
      <c r="M996" s="25">
        <f t="shared" si="2"/>
        <v>8</v>
      </c>
      <c r="N996" s="25">
        <f t="shared" si="3"/>
        <v>2023</v>
      </c>
      <c r="O996" s="27" t="str">
        <f>VLOOKUP(K996,'CA y tablas'!$B$22:$C$28,2,FALSE)</f>
        <v>EUROPEO</v>
      </c>
      <c r="P996" s="28" t="str">
        <f t="shared" si="4"/>
        <v>S2</v>
      </c>
      <c r="Q996" s="29">
        <v>2.0</v>
      </c>
      <c r="R996" s="29" t="str">
        <f t="shared" si="5"/>
        <v>Q2</v>
      </c>
    </row>
    <row r="997" ht="15.75" customHeight="1">
      <c r="A997" s="30">
        <v>45153.0</v>
      </c>
      <c r="B997" s="31">
        <v>1.167020875E9</v>
      </c>
      <c r="C997" s="32" t="s">
        <v>957</v>
      </c>
      <c r="D997" s="31">
        <v>3.5199957E7</v>
      </c>
      <c r="E997" s="30">
        <v>45156.0</v>
      </c>
      <c r="F997" s="33" t="s">
        <v>69</v>
      </c>
      <c r="G997" s="34">
        <v>3.0</v>
      </c>
      <c r="H997" s="33" t="s">
        <v>70</v>
      </c>
      <c r="I997" s="33" t="s">
        <v>77</v>
      </c>
      <c r="J997" s="33" t="s">
        <v>98</v>
      </c>
      <c r="K997" s="33" t="s">
        <v>99</v>
      </c>
      <c r="L997" s="33" t="str">
        <f t="shared" si="1"/>
        <v>FAMILIAR</v>
      </c>
      <c r="M997" s="33">
        <f t="shared" si="2"/>
        <v>8</v>
      </c>
      <c r="N997" s="33">
        <f t="shared" si="3"/>
        <v>2023</v>
      </c>
      <c r="O997" s="35" t="str">
        <f>VLOOKUP(K997,'CA y tablas'!$B$22:$C$28,2,FALSE)</f>
        <v>EUROPEO</v>
      </c>
      <c r="P997" s="28" t="str">
        <f t="shared" si="4"/>
        <v>S2</v>
      </c>
      <c r="Q997" s="29">
        <v>2.0</v>
      </c>
      <c r="R997" s="29" t="str">
        <f t="shared" si="5"/>
        <v>Q2</v>
      </c>
    </row>
    <row r="998" ht="15.75" customHeight="1">
      <c r="A998" s="22">
        <v>45153.0</v>
      </c>
      <c r="B998" s="23">
        <v>8.433019803E9</v>
      </c>
      <c r="C998" s="24" t="s">
        <v>958</v>
      </c>
      <c r="D998" s="23">
        <v>9991406.0</v>
      </c>
      <c r="E998" s="22">
        <v>45156.0</v>
      </c>
      <c r="F998" s="25" t="s">
        <v>69</v>
      </c>
      <c r="G998" s="26">
        <v>3.0</v>
      </c>
      <c r="H998" s="25" t="s">
        <v>70</v>
      </c>
      <c r="I998" s="25" t="s">
        <v>77</v>
      </c>
      <c r="J998" s="25" t="s">
        <v>98</v>
      </c>
      <c r="K998" s="25" t="s">
        <v>99</v>
      </c>
      <c r="L998" s="25" t="str">
        <f t="shared" si="1"/>
        <v>FAMILIAR</v>
      </c>
      <c r="M998" s="25">
        <f t="shared" si="2"/>
        <v>8</v>
      </c>
      <c r="N998" s="25">
        <f t="shared" si="3"/>
        <v>2023</v>
      </c>
      <c r="O998" s="27" t="str">
        <f>VLOOKUP(K998,'CA y tablas'!$B$22:$C$28,2,FALSE)</f>
        <v>EUROPEO</v>
      </c>
      <c r="P998" s="28" t="str">
        <f t="shared" si="4"/>
        <v>S2</v>
      </c>
      <c r="Q998" s="29">
        <v>2.0</v>
      </c>
      <c r="R998" s="29" t="str">
        <f t="shared" si="5"/>
        <v>Q2</v>
      </c>
    </row>
    <row r="999" ht="15.75" customHeight="1">
      <c r="A999" s="30">
        <v>45155.0</v>
      </c>
      <c r="B999" s="31">
        <v>1.551403162E9</v>
      </c>
      <c r="C999" s="32" t="s">
        <v>959</v>
      </c>
      <c r="D999" s="31">
        <v>3.1254098E7</v>
      </c>
      <c r="E999" s="30">
        <v>45156.0</v>
      </c>
      <c r="F999" s="33" t="s">
        <v>69</v>
      </c>
      <c r="G999" s="34">
        <v>1.0</v>
      </c>
      <c r="H999" s="33" t="s">
        <v>70</v>
      </c>
      <c r="I999" s="33" t="s">
        <v>77</v>
      </c>
      <c r="J999" s="33" t="s">
        <v>98</v>
      </c>
      <c r="K999" s="33" t="s">
        <v>99</v>
      </c>
      <c r="L999" s="33" t="str">
        <f t="shared" si="1"/>
        <v>INDIVIDUAL</v>
      </c>
      <c r="M999" s="33">
        <f t="shared" si="2"/>
        <v>8</v>
      </c>
      <c r="N999" s="33">
        <f t="shared" si="3"/>
        <v>2023</v>
      </c>
      <c r="O999" s="35" t="str">
        <f>VLOOKUP(K999,'CA y tablas'!$B$22:$C$28,2,FALSE)</f>
        <v>EUROPEO</v>
      </c>
      <c r="P999" s="28" t="str">
        <f t="shared" si="4"/>
        <v>S2</v>
      </c>
      <c r="Q999" s="29">
        <v>2.0</v>
      </c>
      <c r="R999" s="29" t="str">
        <f t="shared" si="5"/>
        <v>Q2</v>
      </c>
    </row>
    <row r="1000" ht="15.75" customHeight="1">
      <c r="A1000" s="22">
        <v>45155.0</v>
      </c>
      <c r="B1000" s="23">
        <v>3.627739161E9</v>
      </c>
      <c r="C1000" s="24" t="s">
        <v>960</v>
      </c>
      <c r="D1000" s="23">
        <v>2.8223582E7</v>
      </c>
      <c r="E1000" s="22">
        <v>45156.0</v>
      </c>
      <c r="F1000" s="25" t="s">
        <v>69</v>
      </c>
      <c r="G1000" s="26">
        <v>3.0</v>
      </c>
      <c r="H1000" s="25" t="s">
        <v>116</v>
      </c>
      <c r="I1000" s="25" t="s">
        <v>71</v>
      </c>
      <c r="J1000" s="25" t="s">
        <v>98</v>
      </c>
      <c r="K1000" s="25" t="s">
        <v>99</v>
      </c>
      <c r="L1000" s="25" t="str">
        <f t="shared" si="1"/>
        <v>FAMILIAR</v>
      </c>
      <c r="M1000" s="25">
        <f t="shared" si="2"/>
        <v>8</v>
      </c>
      <c r="N1000" s="25">
        <f t="shared" si="3"/>
        <v>2023</v>
      </c>
      <c r="O1000" s="27" t="str">
        <f>VLOOKUP(K1000,'CA y tablas'!$B$22:$C$28,2,FALSE)</f>
        <v>EUROPEO</v>
      </c>
      <c r="P1000" s="28" t="str">
        <f t="shared" si="4"/>
        <v>S2</v>
      </c>
      <c r="Q1000" s="29">
        <v>2.0</v>
      </c>
      <c r="R1000" s="29" t="str">
        <f t="shared" si="5"/>
        <v>Q2</v>
      </c>
    </row>
    <row r="1001" ht="15.75" customHeight="1">
      <c r="A1001" s="30">
        <v>45155.0</v>
      </c>
      <c r="B1001" s="31">
        <v>2.992440581E9</v>
      </c>
      <c r="C1001" s="32" t="s">
        <v>961</v>
      </c>
      <c r="D1001" s="31">
        <v>1.0221871E7</v>
      </c>
      <c r="E1001" s="30">
        <v>45156.0</v>
      </c>
      <c r="F1001" s="33" t="s">
        <v>69</v>
      </c>
      <c r="G1001" s="34">
        <v>3.0</v>
      </c>
      <c r="H1001" s="33" t="s">
        <v>116</v>
      </c>
      <c r="I1001" s="33" t="s">
        <v>71</v>
      </c>
      <c r="J1001" s="33" t="s">
        <v>98</v>
      </c>
      <c r="K1001" s="33" t="s">
        <v>99</v>
      </c>
      <c r="L1001" s="33" t="str">
        <f t="shared" si="1"/>
        <v>FAMILIAR</v>
      </c>
      <c r="M1001" s="33">
        <f t="shared" si="2"/>
        <v>8</v>
      </c>
      <c r="N1001" s="33">
        <f t="shared" si="3"/>
        <v>2023</v>
      </c>
      <c r="O1001" s="35" t="str">
        <f>VLOOKUP(K1001,'CA y tablas'!$B$22:$C$28,2,FALSE)</f>
        <v>EUROPEO</v>
      </c>
      <c r="P1001" s="28" t="str">
        <f t="shared" si="4"/>
        <v>S2</v>
      </c>
      <c r="Q1001" s="29">
        <v>2.0</v>
      </c>
      <c r="R1001" s="29" t="str">
        <f t="shared" si="5"/>
        <v>Q2</v>
      </c>
    </row>
    <row r="1002" ht="15.75" customHeight="1">
      <c r="A1002" s="22">
        <v>45155.0</v>
      </c>
      <c r="B1002" s="23">
        <v>7.736457271E9</v>
      </c>
      <c r="C1002" s="24" t="s">
        <v>962</v>
      </c>
      <c r="D1002" s="23">
        <v>3.3540099E7</v>
      </c>
      <c r="E1002" s="22">
        <v>45156.0</v>
      </c>
      <c r="F1002" s="25" t="s">
        <v>69</v>
      </c>
      <c r="G1002" s="26">
        <v>3.0</v>
      </c>
      <c r="H1002" s="25" t="s">
        <v>116</v>
      </c>
      <c r="I1002" s="25" t="s">
        <v>71</v>
      </c>
      <c r="J1002" s="25" t="s">
        <v>79</v>
      </c>
      <c r="K1002" s="25" t="s">
        <v>99</v>
      </c>
      <c r="L1002" s="25" t="str">
        <f t="shared" si="1"/>
        <v>FAMILIAR</v>
      </c>
      <c r="M1002" s="25">
        <f t="shared" si="2"/>
        <v>8</v>
      </c>
      <c r="N1002" s="25">
        <f t="shared" si="3"/>
        <v>2023</v>
      </c>
      <c r="O1002" s="27" t="str">
        <f>VLOOKUP(K1002,'CA y tablas'!$B$22:$C$28,2,FALSE)</f>
        <v>EUROPEO</v>
      </c>
      <c r="P1002" s="28" t="str">
        <f t="shared" si="4"/>
        <v>S2</v>
      </c>
      <c r="Q1002" s="29">
        <v>2.0</v>
      </c>
      <c r="R1002" s="29" t="str">
        <f t="shared" si="5"/>
        <v>Q2</v>
      </c>
    </row>
    <row r="1003" ht="15.75" customHeight="1">
      <c r="A1003" s="30">
        <v>45155.0</v>
      </c>
      <c r="B1003" s="31">
        <v>5.767447814E9</v>
      </c>
      <c r="C1003" s="32" t="s">
        <v>963</v>
      </c>
      <c r="D1003" s="31">
        <v>1.7494558E7</v>
      </c>
      <c r="E1003" s="30">
        <v>45156.0</v>
      </c>
      <c r="F1003" s="33" t="s">
        <v>69</v>
      </c>
      <c r="G1003" s="34">
        <v>3.0</v>
      </c>
      <c r="H1003" s="33" t="s">
        <v>116</v>
      </c>
      <c r="I1003" s="33" t="s">
        <v>71</v>
      </c>
      <c r="J1003" s="33" t="s">
        <v>79</v>
      </c>
      <c r="K1003" s="33" t="s">
        <v>99</v>
      </c>
      <c r="L1003" s="33" t="str">
        <f t="shared" si="1"/>
        <v>FAMILIAR</v>
      </c>
      <c r="M1003" s="33">
        <f t="shared" si="2"/>
        <v>8</v>
      </c>
      <c r="N1003" s="33">
        <f t="shared" si="3"/>
        <v>2023</v>
      </c>
      <c r="O1003" s="35" t="str">
        <f>VLOOKUP(K1003,'CA y tablas'!$B$22:$C$28,2,FALSE)</f>
        <v>EUROPEO</v>
      </c>
      <c r="P1003" s="28" t="str">
        <f t="shared" si="4"/>
        <v>S2</v>
      </c>
      <c r="Q1003" s="29">
        <v>2.0</v>
      </c>
      <c r="R1003" s="29" t="str">
        <f t="shared" si="5"/>
        <v>Q2</v>
      </c>
    </row>
    <row r="1004" ht="15.75" customHeight="1">
      <c r="A1004" s="22">
        <v>45156.0</v>
      </c>
      <c r="B1004" s="23">
        <v>7.389475015E9</v>
      </c>
      <c r="C1004" s="24" t="s">
        <v>964</v>
      </c>
      <c r="D1004" s="23">
        <v>1.4351678E7</v>
      </c>
      <c r="E1004" s="22">
        <v>45156.0</v>
      </c>
      <c r="F1004" s="25" t="s">
        <v>69</v>
      </c>
      <c r="G1004" s="26">
        <v>3.0</v>
      </c>
      <c r="H1004" s="25" t="s">
        <v>106</v>
      </c>
      <c r="I1004" s="25" t="s">
        <v>71</v>
      </c>
      <c r="J1004" s="25" t="s">
        <v>79</v>
      </c>
      <c r="K1004" s="25" t="s">
        <v>84</v>
      </c>
      <c r="L1004" s="25" t="str">
        <f t="shared" si="1"/>
        <v>FAMILIAR</v>
      </c>
      <c r="M1004" s="25">
        <f t="shared" si="2"/>
        <v>8</v>
      </c>
      <c r="N1004" s="25">
        <f t="shared" si="3"/>
        <v>2023</v>
      </c>
      <c r="O1004" s="27" t="str">
        <f>VLOOKUP(K1004,'CA y tablas'!$B$22:$C$28,2,FALSE)</f>
        <v>EUROPEO</v>
      </c>
      <c r="P1004" s="28" t="str">
        <f t="shared" si="4"/>
        <v>S2</v>
      </c>
      <c r="Q1004" s="29">
        <v>2.0</v>
      </c>
      <c r="R1004" s="29" t="str">
        <f t="shared" si="5"/>
        <v>Q2</v>
      </c>
    </row>
    <row r="1005" ht="15.75" customHeight="1">
      <c r="A1005" s="30">
        <v>45132.0</v>
      </c>
      <c r="B1005" s="31">
        <v>3.750197964E9</v>
      </c>
      <c r="C1005" s="32" t="s">
        <v>965</v>
      </c>
      <c r="D1005" s="31">
        <v>3.1857755E7</v>
      </c>
      <c r="E1005" s="30">
        <v>45160.0</v>
      </c>
      <c r="F1005" s="33" t="s">
        <v>76</v>
      </c>
      <c r="G1005" s="34">
        <v>1.0</v>
      </c>
      <c r="H1005" s="33" t="s">
        <v>106</v>
      </c>
      <c r="I1005" s="33" t="s">
        <v>71</v>
      </c>
      <c r="J1005" s="33" t="s">
        <v>79</v>
      </c>
      <c r="K1005" s="33" t="s">
        <v>84</v>
      </c>
      <c r="L1005" s="33" t="str">
        <f t="shared" si="1"/>
        <v>INDIVIDUAL</v>
      </c>
      <c r="M1005" s="33">
        <f t="shared" si="2"/>
        <v>8</v>
      </c>
      <c r="N1005" s="33">
        <f t="shared" si="3"/>
        <v>2023</v>
      </c>
      <c r="O1005" s="35" t="str">
        <f>VLOOKUP(K1005,'CA y tablas'!$B$22:$C$28,2,FALSE)</f>
        <v>EUROPEO</v>
      </c>
      <c r="P1005" s="28" t="str">
        <f t="shared" si="4"/>
        <v>S2</v>
      </c>
      <c r="Q1005" s="29">
        <v>2.0</v>
      </c>
      <c r="R1005" s="29" t="str">
        <f t="shared" si="5"/>
        <v>Q2</v>
      </c>
    </row>
    <row r="1006" ht="15.75" customHeight="1">
      <c r="A1006" s="22">
        <v>45135.0</v>
      </c>
      <c r="B1006" s="23">
        <v>8.395504246E9</v>
      </c>
      <c r="C1006" s="24" t="s">
        <v>966</v>
      </c>
      <c r="D1006" s="23">
        <v>1.8667678E7</v>
      </c>
      <c r="E1006" s="22">
        <v>45160.0</v>
      </c>
      <c r="F1006" s="25" t="s">
        <v>69</v>
      </c>
      <c r="G1006" s="26">
        <v>3.0</v>
      </c>
      <c r="H1006" s="25" t="s">
        <v>106</v>
      </c>
      <c r="I1006" s="25" t="s">
        <v>71</v>
      </c>
      <c r="J1006" s="25" t="s">
        <v>83</v>
      </c>
      <c r="K1006" s="25" t="s">
        <v>84</v>
      </c>
      <c r="L1006" s="25" t="str">
        <f t="shared" si="1"/>
        <v>FAMILIAR</v>
      </c>
      <c r="M1006" s="25">
        <f t="shared" si="2"/>
        <v>8</v>
      </c>
      <c r="N1006" s="25">
        <f t="shared" si="3"/>
        <v>2023</v>
      </c>
      <c r="O1006" s="27" t="str">
        <f>VLOOKUP(K1006,'CA y tablas'!$B$22:$C$28,2,FALSE)</f>
        <v>EUROPEO</v>
      </c>
      <c r="P1006" s="28" t="str">
        <f t="shared" si="4"/>
        <v>S2</v>
      </c>
      <c r="Q1006" s="29">
        <v>2.0</v>
      </c>
      <c r="R1006" s="29" t="str">
        <f t="shared" si="5"/>
        <v>Q2</v>
      </c>
    </row>
    <row r="1007" ht="15.75" customHeight="1">
      <c r="A1007" s="30">
        <v>45148.0</v>
      </c>
      <c r="B1007" s="31">
        <v>6.697679074E9</v>
      </c>
      <c r="C1007" s="32" t="s">
        <v>967</v>
      </c>
      <c r="D1007" s="31">
        <v>4.3565194E7</v>
      </c>
      <c r="E1007" s="30">
        <v>45160.0</v>
      </c>
      <c r="F1007" s="33" t="s">
        <v>69</v>
      </c>
      <c r="G1007" s="34">
        <v>3.0</v>
      </c>
      <c r="H1007" s="33" t="s">
        <v>106</v>
      </c>
      <c r="I1007" s="33" t="s">
        <v>71</v>
      </c>
      <c r="J1007" s="33" t="s">
        <v>83</v>
      </c>
      <c r="K1007" s="33" t="s">
        <v>84</v>
      </c>
      <c r="L1007" s="33" t="str">
        <f t="shared" si="1"/>
        <v>FAMILIAR</v>
      </c>
      <c r="M1007" s="33">
        <f t="shared" si="2"/>
        <v>8</v>
      </c>
      <c r="N1007" s="33">
        <f t="shared" si="3"/>
        <v>2023</v>
      </c>
      <c r="O1007" s="35" t="str">
        <f>VLOOKUP(K1007,'CA y tablas'!$B$22:$C$28,2,FALSE)</f>
        <v>EUROPEO</v>
      </c>
      <c r="P1007" s="28" t="str">
        <f t="shared" si="4"/>
        <v>S2</v>
      </c>
      <c r="Q1007" s="29">
        <v>2.0</v>
      </c>
      <c r="R1007" s="29" t="str">
        <f t="shared" si="5"/>
        <v>Q2</v>
      </c>
    </row>
    <row r="1008" ht="15.75" customHeight="1">
      <c r="A1008" s="22">
        <v>45148.0</v>
      </c>
      <c r="B1008" s="23">
        <v>9.80888111E9</v>
      </c>
      <c r="C1008" s="24" t="s">
        <v>968</v>
      </c>
      <c r="D1008" s="23">
        <v>2.6445714E7</v>
      </c>
      <c r="E1008" s="22">
        <v>45160.0</v>
      </c>
      <c r="F1008" s="25" t="s">
        <v>69</v>
      </c>
      <c r="G1008" s="26">
        <v>3.0</v>
      </c>
      <c r="H1008" s="25" t="s">
        <v>106</v>
      </c>
      <c r="I1008" s="25" t="s">
        <v>71</v>
      </c>
      <c r="J1008" s="25" t="s">
        <v>83</v>
      </c>
      <c r="K1008" s="25" t="s">
        <v>84</v>
      </c>
      <c r="L1008" s="25" t="str">
        <f t="shared" si="1"/>
        <v>FAMILIAR</v>
      </c>
      <c r="M1008" s="25">
        <f t="shared" si="2"/>
        <v>8</v>
      </c>
      <c r="N1008" s="25">
        <f t="shared" si="3"/>
        <v>2023</v>
      </c>
      <c r="O1008" s="27" t="str">
        <f>VLOOKUP(K1008,'CA y tablas'!$B$22:$C$28,2,FALSE)</f>
        <v>EUROPEO</v>
      </c>
      <c r="P1008" s="28" t="str">
        <f t="shared" si="4"/>
        <v>S2</v>
      </c>
      <c r="Q1008" s="29">
        <v>2.0</v>
      </c>
      <c r="R1008" s="29" t="str">
        <f t="shared" si="5"/>
        <v>Q2</v>
      </c>
    </row>
    <row r="1009" ht="15.75" customHeight="1">
      <c r="A1009" s="30">
        <v>45148.0</v>
      </c>
      <c r="B1009" s="31">
        <v>6.37030639E9</v>
      </c>
      <c r="C1009" s="32" t="s">
        <v>969</v>
      </c>
      <c r="D1009" s="31">
        <v>3.3163423E7</v>
      </c>
      <c r="E1009" s="30">
        <v>45160.0</v>
      </c>
      <c r="F1009" s="33" t="s">
        <v>69</v>
      </c>
      <c r="G1009" s="34">
        <v>3.0</v>
      </c>
      <c r="H1009" s="33" t="s">
        <v>106</v>
      </c>
      <c r="I1009" s="33" t="s">
        <v>71</v>
      </c>
      <c r="J1009" s="33" t="s">
        <v>83</v>
      </c>
      <c r="K1009" s="33" t="s">
        <v>84</v>
      </c>
      <c r="L1009" s="33" t="str">
        <f t="shared" si="1"/>
        <v>FAMILIAR</v>
      </c>
      <c r="M1009" s="33">
        <f t="shared" si="2"/>
        <v>8</v>
      </c>
      <c r="N1009" s="33">
        <f t="shared" si="3"/>
        <v>2023</v>
      </c>
      <c r="O1009" s="35" t="str">
        <f>VLOOKUP(K1009,'CA y tablas'!$B$22:$C$28,2,FALSE)</f>
        <v>EUROPEO</v>
      </c>
      <c r="P1009" s="28" t="str">
        <f t="shared" si="4"/>
        <v>S2</v>
      </c>
      <c r="Q1009" s="29">
        <v>2.0</v>
      </c>
      <c r="R1009" s="29" t="str">
        <f t="shared" si="5"/>
        <v>Q2</v>
      </c>
    </row>
    <row r="1010" ht="15.75" customHeight="1">
      <c r="A1010" s="22">
        <v>45148.0</v>
      </c>
      <c r="B1010" s="23">
        <v>5.772041822E9</v>
      </c>
      <c r="C1010" s="24" t="s">
        <v>969</v>
      </c>
      <c r="D1010" s="23">
        <v>3.3163423E7</v>
      </c>
      <c r="E1010" s="22">
        <v>45160.0</v>
      </c>
      <c r="F1010" s="25" t="s">
        <v>76</v>
      </c>
      <c r="G1010" s="26">
        <v>1.0</v>
      </c>
      <c r="H1010" s="25" t="s">
        <v>112</v>
      </c>
      <c r="I1010" s="25" t="s">
        <v>71</v>
      </c>
      <c r="J1010" s="25" t="s">
        <v>83</v>
      </c>
      <c r="K1010" s="25" t="s">
        <v>84</v>
      </c>
      <c r="L1010" s="25" t="str">
        <f t="shared" si="1"/>
        <v>INDIVIDUAL</v>
      </c>
      <c r="M1010" s="25">
        <f t="shared" si="2"/>
        <v>8</v>
      </c>
      <c r="N1010" s="25">
        <f t="shared" si="3"/>
        <v>2023</v>
      </c>
      <c r="O1010" s="27" t="str">
        <f>VLOOKUP(K1010,'CA y tablas'!$B$22:$C$28,2,FALSE)</f>
        <v>EUROPEO</v>
      </c>
      <c r="P1010" s="28" t="str">
        <f t="shared" si="4"/>
        <v>S2</v>
      </c>
      <c r="Q1010" s="29">
        <v>2.0</v>
      </c>
      <c r="R1010" s="29" t="str">
        <f t="shared" si="5"/>
        <v>Q2</v>
      </c>
    </row>
    <row r="1011" ht="15.75" customHeight="1">
      <c r="A1011" s="30">
        <v>45149.0</v>
      </c>
      <c r="B1011" s="31">
        <v>3.1293934E9</v>
      </c>
      <c r="C1011" s="32" t="s">
        <v>970</v>
      </c>
      <c r="D1011" s="31">
        <v>3.2513725E7</v>
      </c>
      <c r="E1011" s="30">
        <v>45160.0</v>
      </c>
      <c r="F1011" s="33" t="s">
        <v>76</v>
      </c>
      <c r="G1011" s="34">
        <v>2.0</v>
      </c>
      <c r="H1011" s="33" t="s">
        <v>112</v>
      </c>
      <c r="I1011" s="33" t="s">
        <v>71</v>
      </c>
      <c r="J1011" s="33" t="s">
        <v>83</v>
      </c>
      <c r="K1011" s="33" t="s">
        <v>84</v>
      </c>
      <c r="L1011" s="33" t="str">
        <f t="shared" si="1"/>
        <v>FAMILIAR</v>
      </c>
      <c r="M1011" s="33">
        <f t="shared" si="2"/>
        <v>8</v>
      </c>
      <c r="N1011" s="33">
        <f t="shared" si="3"/>
        <v>2023</v>
      </c>
      <c r="O1011" s="35" t="str">
        <f>VLOOKUP(K1011,'CA y tablas'!$B$22:$C$28,2,FALSE)</f>
        <v>EUROPEO</v>
      </c>
      <c r="P1011" s="28" t="str">
        <f t="shared" si="4"/>
        <v>S2</v>
      </c>
      <c r="Q1011" s="29">
        <v>2.0</v>
      </c>
      <c r="R1011" s="29" t="str">
        <f t="shared" si="5"/>
        <v>Q2</v>
      </c>
    </row>
    <row r="1012" ht="15.75" customHeight="1">
      <c r="A1012" s="22">
        <v>45153.0</v>
      </c>
      <c r="B1012" s="23">
        <v>1.453095906E9</v>
      </c>
      <c r="C1012" s="24" t="s">
        <v>971</v>
      </c>
      <c r="D1012" s="23">
        <v>4.2939905E7</v>
      </c>
      <c r="E1012" s="22">
        <v>45160.0</v>
      </c>
      <c r="F1012" s="25" t="s">
        <v>69</v>
      </c>
      <c r="G1012" s="26">
        <v>2.0</v>
      </c>
      <c r="H1012" s="25" t="s">
        <v>112</v>
      </c>
      <c r="I1012" s="25" t="s">
        <v>77</v>
      </c>
      <c r="J1012" s="25" t="s">
        <v>83</v>
      </c>
      <c r="K1012" s="25" t="s">
        <v>84</v>
      </c>
      <c r="L1012" s="25" t="str">
        <f t="shared" si="1"/>
        <v>FAMILIAR</v>
      </c>
      <c r="M1012" s="25">
        <f t="shared" si="2"/>
        <v>8</v>
      </c>
      <c r="N1012" s="25">
        <f t="shared" si="3"/>
        <v>2023</v>
      </c>
      <c r="O1012" s="27" t="str">
        <f>VLOOKUP(K1012,'CA y tablas'!$B$22:$C$28,2,FALSE)</f>
        <v>EUROPEO</v>
      </c>
      <c r="P1012" s="28" t="str">
        <f t="shared" si="4"/>
        <v>S2</v>
      </c>
      <c r="Q1012" s="29">
        <v>2.0</v>
      </c>
      <c r="R1012" s="29" t="str">
        <f t="shared" si="5"/>
        <v>Q2</v>
      </c>
    </row>
    <row r="1013" ht="15.75" customHeight="1">
      <c r="A1013" s="30">
        <v>45153.0</v>
      </c>
      <c r="B1013" s="31">
        <v>1.453169454E9</v>
      </c>
      <c r="C1013" s="32" t="s">
        <v>631</v>
      </c>
      <c r="D1013" s="31">
        <v>2.5923253E7</v>
      </c>
      <c r="E1013" s="30">
        <v>45160.0</v>
      </c>
      <c r="F1013" s="33" t="s">
        <v>69</v>
      </c>
      <c r="G1013" s="34">
        <v>2.0</v>
      </c>
      <c r="H1013" s="33" t="s">
        <v>112</v>
      </c>
      <c r="I1013" s="33" t="s">
        <v>77</v>
      </c>
      <c r="J1013" s="33" t="s">
        <v>83</v>
      </c>
      <c r="K1013" s="33" t="s">
        <v>84</v>
      </c>
      <c r="L1013" s="33" t="str">
        <f t="shared" si="1"/>
        <v>FAMILIAR</v>
      </c>
      <c r="M1013" s="33">
        <f t="shared" si="2"/>
        <v>8</v>
      </c>
      <c r="N1013" s="33">
        <f t="shared" si="3"/>
        <v>2023</v>
      </c>
      <c r="O1013" s="35" t="str">
        <f>VLOOKUP(K1013,'CA y tablas'!$B$22:$C$28,2,FALSE)</f>
        <v>EUROPEO</v>
      </c>
      <c r="P1013" s="28" t="str">
        <f t="shared" si="4"/>
        <v>S2</v>
      </c>
      <c r="Q1013" s="29">
        <v>2.0</v>
      </c>
      <c r="R1013" s="29" t="str">
        <f t="shared" si="5"/>
        <v>Q2</v>
      </c>
    </row>
    <row r="1014" ht="15.75" customHeight="1">
      <c r="A1014" s="22">
        <v>45155.0</v>
      </c>
      <c r="B1014" s="23">
        <v>8.236538494E9</v>
      </c>
      <c r="C1014" s="24" t="s">
        <v>972</v>
      </c>
      <c r="D1014" s="23">
        <v>3.9480673E7</v>
      </c>
      <c r="E1014" s="22">
        <v>45160.0</v>
      </c>
      <c r="F1014" s="25" t="s">
        <v>69</v>
      </c>
      <c r="G1014" s="26">
        <v>2.0</v>
      </c>
      <c r="H1014" s="25" t="s">
        <v>112</v>
      </c>
      <c r="I1014" s="25" t="s">
        <v>77</v>
      </c>
      <c r="J1014" s="25" t="s">
        <v>72</v>
      </c>
      <c r="K1014" s="25" t="s">
        <v>84</v>
      </c>
      <c r="L1014" s="25" t="str">
        <f t="shared" si="1"/>
        <v>FAMILIAR</v>
      </c>
      <c r="M1014" s="25">
        <f t="shared" si="2"/>
        <v>8</v>
      </c>
      <c r="N1014" s="25">
        <f t="shared" si="3"/>
        <v>2023</v>
      </c>
      <c r="O1014" s="27" t="str">
        <f>VLOOKUP(K1014,'CA y tablas'!$B$22:$C$28,2,FALSE)</f>
        <v>EUROPEO</v>
      </c>
      <c r="P1014" s="28" t="str">
        <f t="shared" si="4"/>
        <v>S2</v>
      </c>
      <c r="Q1014" s="29">
        <v>2.0</v>
      </c>
      <c r="R1014" s="29" t="str">
        <f t="shared" si="5"/>
        <v>Q2</v>
      </c>
    </row>
    <row r="1015" ht="15.75" customHeight="1">
      <c r="A1015" s="30">
        <v>45155.0</v>
      </c>
      <c r="B1015" s="31">
        <v>9.781204145E9</v>
      </c>
      <c r="C1015" s="32" t="s">
        <v>973</v>
      </c>
      <c r="D1015" s="31">
        <v>2.7751553E7</v>
      </c>
      <c r="E1015" s="30">
        <v>45160.0</v>
      </c>
      <c r="F1015" s="33" t="s">
        <v>76</v>
      </c>
      <c r="G1015" s="34">
        <v>3.0</v>
      </c>
      <c r="H1015" s="33" t="s">
        <v>112</v>
      </c>
      <c r="I1015" s="33" t="s">
        <v>77</v>
      </c>
      <c r="J1015" s="33" t="s">
        <v>72</v>
      </c>
      <c r="K1015" s="33" t="s">
        <v>84</v>
      </c>
      <c r="L1015" s="33" t="str">
        <f t="shared" si="1"/>
        <v>FAMILIAR</v>
      </c>
      <c r="M1015" s="33">
        <f t="shared" si="2"/>
        <v>8</v>
      </c>
      <c r="N1015" s="33">
        <f t="shared" si="3"/>
        <v>2023</v>
      </c>
      <c r="O1015" s="35" t="str">
        <f>VLOOKUP(K1015,'CA y tablas'!$B$22:$C$28,2,FALSE)</f>
        <v>EUROPEO</v>
      </c>
      <c r="P1015" s="28" t="str">
        <f t="shared" si="4"/>
        <v>S2</v>
      </c>
      <c r="Q1015" s="29">
        <v>2.0</v>
      </c>
      <c r="R1015" s="29" t="str">
        <f t="shared" si="5"/>
        <v>Q2</v>
      </c>
    </row>
    <row r="1016" ht="15.75" customHeight="1">
      <c r="A1016" s="22">
        <v>45156.0</v>
      </c>
      <c r="B1016" s="23">
        <v>1.172868561E9</v>
      </c>
      <c r="C1016" s="24" t="s">
        <v>974</v>
      </c>
      <c r="D1016" s="23">
        <v>1.2606837E7</v>
      </c>
      <c r="E1016" s="22">
        <v>45160.0</v>
      </c>
      <c r="F1016" s="25" t="s">
        <v>69</v>
      </c>
      <c r="G1016" s="26">
        <v>3.0</v>
      </c>
      <c r="H1016" s="25" t="s">
        <v>106</v>
      </c>
      <c r="I1016" s="25" t="s">
        <v>77</v>
      </c>
      <c r="J1016" s="25" t="s">
        <v>72</v>
      </c>
      <c r="K1016" s="25" t="s">
        <v>84</v>
      </c>
      <c r="L1016" s="25" t="str">
        <f t="shared" si="1"/>
        <v>FAMILIAR</v>
      </c>
      <c r="M1016" s="25">
        <f t="shared" si="2"/>
        <v>8</v>
      </c>
      <c r="N1016" s="25">
        <f t="shared" si="3"/>
        <v>2023</v>
      </c>
      <c r="O1016" s="27" t="str">
        <f>VLOOKUP(K1016,'CA y tablas'!$B$22:$C$28,2,FALSE)</f>
        <v>EUROPEO</v>
      </c>
      <c r="P1016" s="28" t="str">
        <f t="shared" si="4"/>
        <v>S2</v>
      </c>
      <c r="Q1016" s="29">
        <v>2.0</v>
      </c>
      <c r="R1016" s="29" t="str">
        <f t="shared" si="5"/>
        <v>Q2</v>
      </c>
    </row>
    <row r="1017" ht="15.75" customHeight="1">
      <c r="A1017" s="30">
        <v>45156.0</v>
      </c>
      <c r="B1017" s="31">
        <v>4.806951645E9</v>
      </c>
      <c r="C1017" s="32" t="s">
        <v>974</v>
      </c>
      <c r="D1017" s="31">
        <v>1.2606837E7</v>
      </c>
      <c r="E1017" s="30">
        <v>45160.0</v>
      </c>
      <c r="F1017" s="33" t="s">
        <v>69</v>
      </c>
      <c r="G1017" s="34">
        <v>1.0</v>
      </c>
      <c r="H1017" s="33" t="s">
        <v>106</v>
      </c>
      <c r="I1017" s="33" t="s">
        <v>77</v>
      </c>
      <c r="J1017" s="33" t="s">
        <v>72</v>
      </c>
      <c r="K1017" s="33" t="s">
        <v>84</v>
      </c>
      <c r="L1017" s="33" t="str">
        <f t="shared" si="1"/>
        <v>INDIVIDUAL</v>
      </c>
      <c r="M1017" s="33">
        <f t="shared" si="2"/>
        <v>8</v>
      </c>
      <c r="N1017" s="33">
        <f t="shared" si="3"/>
        <v>2023</v>
      </c>
      <c r="O1017" s="35" t="str">
        <f>VLOOKUP(K1017,'CA y tablas'!$B$22:$C$28,2,FALSE)</f>
        <v>EUROPEO</v>
      </c>
      <c r="P1017" s="28" t="str">
        <f t="shared" si="4"/>
        <v>S2</v>
      </c>
      <c r="Q1017" s="29">
        <v>2.0</v>
      </c>
      <c r="R1017" s="29" t="str">
        <f t="shared" si="5"/>
        <v>Q2</v>
      </c>
    </row>
    <row r="1018" ht="15.75" customHeight="1">
      <c r="A1018" s="22">
        <v>45156.0</v>
      </c>
      <c r="B1018" s="23">
        <v>8.41815821E9</v>
      </c>
      <c r="C1018" s="24" t="s">
        <v>975</v>
      </c>
      <c r="D1018" s="23">
        <v>3.4287674E7</v>
      </c>
      <c r="E1018" s="22">
        <v>45160.0</v>
      </c>
      <c r="F1018" s="25" t="s">
        <v>69</v>
      </c>
      <c r="G1018" s="26">
        <v>3.0</v>
      </c>
      <c r="H1018" s="25" t="s">
        <v>106</v>
      </c>
      <c r="I1018" s="25" t="s">
        <v>77</v>
      </c>
      <c r="J1018" s="25" t="s">
        <v>72</v>
      </c>
      <c r="K1018" s="25" t="s">
        <v>84</v>
      </c>
      <c r="L1018" s="25" t="str">
        <f t="shared" si="1"/>
        <v>FAMILIAR</v>
      </c>
      <c r="M1018" s="25">
        <f t="shared" si="2"/>
        <v>8</v>
      </c>
      <c r="N1018" s="25">
        <f t="shared" si="3"/>
        <v>2023</v>
      </c>
      <c r="O1018" s="27" t="str">
        <f>VLOOKUP(K1018,'CA y tablas'!$B$22:$C$28,2,FALSE)</f>
        <v>EUROPEO</v>
      </c>
      <c r="P1018" s="28" t="str">
        <f t="shared" si="4"/>
        <v>S2</v>
      </c>
      <c r="Q1018" s="29">
        <v>2.0</v>
      </c>
      <c r="R1018" s="29" t="str">
        <f t="shared" si="5"/>
        <v>Q2</v>
      </c>
    </row>
    <row r="1019" ht="15.75" customHeight="1">
      <c r="A1019" s="30">
        <v>45156.0</v>
      </c>
      <c r="B1019" s="31">
        <v>6.770850236E9</v>
      </c>
      <c r="C1019" s="32" t="s">
        <v>976</v>
      </c>
      <c r="D1019" s="31">
        <v>2.69708E7</v>
      </c>
      <c r="E1019" s="30">
        <v>45160.0</v>
      </c>
      <c r="F1019" s="33" t="s">
        <v>69</v>
      </c>
      <c r="G1019" s="34">
        <v>2.0</v>
      </c>
      <c r="H1019" s="33" t="s">
        <v>106</v>
      </c>
      <c r="I1019" s="33" t="s">
        <v>77</v>
      </c>
      <c r="J1019" s="33" t="s">
        <v>72</v>
      </c>
      <c r="K1019" s="33" t="s">
        <v>217</v>
      </c>
      <c r="L1019" s="33" t="str">
        <f t="shared" si="1"/>
        <v>FAMILIAR</v>
      </c>
      <c r="M1019" s="33">
        <f t="shared" si="2"/>
        <v>8</v>
      </c>
      <c r="N1019" s="33">
        <f t="shared" si="3"/>
        <v>2023</v>
      </c>
      <c r="O1019" s="35" t="str">
        <f>VLOOKUP(K1019,'CA y tablas'!$B$22:$C$28,2,FALSE)</f>
        <v>ASIATICO</v>
      </c>
      <c r="P1019" s="28" t="str">
        <f t="shared" si="4"/>
        <v>S2</v>
      </c>
      <c r="Q1019" s="29">
        <v>2.0</v>
      </c>
      <c r="R1019" s="29" t="str">
        <f t="shared" si="5"/>
        <v>Q2</v>
      </c>
    </row>
    <row r="1020" ht="15.75" customHeight="1">
      <c r="A1020" s="22">
        <v>45156.0</v>
      </c>
      <c r="B1020" s="23">
        <v>1.470565493E9</v>
      </c>
      <c r="C1020" s="24" t="s">
        <v>977</v>
      </c>
      <c r="D1020" s="23">
        <v>2.2283931E7</v>
      </c>
      <c r="E1020" s="22">
        <v>45160.0</v>
      </c>
      <c r="F1020" s="25" t="s">
        <v>76</v>
      </c>
      <c r="G1020" s="26">
        <v>2.0</v>
      </c>
      <c r="H1020" s="25" t="s">
        <v>106</v>
      </c>
      <c r="I1020" s="25" t="s">
        <v>77</v>
      </c>
      <c r="J1020" s="25" t="s">
        <v>72</v>
      </c>
      <c r="K1020" s="25" t="s">
        <v>217</v>
      </c>
      <c r="L1020" s="25" t="str">
        <f t="shared" si="1"/>
        <v>FAMILIAR</v>
      </c>
      <c r="M1020" s="25">
        <f t="shared" si="2"/>
        <v>8</v>
      </c>
      <c r="N1020" s="25">
        <f t="shared" si="3"/>
        <v>2023</v>
      </c>
      <c r="O1020" s="27" t="str">
        <f>VLOOKUP(K1020,'CA y tablas'!$B$22:$C$28,2,FALSE)</f>
        <v>ASIATICO</v>
      </c>
      <c r="P1020" s="28" t="str">
        <f t="shared" si="4"/>
        <v>S2</v>
      </c>
      <c r="Q1020" s="29">
        <v>2.0</v>
      </c>
      <c r="R1020" s="29" t="str">
        <f t="shared" si="5"/>
        <v>Q2</v>
      </c>
    </row>
    <row r="1021" ht="15.75" customHeight="1">
      <c r="A1021" s="30">
        <v>45160.0</v>
      </c>
      <c r="B1021" s="31">
        <v>6.162485571E9</v>
      </c>
      <c r="C1021" s="32" t="s">
        <v>978</v>
      </c>
      <c r="D1021" s="31">
        <v>3.935914E7</v>
      </c>
      <c r="E1021" s="30">
        <v>45160.0</v>
      </c>
      <c r="F1021" s="33" t="s">
        <v>69</v>
      </c>
      <c r="G1021" s="34">
        <v>2.0</v>
      </c>
      <c r="H1021" s="33" t="s">
        <v>81</v>
      </c>
      <c r="I1021" s="33" t="s">
        <v>88</v>
      </c>
      <c r="J1021" s="33" t="s">
        <v>72</v>
      </c>
      <c r="K1021" s="33" t="s">
        <v>217</v>
      </c>
      <c r="L1021" s="33" t="str">
        <f t="shared" si="1"/>
        <v>FAMILIAR</v>
      </c>
      <c r="M1021" s="33">
        <f t="shared" si="2"/>
        <v>8</v>
      </c>
      <c r="N1021" s="33">
        <f t="shared" si="3"/>
        <v>2023</v>
      </c>
      <c r="O1021" s="35" t="str">
        <f>VLOOKUP(K1021,'CA y tablas'!$B$22:$C$28,2,FALSE)</f>
        <v>ASIATICO</v>
      </c>
      <c r="P1021" s="28" t="str">
        <f t="shared" si="4"/>
        <v>S2</v>
      </c>
      <c r="Q1021" s="29">
        <v>2.0</v>
      </c>
      <c r="R1021" s="29" t="str">
        <f t="shared" si="5"/>
        <v>Q2</v>
      </c>
    </row>
    <row r="1022" ht="15.75" customHeight="1">
      <c r="A1022" s="22">
        <v>45160.0</v>
      </c>
      <c r="B1022" s="23">
        <v>6.162522715E9</v>
      </c>
      <c r="C1022" s="24" t="s">
        <v>979</v>
      </c>
      <c r="D1022" s="23">
        <v>1.668572E7</v>
      </c>
      <c r="E1022" s="22">
        <v>45160.0</v>
      </c>
      <c r="F1022" s="25" t="s">
        <v>69</v>
      </c>
      <c r="G1022" s="26">
        <v>3.0</v>
      </c>
      <c r="H1022" s="25" t="s">
        <v>81</v>
      </c>
      <c r="I1022" s="25" t="s">
        <v>88</v>
      </c>
      <c r="J1022" s="25" t="s">
        <v>72</v>
      </c>
      <c r="K1022" s="25" t="s">
        <v>217</v>
      </c>
      <c r="L1022" s="25" t="str">
        <f t="shared" si="1"/>
        <v>FAMILIAR</v>
      </c>
      <c r="M1022" s="25">
        <f t="shared" si="2"/>
        <v>8</v>
      </c>
      <c r="N1022" s="25">
        <f t="shared" si="3"/>
        <v>2023</v>
      </c>
      <c r="O1022" s="27" t="str">
        <f>VLOOKUP(K1022,'CA y tablas'!$B$22:$C$28,2,FALSE)</f>
        <v>ASIATICO</v>
      </c>
      <c r="P1022" s="28" t="str">
        <f t="shared" si="4"/>
        <v>S2</v>
      </c>
      <c r="Q1022" s="29">
        <v>2.0</v>
      </c>
      <c r="R1022" s="29" t="str">
        <f t="shared" si="5"/>
        <v>Q2</v>
      </c>
    </row>
    <row r="1023" ht="15.75" customHeight="1">
      <c r="A1023" s="30">
        <v>45160.0</v>
      </c>
      <c r="B1023" s="31">
        <v>7.954957765E9</v>
      </c>
      <c r="C1023" s="32" t="s">
        <v>980</v>
      </c>
      <c r="D1023" s="31">
        <v>2.4981488E7</v>
      </c>
      <c r="E1023" s="30">
        <v>45160.0</v>
      </c>
      <c r="F1023" s="33" t="s">
        <v>69</v>
      </c>
      <c r="G1023" s="34">
        <v>3.0</v>
      </c>
      <c r="H1023" s="33" t="s">
        <v>81</v>
      </c>
      <c r="I1023" s="33" t="s">
        <v>88</v>
      </c>
      <c r="J1023" s="33" t="s">
        <v>72</v>
      </c>
      <c r="K1023" s="33" t="s">
        <v>107</v>
      </c>
      <c r="L1023" s="33" t="str">
        <f t="shared" si="1"/>
        <v>FAMILIAR</v>
      </c>
      <c r="M1023" s="33">
        <f t="shared" si="2"/>
        <v>8</v>
      </c>
      <c r="N1023" s="33">
        <f t="shared" si="3"/>
        <v>2023</v>
      </c>
      <c r="O1023" s="35" t="str">
        <f>VLOOKUP(K1023,'CA y tablas'!$B$22:$C$28,2,FALSE)</f>
        <v>AMERICANO</v>
      </c>
      <c r="P1023" s="28" t="str">
        <f t="shared" si="4"/>
        <v>S2</v>
      </c>
      <c r="Q1023" s="29">
        <v>2.0</v>
      </c>
      <c r="R1023" s="29" t="str">
        <f t="shared" si="5"/>
        <v>Q2</v>
      </c>
    </row>
    <row r="1024" ht="15.75" customHeight="1">
      <c r="A1024" s="22">
        <v>45160.0</v>
      </c>
      <c r="B1024" s="23">
        <v>1.754088184E9</v>
      </c>
      <c r="C1024" s="24" t="s">
        <v>980</v>
      </c>
      <c r="D1024" s="23">
        <v>2.4981488E7</v>
      </c>
      <c r="E1024" s="22">
        <v>45160.0</v>
      </c>
      <c r="F1024" s="25" t="s">
        <v>69</v>
      </c>
      <c r="G1024" s="26">
        <v>3.0</v>
      </c>
      <c r="H1024" s="25" t="s">
        <v>92</v>
      </c>
      <c r="I1024" s="25" t="s">
        <v>88</v>
      </c>
      <c r="J1024" s="25" t="s">
        <v>93</v>
      </c>
      <c r="K1024" s="25" t="s">
        <v>107</v>
      </c>
      <c r="L1024" s="25" t="str">
        <f t="shared" si="1"/>
        <v>FAMILIAR</v>
      </c>
      <c r="M1024" s="25">
        <f t="shared" si="2"/>
        <v>8</v>
      </c>
      <c r="N1024" s="25">
        <f t="shared" si="3"/>
        <v>2023</v>
      </c>
      <c r="O1024" s="27" t="str">
        <f>VLOOKUP(K1024,'CA y tablas'!$B$22:$C$28,2,FALSE)</f>
        <v>AMERICANO</v>
      </c>
      <c r="P1024" s="28" t="str">
        <f t="shared" si="4"/>
        <v>S2</v>
      </c>
      <c r="Q1024" s="29">
        <v>2.0</v>
      </c>
      <c r="R1024" s="29" t="str">
        <f t="shared" si="5"/>
        <v>Q2</v>
      </c>
    </row>
    <row r="1025" ht="15.75" customHeight="1">
      <c r="A1025" s="30">
        <v>45160.0</v>
      </c>
      <c r="B1025" s="31">
        <v>4.270403362E9</v>
      </c>
      <c r="C1025" s="32" t="s">
        <v>980</v>
      </c>
      <c r="D1025" s="31">
        <v>2.4981488E7</v>
      </c>
      <c r="E1025" s="30">
        <v>45160.0</v>
      </c>
      <c r="F1025" s="33" t="s">
        <v>76</v>
      </c>
      <c r="G1025" s="34">
        <v>3.0</v>
      </c>
      <c r="H1025" s="33" t="s">
        <v>92</v>
      </c>
      <c r="I1025" s="33" t="s">
        <v>88</v>
      </c>
      <c r="J1025" s="33" t="s">
        <v>93</v>
      </c>
      <c r="K1025" s="33" t="s">
        <v>107</v>
      </c>
      <c r="L1025" s="33" t="str">
        <f t="shared" si="1"/>
        <v>FAMILIAR</v>
      </c>
      <c r="M1025" s="33">
        <f t="shared" si="2"/>
        <v>8</v>
      </c>
      <c r="N1025" s="33">
        <f t="shared" si="3"/>
        <v>2023</v>
      </c>
      <c r="O1025" s="35" t="str">
        <f>VLOOKUP(K1025,'CA y tablas'!$B$22:$C$28,2,FALSE)</f>
        <v>AMERICANO</v>
      </c>
      <c r="P1025" s="28" t="str">
        <f t="shared" si="4"/>
        <v>S2</v>
      </c>
      <c r="Q1025" s="29">
        <v>2.0</v>
      </c>
      <c r="R1025" s="29" t="str">
        <f t="shared" si="5"/>
        <v>Q2</v>
      </c>
    </row>
    <row r="1026" ht="15.75" customHeight="1">
      <c r="A1026" s="22">
        <v>45139.0</v>
      </c>
      <c r="B1026" s="23">
        <v>5.417491516E9</v>
      </c>
      <c r="C1026" s="24" t="s">
        <v>981</v>
      </c>
      <c r="D1026" s="23">
        <v>3.0442057E7</v>
      </c>
      <c r="E1026" s="22">
        <v>45161.0</v>
      </c>
      <c r="F1026" s="25" t="s">
        <v>69</v>
      </c>
      <c r="G1026" s="26">
        <v>3.0</v>
      </c>
      <c r="H1026" s="25" t="s">
        <v>92</v>
      </c>
      <c r="I1026" s="25" t="s">
        <v>88</v>
      </c>
      <c r="J1026" s="25" t="s">
        <v>93</v>
      </c>
      <c r="K1026" s="25" t="s">
        <v>107</v>
      </c>
      <c r="L1026" s="25" t="str">
        <f t="shared" si="1"/>
        <v>FAMILIAR</v>
      </c>
      <c r="M1026" s="25">
        <f t="shared" si="2"/>
        <v>8</v>
      </c>
      <c r="N1026" s="25">
        <f t="shared" si="3"/>
        <v>2023</v>
      </c>
      <c r="O1026" s="27" t="str">
        <f>VLOOKUP(K1026,'CA y tablas'!$B$22:$C$28,2,FALSE)</f>
        <v>AMERICANO</v>
      </c>
      <c r="P1026" s="28" t="str">
        <f t="shared" si="4"/>
        <v>S2</v>
      </c>
      <c r="Q1026" s="29">
        <v>2.0</v>
      </c>
      <c r="R1026" s="29" t="str">
        <f t="shared" si="5"/>
        <v>Q2</v>
      </c>
    </row>
    <row r="1027" ht="15.75" customHeight="1">
      <c r="A1027" s="30">
        <v>45153.0</v>
      </c>
      <c r="B1027" s="31">
        <v>6.980973996E9</v>
      </c>
      <c r="C1027" s="32" t="s">
        <v>982</v>
      </c>
      <c r="D1027" s="31">
        <v>2.3171388E7</v>
      </c>
      <c r="E1027" s="30">
        <v>45161.0</v>
      </c>
      <c r="F1027" s="33" t="s">
        <v>69</v>
      </c>
      <c r="G1027" s="34">
        <v>2.0</v>
      </c>
      <c r="H1027" s="33" t="s">
        <v>92</v>
      </c>
      <c r="I1027" s="33" t="s">
        <v>88</v>
      </c>
      <c r="J1027" s="33" t="s">
        <v>93</v>
      </c>
      <c r="K1027" s="33" t="s">
        <v>107</v>
      </c>
      <c r="L1027" s="33" t="str">
        <f t="shared" si="1"/>
        <v>FAMILIAR</v>
      </c>
      <c r="M1027" s="33">
        <f t="shared" si="2"/>
        <v>8</v>
      </c>
      <c r="N1027" s="33">
        <f t="shared" si="3"/>
        <v>2023</v>
      </c>
      <c r="O1027" s="35" t="str">
        <f>VLOOKUP(K1027,'CA y tablas'!$B$22:$C$28,2,FALSE)</f>
        <v>AMERICANO</v>
      </c>
      <c r="P1027" s="28" t="str">
        <f t="shared" si="4"/>
        <v>S2</v>
      </c>
      <c r="Q1027" s="29">
        <v>2.0</v>
      </c>
      <c r="R1027" s="29" t="str">
        <f t="shared" si="5"/>
        <v>Q2</v>
      </c>
    </row>
    <row r="1028" ht="15.75" customHeight="1">
      <c r="A1028" s="22">
        <v>45156.0</v>
      </c>
      <c r="B1028" s="23">
        <v>1.172854524E9</v>
      </c>
      <c r="C1028" s="24" t="s">
        <v>983</v>
      </c>
      <c r="D1028" s="23">
        <v>2.7345521E7</v>
      </c>
      <c r="E1028" s="22">
        <v>45161.0</v>
      </c>
      <c r="F1028" s="25" t="s">
        <v>69</v>
      </c>
      <c r="G1028" s="26">
        <v>2.0</v>
      </c>
      <c r="H1028" s="25" t="s">
        <v>116</v>
      </c>
      <c r="I1028" s="25" t="s">
        <v>88</v>
      </c>
      <c r="J1028" s="25" t="s">
        <v>93</v>
      </c>
      <c r="K1028" s="25" t="s">
        <v>107</v>
      </c>
      <c r="L1028" s="25" t="str">
        <f t="shared" si="1"/>
        <v>FAMILIAR</v>
      </c>
      <c r="M1028" s="25">
        <f t="shared" si="2"/>
        <v>8</v>
      </c>
      <c r="N1028" s="25">
        <f t="shared" si="3"/>
        <v>2023</v>
      </c>
      <c r="O1028" s="27" t="str">
        <f>VLOOKUP(K1028,'CA y tablas'!$B$22:$C$28,2,FALSE)</f>
        <v>AMERICANO</v>
      </c>
      <c r="P1028" s="28" t="str">
        <f t="shared" si="4"/>
        <v>S2</v>
      </c>
      <c r="Q1028" s="29">
        <v>2.0</v>
      </c>
      <c r="R1028" s="29" t="str">
        <f t="shared" si="5"/>
        <v>Q2</v>
      </c>
    </row>
    <row r="1029" ht="15.75" customHeight="1">
      <c r="A1029" s="30">
        <v>45156.0</v>
      </c>
      <c r="B1029" s="31">
        <v>7.160078376E9</v>
      </c>
      <c r="C1029" s="32" t="s">
        <v>984</v>
      </c>
      <c r="D1029" s="31">
        <v>3.2476005E7</v>
      </c>
      <c r="E1029" s="30">
        <v>45161.0</v>
      </c>
      <c r="F1029" s="33" t="s">
        <v>69</v>
      </c>
      <c r="G1029" s="34">
        <v>1.0</v>
      </c>
      <c r="H1029" s="33" t="s">
        <v>116</v>
      </c>
      <c r="I1029" s="33" t="s">
        <v>88</v>
      </c>
      <c r="J1029" s="33" t="s">
        <v>93</v>
      </c>
      <c r="K1029" s="33" t="s">
        <v>107</v>
      </c>
      <c r="L1029" s="33" t="str">
        <f t="shared" si="1"/>
        <v>INDIVIDUAL</v>
      </c>
      <c r="M1029" s="33">
        <f t="shared" si="2"/>
        <v>8</v>
      </c>
      <c r="N1029" s="33">
        <f t="shared" si="3"/>
        <v>2023</v>
      </c>
      <c r="O1029" s="35" t="str">
        <f>VLOOKUP(K1029,'CA y tablas'!$B$22:$C$28,2,FALSE)</f>
        <v>AMERICANO</v>
      </c>
      <c r="P1029" s="28" t="str">
        <f t="shared" si="4"/>
        <v>S2</v>
      </c>
      <c r="Q1029" s="29">
        <v>2.0</v>
      </c>
      <c r="R1029" s="29" t="str">
        <f t="shared" si="5"/>
        <v>Q2</v>
      </c>
    </row>
    <row r="1030" ht="15.75" customHeight="1">
      <c r="A1030" s="22">
        <v>45160.0</v>
      </c>
      <c r="B1030" s="23">
        <v>2.34081771E9</v>
      </c>
      <c r="C1030" s="24" t="s">
        <v>985</v>
      </c>
      <c r="D1030" s="23">
        <v>2.5498003E7</v>
      </c>
      <c r="E1030" s="22">
        <v>45161.0</v>
      </c>
      <c r="F1030" s="25" t="s">
        <v>69</v>
      </c>
      <c r="G1030" s="26">
        <v>2.0</v>
      </c>
      <c r="H1030" s="25" t="s">
        <v>116</v>
      </c>
      <c r="I1030" s="25" t="s">
        <v>88</v>
      </c>
      <c r="J1030" s="25" t="s">
        <v>93</v>
      </c>
      <c r="K1030" s="25" t="s">
        <v>73</v>
      </c>
      <c r="L1030" s="25" t="str">
        <f t="shared" si="1"/>
        <v>FAMILIAR</v>
      </c>
      <c r="M1030" s="25">
        <f t="shared" si="2"/>
        <v>8</v>
      </c>
      <c r="N1030" s="25">
        <f t="shared" si="3"/>
        <v>2023</v>
      </c>
      <c r="O1030" s="27" t="str">
        <f>VLOOKUP(K1030,'CA y tablas'!$B$22:$C$28,2,FALSE)</f>
        <v>AMERICANO</v>
      </c>
      <c r="P1030" s="28" t="str">
        <f t="shared" si="4"/>
        <v>S2</v>
      </c>
      <c r="Q1030" s="29">
        <v>2.0</v>
      </c>
      <c r="R1030" s="29" t="str">
        <f t="shared" si="5"/>
        <v>Q2</v>
      </c>
    </row>
    <row r="1031" ht="15.75" customHeight="1">
      <c r="A1031" s="30">
        <v>45160.0</v>
      </c>
      <c r="B1031" s="31">
        <v>5.162230662E9</v>
      </c>
      <c r="C1031" s="32" t="s">
        <v>986</v>
      </c>
      <c r="D1031" s="31">
        <v>2.5211622E7</v>
      </c>
      <c r="E1031" s="30">
        <v>45161.0</v>
      </c>
      <c r="F1031" s="33" t="s">
        <v>76</v>
      </c>
      <c r="G1031" s="34">
        <v>2.0</v>
      </c>
      <c r="H1031" s="33" t="s">
        <v>116</v>
      </c>
      <c r="I1031" s="33" t="s">
        <v>88</v>
      </c>
      <c r="J1031" s="33" t="s">
        <v>93</v>
      </c>
      <c r="K1031" s="33" t="s">
        <v>73</v>
      </c>
      <c r="L1031" s="33" t="str">
        <f t="shared" si="1"/>
        <v>FAMILIAR</v>
      </c>
      <c r="M1031" s="33">
        <f t="shared" si="2"/>
        <v>8</v>
      </c>
      <c r="N1031" s="33">
        <f t="shared" si="3"/>
        <v>2023</v>
      </c>
      <c r="O1031" s="35" t="str">
        <f>VLOOKUP(K1031,'CA y tablas'!$B$22:$C$28,2,FALSE)</f>
        <v>AMERICANO</v>
      </c>
      <c r="P1031" s="28" t="str">
        <f t="shared" si="4"/>
        <v>S2</v>
      </c>
      <c r="Q1031" s="29">
        <v>2.0</v>
      </c>
      <c r="R1031" s="29" t="str">
        <f t="shared" si="5"/>
        <v>Q2</v>
      </c>
    </row>
    <row r="1032" ht="15.75" customHeight="1">
      <c r="A1032" s="22">
        <v>45160.0</v>
      </c>
      <c r="B1032" s="23">
        <v>4.105956481E9</v>
      </c>
      <c r="C1032" s="24" t="s">
        <v>986</v>
      </c>
      <c r="D1032" s="23">
        <v>2.5211622E7</v>
      </c>
      <c r="E1032" s="22">
        <v>45161.0</v>
      </c>
      <c r="F1032" s="25" t="s">
        <v>69</v>
      </c>
      <c r="G1032" s="26">
        <v>2.0</v>
      </c>
      <c r="H1032" s="25" t="s">
        <v>116</v>
      </c>
      <c r="I1032" s="25" t="s">
        <v>88</v>
      </c>
      <c r="J1032" s="25" t="s">
        <v>93</v>
      </c>
      <c r="K1032" s="25" t="s">
        <v>73</v>
      </c>
      <c r="L1032" s="25" t="str">
        <f t="shared" si="1"/>
        <v>FAMILIAR</v>
      </c>
      <c r="M1032" s="25">
        <f t="shared" si="2"/>
        <v>8</v>
      </c>
      <c r="N1032" s="25">
        <f t="shared" si="3"/>
        <v>2023</v>
      </c>
      <c r="O1032" s="27" t="str">
        <f>VLOOKUP(K1032,'CA y tablas'!$B$22:$C$28,2,FALSE)</f>
        <v>AMERICANO</v>
      </c>
      <c r="P1032" s="28" t="str">
        <f t="shared" si="4"/>
        <v>S2</v>
      </c>
      <c r="Q1032" s="29">
        <v>2.0</v>
      </c>
      <c r="R1032" s="29" t="str">
        <f t="shared" si="5"/>
        <v>Q2</v>
      </c>
    </row>
    <row r="1033" ht="15.75" customHeight="1">
      <c r="A1033" s="30">
        <v>45160.0</v>
      </c>
      <c r="B1033" s="31">
        <v>4.125468001E9</v>
      </c>
      <c r="C1033" s="32" t="s">
        <v>987</v>
      </c>
      <c r="D1033" s="31">
        <v>2.7210043E7</v>
      </c>
      <c r="E1033" s="30">
        <v>45161.0</v>
      </c>
      <c r="F1033" s="33" t="s">
        <v>69</v>
      </c>
      <c r="G1033" s="34">
        <v>2.0</v>
      </c>
      <c r="H1033" s="33" t="s">
        <v>116</v>
      </c>
      <c r="I1033" s="33" t="s">
        <v>88</v>
      </c>
      <c r="J1033" s="33" t="s">
        <v>93</v>
      </c>
      <c r="K1033" s="33" t="s">
        <v>73</v>
      </c>
      <c r="L1033" s="33" t="str">
        <f t="shared" si="1"/>
        <v>FAMILIAR</v>
      </c>
      <c r="M1033" s="33">
        <f t="shared" si="2"/>
        <v>8</v>
      </c>
      <c r="N1033" s="33">
        <f t="shared" si="3"/>
        <v>2023</v>
      </c>
      <c r="O1033" s="35" t="str">
        <f>VLOOKUP(K1033,'CA y tablas'!$B$22:$C$28,2,FALSE)</f>
        <v>AMERICANO</v>
      </c>
      <c r="P1033" s="28" t="str">
        <f t="shared" si="4"/>
        <v>S2</v>
      </c>
      <c r="Q1033" s="29">
        <v>2.0</v>
      </c>
      <c r="R1033" s="29" t="str">
        <f t="shared" si="5"/>
        <v>Q2</v>
      </c>
    </row>
    <row r="1034" ht="15.75" customHeight="1">
      <c r="A1034" s="22">
        <v>45160.0</v>
      </c>
      <c r="B1034" s="23">
        <v>3.32728046E9</v>
      </c>
      <c r="C1034" s="24" t="s">
        <v>987</v>
      </c>
      <c r="D1034" s="23">
        <v>2.7210043E7</v>
      </c>
      <c r="E1034" s="22">
        <v>45161.0</v>
      </c>
      <c r="F1034" s="25" t="s">
        <v>76</v>
      </c>
      <c r="G1034" s="26">
        <v>4.0</v>
      </c>
      <c r="H1034" s="25" t="s">
        <v>116</v>
      </c>
      <c r="I1034" s="25" t="s">
        <v>88</v>
      </c>
      <c r="J1034" s="25" t="s">
        <v>72</v>
      </c>
      <c r="K1034" s="25" t="s">
        <v>73</v>
      </c>
      <c r="L1034" s="25" t="str">
        <f t="shared" si="1"/>
        <v>FAMILIAR</v>
      </c>
      <c r="M1034" s="25">
        <f t="shared" si="2"/>
        <v>8</v>
      </c>
      <c r="N1034" s="25">
        <f t="shared" si="3"/>
        <v>2023</v>
      </c>
      <c r="O1034" s="27" t="str">
        <f>VLOOKUP(K1034,'CA y tablas'!$B$22:$C$28,2,FALSE)</f>
        <v>AMERICANO</v>
      </c>
      <c r="P1034" s="28" t="str">
        <f t="shared" si="4"/>
        <v>S2</v>
      </c>
      <c r="Q1034" s="29">
        <v>2.0</v>
      </c>
      <c r="R1034" s="29" t="str">
        <f t="shared" si="5"/>
        <v>Q2</v>
      </c>
    </row>
    <row r="1035" ht="15.75" customHeight="1">
      <c r="A1035" s="30">
        <v>45160.0</v>
      </c>
      <c r="B1035" s="31">
        <v>8.398236335E9</v>
      </c>
      <c r="C1035" s="32" t="s">
        <v>988</v>
      </c>
      <c r="D1035" s="31">
        <v>4.0326505E7</v>
      </c>
      <c r="E1035" s="30">
        <v>45161.0</v>
      </c>
      <c r="F1035" s="33" t="s">
        <v>76</v>
      </c>
      <c r="G1035" s="34">
        <v>3.0</v>
      </c>
      <c r="H1035" s="33" t="s">
        <v>116</v>
      </c>
      <c r="I1035" s="33" t="s">
        <v>88</v>
      </c>
      <c r="J1035" s="33" t="s">
        <v>72</v>
      </c>
      <c r="K1035" s="33" t="s">
        <v>73</v>
      </c>
      <c r="L1035" s="33" t="str">
        <f t="shared" si="1"/>
        <v>FAMILIAR</v>
      </c>
      <c r="M1035" s="33">
        <f t="shared" si="2"/>
        <v>8</v>
      </c>
      <c r="N1035" s="33">
        <f t="shared" si="3"/>
        <v>2023</v>
      </c>
      <c r="O1035" s="35" t="str">
        <f>VLOOKUP(K1035,'CA y tablas'!$B$22:$C$28,2,FALSE)</f>
        <v>AMERICANO</v>
      </c>
      <c r="P1035" s="28" t="str">
        <f t="shared" si="4"/>
        <v>S2</v>
      </c>
      <c r="Q1035" s="29">
        <v>2.0</v>
      </c>
      <c r="R1035" s="29" t="str">
        <f t="shared" si="5"/>
        <v>Q2</v>
      </c>
    </row>
    <row r="1036" ht="15.75" customHeight="1">
      <c r="A1036" s="22">
        <v>45160.0</v>
      </c>
      <c r="B1036" s="23">
        <v>1.812049923E9</v>
      </c>
      <c r="C1036" s="24" t="s">
        <v>989</v>
      </c>
      <c r="D1036" s="23">
        <v>2.2336694E7</v>
      </c>
      <c r="E1036" s="22">
        <v>45161.0</v>
      </c>
      <c r="F1036" s="25" t="s">
        <v>76</v>
      </c>
      <c r="G1036" s="26">
        <v>3.0</v>
      </c>
      <c r="H1036" s="25" t="s">
        <v>116</v>
      </c>
      <c r="I1036" s="25" t="s">
        <v>71</v>
      </c>
      <c r="J1036" s="25" t="s">
        <v>72</v>
      </c>
      <c r="K1036" s="25" t="s">
        <v>73</v>
      </c>
      <c r="L1036" s="25" t="str">
        <f t="shared" si="1"/>
        <v>FAMILIAR</v>
      </c>
      <c r="M1036" s="25">
        <f t="shared" si="2"/>
        <v>8</v>
      </c>
      <c r="N1036" s="25">
        <f t="shared" si="3"/>
        <v>2023</v>
      </c>
      <c r="O1036" s="27" t="str">
        <f>VLOOKUP(K1036,'CA y tablas'!$B$22:$C$28,2,FALSE)</f>
        <v>AMERICANO</v>
      </c>
      <c r="P1036" s="28" t="str">
        <f t="shared" si="4"/>
        <v>S2</v>
      </c>
      <c r="Q1036" s="29">
        <v>2.0</v>
      </c>
      <c r="R1036" s="29" t="str">
        <f t="shared" si="5"/>
        <v>Q2</v>
      </c>
    </row>
    <row r="1037" ht="15.75" customHeight="1">
      <c r="A1037" s="30">
        <v>45160.0</v>
      </c>
      <c r="B1037" s="31">
        <v>4.560525266E9</v>
      </c>
      <c r="C1037" s="32" t="s">
        <v>990</v>
      </c>
      <c r="D1037" s="31">
        <v>4.5184298E7</v>
      </c>
      <c r="E1037" s="30">
        <v>45161.0</v>
      </c>
      <c r="F1037" s="33" t="s">
        <v>76</v>
      </c>
      <c r="G1037" s="34">
        <v>1.0</v>
      </c>
      <c r="H1037" s="33" t="s">
        <v>116</v>
      </c>
      <c r="I1037" s="33" t="s">
        <v>71</v>
      </c>
      <c r="J1037" s="33" t="s">
        <v>72</v>
      </c>
      <c r="K1037" s="33" t="s">
        <v>73</v>
      </c>
      <c r="L1037" s="33" t="str">
        <f t="shared" si="1"/>
        <v>INDIVIDUAL</v>
      </c>
      <c r="M1037" s="33">
        <f t="shared" si="2"/>
        <v>8</v>
      </c>
      <c r="N1037" s="33">
        <f t="shared" si="3"/>
        <v>2023</v>
      </c>
      <c r="O1037" s="35" t="str">
        <f>VLOOKUP(K1037,'CA y tablas'!$B$22:$C$28,2,FALSE)</f>
        <v>AMERICANO</v>
      </c>
      <c r="P1037" s="28" t="str">
        <f t="shared" si="4"/>
        <v>S2</v>
      </c>
      <c r="Q1037" s="29">
        <v>2.0</v>
      </c>
      <c r="R1037" s="29" t="str">
        <f t="shared" si="5"/>
        <v>Q2</v>
      </c>
    </row>
    <row r="1038" ht="15.75" customHeight="1">
      <c r="A1038" s="22">
        <v>45133.0</v>
      </c>
      <c r="B1038" s="23">
        <v>3.287356796E9</v>
      </c>
      <c r="C1038" s="24" t="s">
        <v>991</v>
      </c>
      <c r="D1038" s="23">
        <v>4.3564956E7</v>
      </c>
      <c r="E1038" s="22">
        <v>45162.0</v>
      </c>
      <c r="F1038" s="25" t="s">
        <v>69</v>
      </c>
      <c r="G1038" s="26">
        <v>1.0</v>
      </c>
      <c r="H1038" s="25" t="s">
        <v>116</v>
      </c>
      <c r="I1038" s="25" t="s">
        <v>71</v>
      </c>
      <c r="J1038" s="25" t="s">
        <v>72</v>
      </c>
      <c r="K1038" s="25" t="s">
        <v>73</v>
      </c>
      <c r="L1038" s="25" t="str">
        <f t="shared" si="1"/>
        <v>INDIVIDUAL</v>
      </c>
      <c r="M1038" s="25">
        <f t="shared" si="2"/>
        <v>8</v>
      </c>
      <c r="N1038" s="25">
        <f t="shared" si="3"/>
        <v>2023</v>
      </c>
      <c r="O1038" s="27" t="str">
        <f>VLOOKUP(K1038,'CA y tablas'!$B$22:$C$28,2,FALSE)</f>
        <v>AMERICANO</v>
      </c>
      <c r="P1038" s="28" t="str">
        <f t="shared" si="4"/>
        <v>S2</v>
      </c>
      <c r="Q1038" s="29">
        <v>2.0</v>
      </c>
      <c r="R1038" s="29" t="str">
        <f t="shared" si="5"/>
        <v>Q2</v>
      </c>
    </row>
    <row r="1039" ht="15.75" customHeight="1">
      <c r="A1039" s="30">
        <v>45134.0</v>
      </c>
      <c r="B1039" s="31">
        <v>3.437971003E9</v>
      </c>
      <c r="C1039" s="32" t="s">
        <v>991</v>
      </c>
      <c r="D1039" s="31">
        <v>4.3564956E7</v>
      </c>
      <c r="E1039" s="30">
        <v>45162.0</v>
      </c>
      <c r="F1039" s="33" t="s">
        <v>69</v>
      </c>
      <c r="G1039" s="34">
        <v>1.0</v>
      </c>
      <c r="H1039" s="33" t="s">
        <v>116</v>
      </c>
      <c r="I1039" s="33" t="s">
        <v>71</v>
      </c>
      <c r="J1039" s="33" t="s">
        <v>72</v>
      </c>
      <c r="K1039" s="33" t="s">
        <v>73</v>
      </c>
      <c r="L1039" s="33" t="str">
        <f t="shared" si="1"/>
        <v>INDIVIDUAL</v>
      </c>
      <c r="M1039" s="33">
        <f t="shared" si="2"/>
        <v>8</v>
      </c>
      <c r="N1039" s="33">
        <f t="shared" si="3"/>
        <v>2023</v>
      </c>
      <c r="O1039" s="35" t="str">
        <f>VLOOKUP(K1039,'CA y tablas'!$B$22:$C$28,2,FALSE)</f>
        <v>AMERICANO</v>
      </c>
      <c r="P1039" s="28" t="str">
        <f t="shared" si="4"/>
        <v>S2</v>
      </c>
      <c r="Q1039" s="29">
        <v>2.0</v>
      </c>
      <c r="R1039" s="29" t="str">
        <f t="shared" si="5"/>
        <v>Q2</v>
      </c>
    </row>
    <row r="1040" ht="15.75" customHeight="1">
      <c r="A1040" s="22">
        <v>45139.0</v>
      </c>
      <c r="B1040" s="23">
        <v>3.633846381E9</v>
      </c>
      <c r="C1040" s="24" t="s">
        <v>991</v>
      </c>
      <c r="D1040" s="23">
        <v>4.3564956E7</v>
      </c>
      <c r="E1040" s="22">
        <v>45162.0</v>
      </c>
      <c r="F1040" s="25" t="s">
        <v>69</v>
      </c>
      <c r="G1040" s="26">
        <v>3.0</v>
      </c>
      <c r="H1040" s="25" t="s">
        <v>116</v>
      </c>
      <c r="I1040" s="25" t="s">
        <v>71</v>
      </c>
      <c r="J1040" s="25" t="s">
        <v>72</v>
      </c>
      <c r="K1040" s="25" t="s">
        <v>73</v>
      </c>
      <c r="L1040" s="25" t="str">
        <f t="shared" si="1"/>
        <v>FAMILIAR</v>
      </c>
      <c r="M1040" s="25">
        <f t="shared" si="2"/>
        <v>8</v>
      </c>
      <c r="N1040" s="25">
        <f t="shared" si="3"/>
        <v>2023</v>
      </c>
      <c r="O1040" s="27" t="str">
        <f>VLOOKUP(K1040,'CA y tablas'!$B$22:$C$28,2,FALSE)</f>
        <v>AMERICANO</v>
      </c>
      <c r="P1040" s="28" t="str">
        <f t="shared" si="4"/>
        <v>S2</v>
      </c>
      <c r="Q1040" s="29">
        <v>2.0</v>
      </c>
      <c r="R1040" s="29" t="str">
        <f t="shared" si="5"/>
        <v>Q2</v>
      </c>
    </row>
    <row r="1041" ht="15.75" customHeight="1">
      <c r="A1041" s="30">
        <v>45142.0</v>
      </c>
      <c r="B1041" s="31">
        <v>1.666854652E9</v>
      </c>
      <c r="C1041" s="32" t="s">
        <v>992</v>
      </c>
      <c r="D1041" s="31">
        <v>7838590.0</v>
      </c>
      <c r="E1041" s="30">
        <v>45162.0</v>
      </c>
      <c r="F1041" s="33" t="s">
        <v>69</v>
      </c>
      <c r="G1041" s="34">
        <v>1.0</v>
      </c>
      <c r="H1041" s="33" t="s">
        <v>116</v>
      </c>
      <c r="I1041" s="33" t="s">
        <v>71</v>
      </c>
      <c r="J1041" s="33" t="s">
        <v>72</v>
      </c>
      <c r="K1041" s="33" t="s">
        <v>73</v>
      </c>
      <c r="L1041" s="33" t="str">
        <f t="shared" si="1"/>
        <v>INDIVIDUAL</v>
      </c>
      <c r="M1041" s="33">
        <f t="shared" si="2"/>
        <v>8</v>
      </c>
      <c r="N1041" s="33">
        <f t="shared" si="3"/>
        <v>2023</v>
      </c>
      <c r="O1041" s="35" t="str">
        <f>VLOOKUP(K1041,'CA y tablas'!$B$22:$C$28,2,FALSE)</f>
        <v>AMERICANO</v>
      </c>
      <c r="P1041" s="28" t="str">
        <f t="shared" si="4"/>
        <v>S2</v>
      </c>
      <c r="Q1041" s="29">
        <v>2.0</v>
      </c>
      <c r="R1041" s="29" t="str">
        <f t="shared" si="5"/>
        <v>Q2</v>
      </c>
    </row>
    <row r="1042" ht="15.75" customHeight="1">
      <c r="A1042" s="22">
        <v>45142.0</v>
      </c>
      <c r="B1042" s="23">
        <v>4.1590605E9</v>
      </c>
      <c r="C1042" s="24" t="s">
        <v>993</v>
      </c>
      <c r="D1042" s="23">
        <v>4.4032058E7</v>
      </c>
      <c r="E1042" s="22">
        <v>45162.0</v>
      </c>
      <c r="F1042" s="25" t="s">
        <v>69</v>
      </c>
      <c r="G1042" s="26">
        <v>1.0</v>
      </c>
      <c r="H1042" s="25" t="s">
        <v>116</v>
      </c>
      <c r="I1042" s="25" t="s">
        <v>71</v>
      </c>
      <c r="J1042" s="25" t="s">
        <v>72</v>
      </c>
      <c r="K1042" s="25" t="s">
        <v>217</v>
      </c>
      <c r="L1042" s="25" t="str">
        <f t="shared" si="1"/>
        <v>INDIVIDUAL</v>
      </c>
      <c r="M1042" s="25">
        <f t="shared" si="2"/>
        <v>8</v>
      </c>
      <c r="N1042" s="25">
        <f t="shared" si="3"/>
        <v>2023</v>
      </c>
      <c r="O1042" s="27" t="str">
        <f>VLOOKUP(K1042,'CA y tablas'!$B$22:$C$28,2,FALSE)</f>
        <v>ASIATICO</v>
      </c>
      <c r="P1042" s="28" t="str">
        <f t="shared" si="4"/>
        <v>S2</v>
      </c>
      <c r="Q1042" s="29">
        <v>2.0</v>
      </c>
      <c r="R1042" s="29" t="str">
        <f t="shared" si="5"/>
        <v>Q2</v>
      </c>
    </row>
    <row r="1043" ht="15.75" customHeight="1">
      <c r="A1043" s="30">
        <v>45153.0</v>
      </c>
      <c r="B1043" s="31">
        <v>6.980992756E9</v>
      </c>
      <c r="C1043" s="32" t="s">
        <v>994</v>
      </c>
      <c r="D1043" s="31">
        <v>2.7365407E7</v>
      </c>
      <c r="E1043" s="30">
        <v>45162.0</v>
      </c>
      <c r="F1043" s="33" t="s">
        <v>69</v>
      </c>
      <c r="G1043" s="34">
        <v>1.0</v>
      </c>
      <c r="H1043" s="33" t="s">
        <v>116</v>
      </c>
      <c r="I1043" s="33" t="s">
        <v>71</v>
      </c>
      <c r="J1043" s="33" t="s">
        <v>72</v>
      </c>
      <c r="K1043" s="33" t="s">
        <v>217</v>
      </c>
      <c r="L1043" s="33" t="str">
        <f t="shared" si="1"/>
        <v>INDIVIDUAL</v>
      </c>
      <c r="M1043" s="33">
        <f t="shared" si="2"/>
        <v>8</v>
      </c>
      <c r="N1043" s="33">
        <f t="shared" si="3"/>
        <v>2023</v>
      </c>
      <c r="O1043" s="35" t="str">
        <f>VLOOKUP(K1043,'CA y tablas'!$B$22:$C$28,2,FALSE)</f>
        <v>ASIATICO</v>
      </c>
      <c r="P1043" s="28" t="str">
        <f t="shared" si="4"/>
        <v>S2</v>
      </c>
      <c r="Q1043" s="29">
        <v>2.0</v>
      </c>
      <c r="R1043" s="29" t="str">
        <f t="shared" si="5"/>
        <v>Q2</v>
      </c>
    </row>
    <row r="1044" ht="15.75" customHeight="1">
      <c r="A1044" s="22">
        <v>45153.0</v>
      </c>
      <c r="B1044" s="23">
        <v>3.895489415E9</v>
      </c>
      <c r="C1044" s="24" t="s">
        <v>995</v>
      </c>
      <c r="D1044" s="23">
        <v>2.3238865E7</v>
      </c>
      <c r="E1044" s="22">
        <v>45162.0</v>
      </c>
      <c r="F1044" s="25" t="s">
        <v>69</v>
      </c>
      <c r="G1044" s="26">
        <v>1.0</v>
      </c>
      <c r="H1044" s="25" t="s">
        <v>116</v>
      </c>
      <c r="I1044" s="25" t="s">
        <v>71</v>
      </c>
      <c r="J1044" s="25" t="s">
        <v>318</v>
      </c>
      <c r="K1044" s="25" t="s">
        <v>217</v>
      </c>
      <c r="L1044" s="25" t="str">
        <f t="shared" si="1"/>
        <v>INDIVIDUAL</v>
      </c>
      <c r="M1044" s="25">
        <f t="shared" si="2"/>
        <v>8</v>
      </c>
      <c r="N1044" s="25">
        <f t="shared" si="3"/>
        <v>2023</v>
      </c>
      <c r="O1044" s="27" t="str">
        <f>VLOOKUP(K1044,'CA y tablas'!$B$22:$C$28,2,FALSE)</f>
        <v>ASIATICO</v>
      </c>
      <c r="P1044" s="28" t="str">
        <f t="shared" si="4"/>
        <v>S2</v>
      </c>
      <c r="Q1044" s="29">
        <v>2.0</v>
      </c>
      <c r="R1044" s="29" t="str">
        <f t="shared" si="5"/>
        <v>Q2</v>
      </c>
    </row>
    <row r="1045" ht="15.75" customHeight="1">
      <c r="A1045" s="30">
        <v>45155.0</v>
      </c>
      <c r="B1045" s="31">
        <v>7.736409656E9</v>
      </c>
      <c r="C1045" s="32" t="s">
        <v>996</v>
      </c>
      <c r="D1045" s="31">
        <v>2.3931148E7</v>
      </c>
      <c r="E1045" s="30">
        <v>45162.0</v>
      </c>
      <c r="F1045" s="33" t="s">
        <v>69</v>
      </c>
      <c r="G1045" s="34">
        <v>1.0</v>
      </c>
      <c r="H1045" s="33" t="s">
        <v>116</v>
      </c>
      <c r="I1045" s="33" t="s">
        <v>71</v>
      </c>
      <c r="J1045" s="33" t="s">
        <v>318</v>
      </c>
      <c r="K1045" s="33" t="s">
        <v>217</v>
      </c>
      <c r="L1045" s="33" t="str">
        <f t="shared" si="1"/>
        <v>INDIVIDUAL</v>
      </c>
      <c r="M1045" s="33">
        <f t="shared" si="2"/>
        <v>8</v>
      </c>
      <c r="N1045" s="33">
        <f t="shared" si="3"/>
        <v>2023</v>
      </c>
      <c r="O1045" s="35" t="str">
        <f>VLOOKUP(K1045,'CA y tablas'!$B$22:$C$28,2,FALSE)</f>
        <v>ASIATICO</v>
      </c>
      <c r="P1045" s="28" t="str">
        <f t="shared" si="4"/>
        <v>S2</v>
      </c>
      <c r="Q1045" s="29">
        <v>2.0</v>
      </c>
      <c r="R1045" s="29" t="str">
        <f t="shared" si="5"/>
        <v>Q2</v>
      </c>
    </row>
    <row r="1046" ht="15.75" customHeight="1">
      <c r="A1046" s="22">
        <v>45156.0</v>
      </c>
      <c r="B1046" s="23">
        <v>6.770856831E9</v>
      </c>
      <c r="C1046" s="24" t="s">
        <v>996</v>
      </c>
      <c r="D1046" s="23">
        <v>2.3931148E7</v>
      </c>
      <c r="E1046" s="22">
        <v>45162.0</v>
      </c>
      <c r="F1046" s="25" t="s">
        <v>69</v>
      </c>
      <c r="G1046" s="26">
        <v>1.0</v>
      </c>
      <c r="H1046" s="25" t="s">
        <v>116</v>
      </c>
      <c r="I1046" s="25" t="s">
        <v>71</v>
      </c>
      <c r="J1046" s="25" t="s">
        <v>318</v>
      </c>
      <c r="K1046" s="25" t="s">
        <v>107</v>
      </c>
      <c r="L1046" s="25" t="str">
        <f t="shared" si="1"/>
        <v>INDIVIDUAL</v>
      </c>
      <c r="M1046" s="25">
        <f t="shared" si="2"/>
        <v>8</v>
      </c>
      <c r="N1046" s="25">
        <f t="shared" si="3"/>
        <v>2023</v>
      </c>
      <c r="O1046" s="27" t="str">
        <f>VLOOKUP(K1046,'CA y tablas'!$B$22:$C$28,2,FALSE)</f>
        <v>AMERICANO</v>
      </c>
      <c r="P1046" s="28" t="str">
        <f t="shared" si="4"/>
        <v>S2</v>
      </c>
      <c r="Q1046" s="29">
        <v>2.0</v>
      </c>
      <c r="R1046" s="29" t="str">
        <f t="shared" si="5"/>
        <v>Q2</v>
      </c>
    </row>
    <row r="1047" ht="15.75" customHeight="1">
      <c r="A1047" s="30">
        <v>45156.0</v>
      </c>
      <c r="B1047" s="31">
        <v>7.160067261E9</v>
      </c>
      <c r="C1047" s="32" t="s">
        <v>997</v>
      </c>
      <c r="D1047" s="31">
        <v>2.0732693E7</v>
      </c>
      <c r="E1047" s="30">
        <v>45162.0</v>
      </c>
      <c r="F1047" s="33" t="s">
        <v>76</v>
      </c>
      <c r="G1047" s="34">
        <v>1.0</v>
      </c>
      <c r="H1047" s="33" t="s">
        <v>70</v>
      </c>
      <c r="I1047" s="33" t="s">
        <v>71</v>
      </c>
      <c r="J1047" s="33" t="s">
        <v>318</v>
      </c>
      <c r="K1047" s="33" t="s">
        <v>107</v>
      </c>
      <c r="L1047" s="33" t="str">
        <f t="shared" si="1"/>
        <v>INDIVIDUAL</v>
      </c>
      <c r="M1047" s="33">
        <f t="shared" si="2"/>
        <v>8</v>
      </c>
      <c r="N1047" s="33">
        <f t="shared" si="3"/>
        <v>2023</v>
      </c>
      <c r="O1047" s="35" t="str">
        <f>VLOOKUP(K1047,'CA y tablas'!$B$22:$C$28,2,FALSE)</f>
        <v>AMERICANO</v>
      </c>
      <c r="P1047" s="28" t="str">
        <f t="shared" si="4"/>
        <v>S2</v>
      </c>
      <c r="Q1047" s="29">
        <v>2.0</v>
      </c>
      <c r="R1047" s="29" t="str">
        <f t="shared" si="5"/>
        <v>Q2</v>
      </c>
    </row>
    <row r="1048" ht="15.75" customHeight="1">
      <c r="A1048" s="22">
        <v>45160.0</v>
      </c>
      <c r="B1048" s="23">
        <v>5.140509091E9</v>
      </c>
      <c r="C1048" s="24" t="s">
        <v>998</v>
      </c>
      <c r="D1048" s="23">
        <v>2.6446843E7</v>
      </c>
      <c r="E1048" s="22">
        <v>45162.0</v>
      </c>
      <c r="F1048" s="25" t="s">
        <v>69</v>
      </c>
      <c r="G1048" s="26">
        <v>2.0</v>
      </c>
      <c r="H1048" s="25" t="s">
        <v>70</v>
      </c>
      <c r="I1048" s="25" t="s">
        <v>71</v>
      </c>
      <c r="J1048" s="25" t="s">
        <v>318</v>
      </c>
      <c r="K1048" s="25" t="s">
        <v>107</v>
      </c>
      <c r="L1048" s="25" t="str">
        <f t="shared" si="1"/>
        <v>FAMILIAR</v>
      </c>
      <c r="M1048" s="25">
        <f t="shared" si="2"/>
        <v>8</v>
      </c>
      <c r="N1048" s="25">
        <f t="shared" si="3"/>
        <v>2023</v>
      </c>
      <c r="O1048" s="27" t="str">
        <f>VLOOKUP(K1048,'CA y tablas'!$B$22:$C$28,2,FALSE)</f>
        <v>AMERICANO</v>
      </c>
      <c r="P1048" s="28" t="str">
        <f t="shared" si="4"/>
        <v>S2</v>
      </c>
      <c r="Q1048" s="29">
        <v>2.0</v>
      </c>
      <c r="R1048" s="29" t="str">
        <f t="shared" si="5"/>
        <v>Q2</v>
      </c>
    </row>
    <row r="1049" ht="15.75" customHeight="1">
      <c r="A1049" s="30">
        <v>45160.0</v>
      </c>
      <c r="B1049" s="31">
        <v>7.079049961E9</v>
      </c>
      <c r="C1049" s="32" t="s">
        <v>999</v>
      </c>
      <c r="D1049" s="31">
        <v>3.2412175E7</v>
      </c>
      <c r="E1049" s="30">
        <v>45162.0</v>
      </c>
      <c r="F1049" s="33" t="s">
        <v>76</v>
      </c>
      <c r="G1049" s="34">
        <v>1.0</v>
      </c>
      <c r="H1049" s="33" t="s">
        <v>70</v>
      </c>
      <c r="I1049" s="33" t="s">
        <v>71</v>
      </c>
      <c r="J1049" s="33" t="s">
        <v>318</v>
      </c>
      <c r="K1049" s="33" t="s">
        <v>107</v>
      </c>
      <c r="L1049" s="33" t="str">
        <f t="shared" si="1"/>
        <v>INDIVIDUAL</v>
      </c>
      <c r="M1049" s="33">
        <f t="shared" si="2"/>
        <v>8</v>
      </c>
      <c r="N1049" s="33">
        <f t="shared" si="3"/>
        <v>2023</v>
      </c>
      <c r="O1049" s="35" t="str">
        <f>VLOOKUP(K1049,'CA y tablas'!$B$22:$C$28,2,FALSE)</f>
        <v>AMERICANO</v>
      </c>
      <c r="P1049" s="28" t="str">
        <f t="shared" si="4"/>
        <v>S2</v>
      </c>
      <c r="Q1049" s="29">
        <v>2.0</v>
      </c>
      <c r="R1049" s="29" t="str">
        <f t="shared" si="5"/>
        <v>Q2</v>
      </c>
    </row>
    <row r="1050" ht="15.75" customHeight="1">
      <c r="A1050" s="22">
        <v>45160.0</v>
      </c>
      <c r="B1050" s="23">
        <v>9.463143583E9</v>
      </c>
      <c r="C1050" s="24" t="s">
        <v>997</v>
      </c>
      <c r="D1050" s="23">
        <v>2.0732693E7</v>
      </c>
      <c r="E1050" s="22">
        <v>45162.0</v>
      </c>
      <c r="F1050" s="25" t="s">
        <v>69</v>
      </c>
      <c r="G1050" s="26">
        <v>1.0</v>
      </c>
      <c r="H1050" s="25" t="s">
        <v>70</v>
      </c>
      <c r="I1050" s="25" t="s">
        <v>71</v>
      </c>
      <c r="J1050" s="25" t="s">
        <v>83</v>
      </c>
      <c r="K1050" s="25" t="s">
        <v>107</v>
      </c>
      <c r="L1050" s="25" t="str">
        <f t="shared" si="1"/>
        <v>INDIVIDUAL</v>
      </c>
      <c r="M1050" s="25">
        <f t="shared" si="2"/>
        <v>8</v>
      </c>
      <c r="N1050" s="25">
        <f t="shared" si="3"/>
        <v>2023</v>
      </c>
      <c r="O1050" s="27" t="str">
        <f>VLOOKUP(K1050,'CA y tablas'!$B$22:$C$28,2,FALSE)</f>
        <v>AMERICANO</v>
      </c>
      <c r="P1050" s="28" t="str">
        <f t="shared" si="4"/>
        <v>S2</v>
      </c>
      <c r="Q1050" s="29">
        <v>2.0</v>
      </c>
      <c r="R1050" s="29" t="str">
        <f t="shared" si="5"/>
        <v>Q2</v>
      </c>
    </row>
    <row r="1051" ht="15.75" customHeight="1">
      <c r="A1051" s="30">
        <v>45134.0</v>
      </c>
      <c r="B1051" s="31">
        <v>8.304860056E9</v>
      </c>
      <c r="C1051" s="32" t="s">
        <v>1000</v>
      </c>
      <c r="D1051" s="31">
        <v>2.7336069E7</v>
      </c>
      <c r="E1051" s="30">
        <v>45163.0</v>
      </c>
      <c r="F1051" s="33" t="s">
        <v>69</v>
      </c>
      <c r="G1051" s="34">
        <v>1.0</v>
      </c>
      <c r="H1051" s="33" t="s">
        <v>70</v>
      </c>
      <c r="I1051" s="33" t="s">
        <v>71</v>
      </c>
      <c r="J1051" s="33" t="s">
        <v>83</v>
      </c>
      <c r="K1051" s="33" t="s">
        <v>107</v>
      </c>
      <c r="L1051" s="33" t="str">
        <f t="shared" si="1"/>
        <v>INDIVIDUAL</v>
      </c>
      <c r="M1051" s="33">
        <f t="shared" si="2"/>
        <v>8</v>
      </c>
      <c r="N1051" s="33">
        <f t="shared" si="3"/>
        <v>2023</v>
      </c>
      <c r="O1051" s="35" t="str">
        <f>VLOOKUP(K1051,'CA y tablas'!$B$22:$C$28,2,FALSE)</f>
        <v>AMERICANO</v>
      </c>
      <c r="P1051" s="28" t="str">
        <f t="shared" si="4"/>
        <v>S2</v>
      </c>
      <c r="Q1051" s="29">
        <v>2.0</v>
      </c>
      <c r="R1051" s="29" t="str">
        <f t="shared" si="5"/>
        <v>Q2</v>
      </c>
    </row>
    <row r="1052" ht="15.75" customHeight="1">
      <c r="A1052" s="22">
        <v>45155.0</v>
      </c>
      <c r="B1052" s="23">
        <v>5.767370442E9</v>
      </c>
      <c r="C1052" s="24" t="s">
        <v>1001</v>
      </c>
      <c r="D1052" s="23">
        <v>2.6300431E7</v>
      </c>
      <c r="E1052" s="22">
        <v>45163.0</v>
      </c>
      <c r="F1052" s="25" t="s">
        <v>76</v>
      </c>
      <c r="G1052" s="26">
        <v>1.0</v>
      </c>
      <c r="H1052" s="25" t="s">
        <v>70</v>
      </c>
      <c r="I1052" s="25" t="s">
        <v>71</v>
      </c>
      <c r="J1052" s="25" t="s">
        <v>83</v>
      </c>
      <c r="K1052" s="25" t="s">
        <v>103</v>
      </c>
      <c r="L1052" s="25" t="str">
        <f t="shared" si="1"/>
        <v>INDIVIDUAL</v>
      </c>
      <c r="M1052" s="25">
        <f t="shared" si="2"/>
        <v>8</v>
      </c>
      <c r="N1052" s="25">
        <f t="shared" si="3"/>
        <v>2023</v>
      </c>
      <c r="O1052" s="27" t="str">
        <f>VLOOKUP(K1052,'CA y tablas'!$B$22:$C$28,2,FALSE)</f>
        <v>EUROPEO</v>
      </c>
      <c r="P1052" s="28" t="str">
        <f t="shared" si="4"/>
        <v>S2</v>
      </c>
      <c r="Q1052" s="29">
        <v>2.0</v>
      </c>
      <c r="R1052" s="29" t="str">
        <f t="shared" si="5"/>
        <v>Q2</v>
      </c>
    </row>
    <row r="1053" ht="15.75" customHeight="1">
      <c r="A1053" s="30">
        <v>45155.0</v>
      </c>
      <c r="B1053" s="31">
        <v>4.261426304E9</v>
      </c>
      <c r="C1053" s="32" t="s">
        <v>1002</v>
      </c>
      <c r="D1053" s="31">
        <v>3.5806111E7</v>
      </c>
      <c r="E1053" s="30">
        <v>45163.0</v>
      </c>
      <c r="F1053" s="33" t="s">
        <v>69</v>
      </c>
      <c r="G1053" s="34">
        <v>1.0</v>
      </c>
      <c r="H1053" s="33" t="s">
        <v>70</v>
      </c>
      <c r="I1053" s="33" t="s">
        <v>71</v>
      </c>
      <c r="J1053" s="33" t="s">
        <v>83</v>
      </c>
      <c r="K1053" s="33" t="s">
        <v>103</v>
      </c>
      <c r="L1053" s="33" t="str">
        <f t="shared" si="1"/>
        <v>INDIVIDUAL</v>
      </c>
      <c r="M1053" s="33">
        <f t="shared" si="2"/>
        <v>8</v>
      </c>
      <c r="N1053" s="33">
        <f t="shared" si="3"/>
        <v>2023</v>
      </c>
      <c r="O1053" s="35" t="str">
        <f>VLOOKUP(K1053,'CA y tablas'!$B$22:$C$28,2,FALSE)</f>
        <v>EUROPEO</v>
      </c>
      <c r="P1053" s="28" t="str">
        <f t="shared" si="4"/>
        <v>S2</v>
      </c>
      <c r="Q1053" s="29">
        <v>2.0</v>
      </c>
      <c r="R1053" s="29" t="str">
        <f t="shared" si="5"/>
        <v>Q2</v>
      </c>
    </row>
    <row r="1054" ht="15.75" customHeight="1">
      <c r="A1054" s="22">
        <v>45156.0</v>
      </c>
      <c r="B1054" s="23">
        <v>5.723239001E9</v>
      </c>
      <c r="C1054" s="24" t="s">
        <v>1003</v>
      </c>
      <c r="D1054" s="23">
        <v>2.2264755E7</v>
      </c>
      <c r="E1054" s="22">
        <v>45163.0</v>
      </c>
      <c r="F1054" s="25" t="s">
        <v>69</v>
      </c>
      <c r="G1054" s="26">
        <v>1.0</v>
      </c>
      <c r="H1054" s="25" t="s">
        <v>70</v>
      </c>
      <c r="I1054" s="25" t="s">
        <v>71</v>
      </c>
      <c r="J1054" s="25" t="s">
        <v>83</v>
      </c>
      <c r="K1054" s="25" t="s">
        <v>103</v>
      </c>
      <c r="L1054" s="25" t="str">
        <f t="shared" si="1"/>
        <v>INDIVIDUAL</v>
      </c>
      <c r="M1054" s="25">
        <f t="shared" si="2"/>
        <v>8</v>
      </c>
      <c r="N1054" s="25">
        <f t="shared" si="3"/>
        <v>2023</v>
      </c>
      <c r="O1054" s="27" t="str">
        <f>VLOOKUP(K1054,'CA y tablas'!$B$22:$C$28,2,FALSE)</f>
        <v>EUROPEO</v>
      </c>
      <c r="P1054" s="28" t="str">
        <f t="shared" si="4"/>
        <v>S2</v>
      </c>
      <c r="Q1054" s="29">
        <v>2.0</v>
      </c>
      <c r="R1054" s="29" t="str">
        <f t="shared" si="5"/>
        <v>Q2</v>
      </c>
    </row>
    <row r="1055" ht="15.75" customHeight="1">
      <c r="A1055" s="30">
        <v>45160.0</v>
      </c>
      <c r="B1055" s="31">
        <v>2.623527454E9</v>
      </c>
      <c r="C1055" s="32" t="s">
        <v>1003</v>
      </c>
      <c r="D1055" s="31">
        <v>2.2264755E7</v>
      </c>
      <c r="E1055" s="30">
        <v>45163.0</v>
      </c>
      <c r="F1055" s="33" t="s">
        <v>76</v>
      </c>
      <c r="G1055" s="34">
        <v>2.0</v>
      </c>
      <c r="H1055" s="33" t="s">
        <v>70</v>
      </c>
      <c r="I1055" s="33" t="s">
        <v>71</v>
      </c>
      <c r="J1055" s="33" t="s">
        <v>83</v>
      </c>
      <c r="K1055" s="33" t="s">
        <v>103</v>
      </c>
      <c r="L1055" s="33" t="str">
        <f t="shared" si="1"/>
        <v>FAMILIAR</v>
      </c>
      <c r="M1055" s="33">
        <f t="shared" si="2"/>
        <v>8</v>
      </c>
      <c r="N1055" s="33">
        <f t="shared" si="3"/>
        <v>2023</v>
      </c>
      <c r="O1055" s="35" t="str">
        <f>VLOOKUP(K1055,'CA y tablas'!$B$22:$C$28,2,FALSE)</f>
        <v>EUROPEO</v>
      </c>
      <c r="P1055" s="28" t="str">
        <f t="shared" si="4"/>
        <v>S2</v>
      </c>
      <c r="Q1055" s="29">
        <v>2.0</v>
      </c>
      <c r="R1055" s="29" t="str">
        <f t="shared" si="5"/>
        <v>Q2</v>
      </c>
    </row>
    <row r="1056" ht="15.75" customHeight="1">
      <c r="A1056" s="22">
        <v>45160.0</v>
      </c>
      <c r="B1056" s="23">
        <v>1.812011375E9</v>
      </c>
      <c r="C1056" s="24" t="s">
        <v>1004</v>
      </c>
      <c r="D1056" s="23">
        <v>9.3369729E7</v>
      </c>
      <c r="E1056" s="22">
        <v>45163.0</v>
      </c>
      <c r="F1056" s="25" t="s">
        <v>69</v>
      </c>
      <c r="G1056" s="26">
        <v>2.0</v>
      </c>
      <c r="H1056" s="25" t="s">
        <v>70</v>
      </c>
      <c r="I1056" s="25" t="s">
        <v>88</v>
      </c>
      <c r="J1056" s="25" t="s">
        <v>83</v>
      </c>
      <c r="K1056" s="25" t="s">
        <v>103</v>
      </c>
      <c r="L1056" s="25" t="str">
        <f t="shared" si="1"/>
        <v>FAMILIAR</v>
      </c>
      <c r="M1056" s="25">
        <f t="shared" si="2"/>
        <v>8</v>
      </c>
      <c r="N1056" s="25">
        <f t="shared" si="3"/>
        <v>2023</v>
      </c>
      <c r="O1056" s="27" t="str">
        <f>VLOOKUP(K1056,'CA y tablas'!$B$22:$C$28,2,FALSE)</f>
        <v>EUROPEO</v>
      </c>
      <c r="P1056" s="28" t="str">
        <f t="shared" si="4"/>
        <v>S2</v>
      </c>
      <c r="Q1056" s="29">
        <v>2.0</v>
      </c>
      <c r="R1056" s="29" t="str">
        <f t="shared" si="5"/>
        <v>Q2</v>
      </c>
    </row>
    <row r="1057" ht="15.75" customHeight="1">
      <c r="A1057" s="30">
        <v>45162.0</v>
      </c>
      <c r="B1057" s="31">
        <v>5.535081786E9</v>
      </c>
      <c r="C1057" s="32" t="s">
        <v>1005</v>
      </c>
      <c r="D1057" s="31">
        <v>3.2134193E7</v>
      </c>
      <c r="E1057" s="30">
        <v>45163.0</v>
      </c>
      <c r="F1057" s="33" t="s">
        <v>76</v>
      </c>
      <c r="G1057" s="34">
        <v>2.0</v>
      </c>
      <c r="H1057" s="33" t="s">
        <v>70</v>
      </c>
      <c r="I1057" s="33" t="s">
        <v>88</v>
      </c>
      <c r="J1057" s="33" t="s">
        <v>83</v>
      </c>
      <c r="K1057" s="33" t="s">
        <v>103</v>
      </c>
      <c r="L1057" s="33" t="str">
        <f t="shared" si="1"/>
        <v>FAMILIAR</v>
      </c>
      <c r="M1057" s="33">
        <f t="shared" si="2"/>
        <v>8</v>
      </c>
      <c r="N1057" s="33">
        <f t="shared" si="3"/>
        <v>2023</v>
      </c>
      <c r="O1057" s="35" t="str">
        <f>VLOOKUP(K1057,'CA y tablas'!$B$22:$C$28,2,FALSE)</f>
        <v>EUROPEO</v>
      </c>
      <c r="P1057" s="28" t="str">
        <f t="shared" si="4"/>
        <v>S2</v>
      </c>
      <c r="Q1057" s="29">
        <v>2.0</v>
      </c>
      <c r="R1057" s="29" t="str">
        <f t="shared" si="5"/>
        <v>Q2</v>
      </c>
    </row>
    <row r="1058" ht="15.75" customHeight="1">
      <c r="A1058" s="22">
        <v>45163.0</v>
      </c>
      <c r="B1058" s="23">
        <v>7.416031906E9</v>
      </c>
      <c r="C1058" s="24" t="s">
        <v>1005</v>
      </c>
      <c r="D1058" s="23">
        <v>3.2134193E7</v>
      </c>
      <c r="E1058" s="22">
        <v>45163.0</v>
      </c>
      <c r="F1058" s="25" t="s">
        <v>69</v>
      </c>
      <c r="G1058" s="26">
        <v>2.0</v>
      </c>
      <c r="H1058" s="25" t="s">
        <v>70</v>
      </c>
      <c r="I1058" s="25" t="s">
        <v>88</v>
      </c>
      <c r="J1058" s="25" t="s">
        <v>93</v>
      </c>
      <c r="K1058" s="25" t="s">
        <v>103</v>
      </c>
      <c r="L1058" s="25" t="str">
        <f t="shared" si="1"/>
        <v>FAMILIAR</v>
      </c>
      <c r="M1058" s="25">
        <f t="shared" si="2"/>
        <v>8</v>
      </c>
      <c r="N1058" s="25">
        <f t="shared" si="3"/>
        <v>2023</v>
      </c>
      <c r="O1058" s="27" t="str">
        <f>VLOOKUP(K1058,'CA y tablas'!$B$22:$C$28,2,FALSE)</f>
        <v>EUROPEO</v>
      </c>
      <c r="P1058" s="28" t="str">
        <f t="shared" si="4"/>
        <v>S2</v>
      </c>
      <c r="Q1058" s="29">
        <v>2.0</v>
      </c>
      <c r="R1058" s="29" t="str">
        <f t="shared" si="5"/>
        <v>Q2</v>
      </c>
    </row>
    <row r="1059" ht="15.75" customHeight="1">
      <c r="A1059" s="30">
        <v>45128.0</v>
      </c>
      <c r="B1059" s="31">
        <v>3.464872806E9</v>
      </c>
      <c r="C1059" s="32" t="s">
        <v>1006</v>
      </c>
      <c r="D1059" s="31">
        <v>3.0497594E7</v>
      </c>
      <c r="E1059" s="30">
        <v>45166.0</v>
      </c>
      <c r="F1059" s="33" t="s">
        <v>69</v>
      </c>
      <c r="G1059" s="34">
        <v>4.0</v>
      </c>
      <c r="H1059" s="33" t="s">
        <v>70</v>
      </c>
      <c r="I1059" s="33" t="s">
        <v>88</v>
      </c>
      <c r="J1059" s="33" t="s">
        <v>93</v>
      </c>
      <c r="K1059" s="33" t="s">
        <v>103</v>
      </c>
      <c r="L1059" s="33" t="str">
        <f t="shared" si="1"/>
        <v>FAMILIAR</v>
      </c>
      <c r="M1059" s="33">
        <f t="shared" si="2"/>
        <v>8</v>
      </c>
      <c r="N1059" s="33">
        <f t="shared" si="3"/>
        <v>2023</v>
      </c>
      <c r="O1059" s="35" t="str">
        <f>VLOOKUP(K1059,'CA y tablas'!$B$22:$C$28,2,FALSE)</f>
        <v>EUROPEO</v>
      </c>
      <c r="P1059" s="28" t="str">
        <f t="shared" si="4"/>
        <v>S2</v>
      </c>
      <c r="Q1059" s="29">
        <v>2.0</v>
      </c>
      <c r="R1059" s="29" t="str">
        <f t="shared" si="5"/>
        <v>Q2</v>
      </c>
    </row>
    <row r="1060" ht="15.75" customHeight="1">
      <c r="A1060" s="22">
        <v>45142.0</v>
      </c>
      <c r="B1060" s="23">
        <v>1.666874193E9</v>
      </c>
      <c r="C1060" s="24" t="s">
        <v>1007</v>
      </c>
      <c r="D1060" s="23">
        <v>1.8526551E7</v>
      </c>
      <c r="E1060" s="22">
        <v>45166.0</v>
      </c>
      <c r="F1060" s="25" t="s">
        <v>76</v>
      </c>
      <c r="G1060" s="26">
        <v>4.0</v>
      </c>
      <c r="H1060" s="25" t="s">
        <v>70</v>
      </c>
      <c r="I1060" s="25" t="s">
        <v>88</v>
      </c>
      <c r="J1060" s="25" t="s">
        <v>93</v>
      </c>
      <c r="K1060" s="25" t="s">
        <v>84</v>
      </c>
      <c r="L1060" s="25" t="str">
        <f t="shared" si="1"/>
        <v>FAMILIAR</v>
      </c>
      <c r="M1060" s="25">
        <f t="shared" si="2"/>
        <v>8</v>
      </c>
      <c r="N1060" s="25">
        <f t="shared" si="3"/>
        <v>2023</v>
      </c>
      <c r="O1060" s="27" t="str">
        <f>VLOOKUP(K1060,'CA y tablas'!$B$22:$C$28,2,FALSE)</f>
        <v>EUROPEO</v>
      </c>
      <c r="P1060" s="28" t="str">
        <f t="shared" si="4"/>
        <v>S2</v>
      </c>
      <c r="Q1060" s="29">
        <v>2.0</v>
      </c>
      <c r="R1060" s="29" t="str">
        <f t="shared" si="5"/>
        <v>Q2</v>
      </c>
    </row>
    <row r="1061" ht="15.75" customHeight="1">
      <c r="A1061" s="30">
        <v>45146.0</v>
      </c>
      <c r="B1061" s="31">
        <v>9.859005413E9</v>
      </c>
      <c r="C1061" s="32" t="s">
        <v>1008</v>
      </c>
      <c r="D1061" s="31">
        <v>2.9293338E7</v>
      </c>
      <c r="E1061" s="30">
        <v>45166.0</v>
      </c>
      <c r="F1061" s="33" t="s">
        <v>69</v>
      </c>
      <c r="G1061" s="34">
        <v>3.0</v>
      </c>
      <c r="H1061" s="33" t="s">
        <v>70</v>
      </c>
      <c r="I1061" s="33" t="s">
        <v>88</v>
      </c>
      <c r="J1061" s="33" t="s">
        <v>93</v>
      </c>
      <c r="K1061" s="33" t="s">
        <v>84</v>
      </c>
      <c r="L1061" s="33" t="str">
        <f t="shared" si="1"/>
        <v>FAMILIAR</v>
      </c>
      <c r="M1061" s="33">
        <f t="shared" si="2"/>
        <v>8</v>
      </c>
      <c r="N1061" s="33">
        <f t="shared" si="3"/>
        <v>2023</v>
      </c>
      <c r="O1061" s="35" t="str">
        <f>VLOOKUP(K1061,'CA y tablas'!$B$22:$C$28,2,FALSE)</f>
        <v>EUROPEO</v>
      </c>
      <c r="P1061" s="28" t="str">
        <f t="shared" si="4"/>
        <v>S2</v>
      </c>
      <c r="Q1061" s="29">
        <v>2.0</v>
      </c>
      <c r="R1061" s="29" t="str">
        <f t="shared" si="5"/>
        <v>Q2</v>
      </c>
    </row>
    <row r="1062" ht="15.75" customHeight="1">
      <c r="A1062" s="22">
        <v>45148.0</v>
      </c>
      <c r="B1062" s="23">
        <v>9.815116824E9</v>
      </c>
      <c r="C1062" s="24" t="s">
        <v>1009</v>
      </c>
      <c r="D1062" s="23">
        <v>2.4059724E7</v>
      </c>
      <c r="E1062" s="22">
        <v>45166.0</v>
      </c>
      <c r="F1062" s="25" t="s">
        <v>69</v>
      </c>
      <c r="G1062" s="26">
        <v>3.0</v>
      </c>
      <c r="H1062" s="25" t="s">
        <v>70</v>
      </c>
      <c r="I1062" s="25" t="s">
        <v>88</v>
      </c>
      <c r="J1062" s="25" t="s">
        <v>93</v>
      </c>
      <c r="K1062" s="25" t="s">
        <v>84</v>
      </c>
      <c r="L1062" s="25" t="str">
        <f t="shared" si="1"/>
        <v>FAMILIAR</v>
      </c>
      <c r="M1062" s="25">
        <f t="shared" si="2"/>
        <v>8</v>
      </c>
      <c r="N1062" s="25">
        <f t="shared" si="3"/>
        <v>2023</v>
      </c>
      <c r="O1062" s="27" t="str">
        <f>VLOOKUP(K1062,'CA y tablas'!$B$22:$C$28,2,FALSE)</f>
        <v>EUROPEO</v>
      </c>
      <c r="P1062" s="28" t="str">
        <f t="shared" si="4"/>
        <v>S2</v>
      </c>
      <c r="Q1062" s="29">
        <v>2.0</v>
      </c>
      <c r="R1062" s="29" t="str">
        <f t="shared" si="5"/>
        <v>Q2</v>
      </c>
    </row>
    <row r="1063" ht="15.75" customHeight="1">
      <c r="A1063" s="30">
        <v>45149.0</v>
      </c>
      <c r="B1063" s="31">
        <v>5.771732153E9</v>
      </c>
      <c r="C1063" s="32" t="s">
        <v>1010</v>
      </c>
      <c r="D1063" s="31">
        <v>1.1707039E7</v>
      </c>
      <c r="E1063" s="30">
        <v>45166.0</v>
      </c>
      <c r="F1063" s="33" t="s">
        <v>69</v>
      </c>
      <c r="G1063" s="34">
        <v>2.0</v>
      </c>
      <c r="H1063" s="33" t="s">
        <v>70</v>
      </c>
      <c r="I1063" s="33" t="s">
        <v>88</v>
      </c>
      <c r="J1063" s="33" t="s">
        <v>98</v>
      </c>
      <c r="K1063" s="33" t="s">
        <v>84</v>
      </c>
      <c r="L1063" s="33" t="str">
        <f t="shared" si="1"/>
        <v>FAMILIAR</v>
      </c>
      <c r="M1063" s="33">
        <f t="shared" si="2"/>
        <v>8</v>
      </c>
      <c r="N1063" s="33">
        <f t="shared" si="3"/>
        <v>2023</v>
      </c>
      <c r="O1063" s="35" t="str">
        <f>VLOOKUP(K1063,'CA y tablas'!$B$22:$C$28,2,FALSE)</f>
        <v>EUROPEO</v>
      </c>
      <c r="P1063" s="28" t="str">
        <f t="shared" si="4"/>
        <v>S2</v>
      </c>
      <c r="Q1063" s="29">
        <v>2.0</v>
      </c>
      <c r="R1063" s="29" t="str">
        <f t="shared" si="5"/>
        <v>Q2</v>
      </c>
    </row>
    <row r="1064" ht="15.75" customHeight="1">
      <c r="A1064" s="22">
        <v>45155.0</v>
      </c>
      <c r="B1064" s="23">
        <v>2.212629425E9</v>
      </c>
      <c r="C1064" s="24" t="s">
        <v>1011</v>
      </c>
      <c r="D1064" s="23">
        <v>1.7377904E7</v>
      </c>
      <c r="E1064" s="22">
        <v>45166.0</v>
      </c>
      <c r="F1064" s="25" t="s">
        <v>69</v>
      </c>
      <c r="G1064" s="26">
        <v>2.0</v>
      </c>
      <c r="H1064" s="25" t="s">
        <v>70</v>
      </c>
      <c r="I1064" s="25" t="s">
        <v>88</v>
      </c>
      <c r="J1064" s="25" t="s">
        <v>98</v>
      </c>
      <c r="K1064" s="25" t="s">
        <v>84</v>
      </c>
      <c r="L1064" s="25" t="str">
        <f t="shared" si="1"/>
        <v>FAMILIAR</v>
      </c>
      <c r="M1064" s="25">
        <f t="shared" si="2"/>
        <v>8</v>
      </c>
      <c r="N1064" s="25">
        <f t="shared" si="3"/>
        <v>2023</v>
      </c>
      <c r="O1064" s="27" t="str">
        <f>VLOOKUP(K1064,'CA y tablas'!$B$22:$C$28,2,FALSE)</f>
        <v>EUROPEO</v>
      </c>
      <c r="P1064" s="28" t="str">
        <f t="shared" si="4"/>
        <v>S2</v>
      </c>
      <c r="Q1064" s="29">
        <v>2.0</v>
      </c>
      <c r="R1064" s="29" t="str">
        <f t="shared" si="5"/>
        <v>Q2</v>
      </c>
    </row>
    <row r="1065" ht="15.75" customHeight="1">
      <c r="A1065" s="30">
        <v>45155.0</v>
      </c>
      <c r="B1065" s="31">
        <v>5.767448853E9</v>
      </c>
      <c r="C1065" s="32" t="s">
        <v>1012</v>
      </c>
      <c r="D1065" s="31">
        <v>2.4287848E7</v>
      </c>
      <c r="E1065" s="30">
        <v>45166.0</v>
      </c>
      <c r="F1065" s="33" t="s">
        <v>76</v>
      </c>
      <c r="G1065" s="34">
        <v>3.0</v>
      </c>
      <c r="H1065" s="33" t="s">
        <v>70</v>
      </c>
      <c r="I1065" s="33" t="s">
        <v>88</v>
      </c>
      <c r="J1065" s="33" t="s">
        <v>98</v>
      </c>
      <c r="K1065" s="33" t="s">
        <v>84</v>
      </c>
      <c r="L1065" s="33" t="str">
        <f t="shared" si="1"/>
        <v>FAMILIAR</v>
      </c>
      <c r="M1065" s="33">
        <f t="shared" si="2"/>
        <v>8</v>
      </c>
      <c r="N1065" s="33">
        <f t="shared" si="3"/>
        <v>2023</v>
      </c>
      <c r="O1065" s="35" t="str">
        <f>VLOOKUP(K1065,'CA y tablas'!$B$22:$C$28,2,FALSE)</f>
        <v>EUROPEO</v>
      </c>
      <c r="P1065" s="28" t="str">
        <f t="shared" si="4"/>
        <v>S2</v>
      </c>
      <c r="Q1065" s="29">
        <v>2.0</v>
      </c>
      <c r="R1065" s="29" t="str">
        <f t="shared" si="5"/>
        <v>Q2</v>
      </c>
    </row>
    <row r="1066" ht="15.75" customHeight="1">
      <c r="A1066" s="22">
        <v>45156.0</v>
      </c>
      <c r="B1066" s="23">
        <v>7.160059992E9</v>
      </c>
      <c r="C1066" s="24" t="s">
        <v>1013</v>
      </c>
      <c r="D1066" s="23">
        <v>2.2264543E7</v>
      </c>
      <c r="E1066" s="22">
        <v>45166.0</v>
      </c>
      <c r="F1066" s="25" t="s">
        <v>69</v>
      </c>
      <c r="G1066" s="26">
        <v>3.0</v>
      </c>
      <c r="H1066" s="25" t="s">
        <v>92</v>
      </c>
      <c r="I1066" s="25" t="s">
        <v>77</v>
      </c>
      <c r="J1066" s="25" t="s">
        <v>98</v>
      </c>
      <c r="K1066" s="25" t="s">
        <v>84</v>
      </c>
      <c r="L1066" s="25" t="str">
        <f t="shared" si="1"/>
        <v>FAMILIAR</v>
      </c>
      <c r="M1066" s="25">
        <f t="shared" si="2"/>
        <v>8</v>
      </c>
      <c r="N1066" s="25">
        <f t="shared" si="3"/>
        <v>2023</v>
      </c>
      <c r="O1066" s="27" t="str">
        <f>VLOOKUP(K1066,'CA y tablas'!$B$22:$C$28,2,FALSE)</f>
        <v>EUROPEO</v>
      </c>
      <c r="P1066" s="28" t="str">
        <f t="shared" si="4"/>
        <v>S2</v>
      </c>
      <c r="Q1066" s="29">
        <v>2.0</v>
      </c>
      <c r="R1066" s="29" t="str">
        <f t="shared" si="5"/>
        <v>Q2</v>
      </c>
    </row>
    <row r="1067" ht="15.75" customHeight="1">
      <c r="A1067" s="30">
        <v>45156.0</v>
      </c>
      <c r="B1067" s="31">
        <v>1.377090746E9</v>
      </c>
      <c r="C1067" s="32" t="s">
        <v>1014</v>
      </c>
      <c r="D1067" s="31">
        <v>3.151755E7</v>
      </c>
      <c r="E1067" s="30">
        <v>45166.0</v>
      </c>
      <c r="F1067" s="33" t="s">
        <v>69</v>
      </c>
      <c r="G1067" s="34">
        <v>4.0</v>
      </c>
      <c r="H1067" s="33" t="s">
        <v>92</v>
      </c>
      <c r="I1067" s="33" t="s">
        <v>77</v>
      </c>
      <c r="J1067" s="33" t="s">
        <v>98</v>
      </c>
      <c r="K1067" s="33" t="s">
        <v>84</v>
      </c>
      <c r="L1067" s="33" t="str">
        <f t="shared" si="1"/>
        <v>FAMILIAR</v>
      </c>
      <c r="M1067" s="33">
        <f t="shared" si="2"/>
        <v>8</v>
      </c>
      <c r="N1067" s="33">
        <f t="shared" si="3"/>
        <v>2023</v>
      </c>
      <c r="O1067" s="35" t="str">
        <f>VLOOKUP(K1067,'CA y tablas'!$B$22:$C$28,2,FALSE)</f>
        <v>EUROPEO</v>
      </c>
      <c r="P1067" s="28" t="str">
        <f t="shared" si="4"/>
        <v>S2</v>
      </c>
      <c r="Q1067" s="29">
        <v>2.0</v>
      </c>
      <c r="R1067" s="29" t="str">
        <f t="shared" si="5"/>
        <v>Q2</v>
      </c>
    </row>
    <row r="1068" ht="15.75" customHeight="1">
      <c r="A1068" s="22">
        <v>45160.0</v>
      </c>
      <c r="B1068" s="23">
        <v>4.125493105E9</v>
      </c>
      <c r="C1068" s="24" t="s">
        <v>1015</v>
      </c>
      <c r="D1068" s="23">
        <v>2.0219891E7</v>
      </c>
      <c r="E1068" s="22">
        <v>45166.0</v>
      </c>
      <c r="F1068" s="25" t="s">
        <v>69</v>
      </c>
      <c r="G1068" s="26">
        <v>4.0</v>
      </c>
      <c r="H1068" s="25" t="s">
        <v>92</v>
      </c>
      <c r="I1068" s="25" t="s">
        <v>77</v>
      </c>
      <c r="J1068" s="25" t="s">
        <v>98</v>
      </c>
      <c r="K1068" s="25" t="s">
        <v>84</v>
      </c>
      <c r="L1068" s="25" t="str">
        <f t="shared" si="1"/>
        <v>FAMILIAR</v>
      </c>
      <c r="M1068" s="25">
        <f t="shared" si="2"/>
        <v>8</v>
      </c>
      <c r="N1068" s="25">
        <f t="shared" si="3"/>
        <v>2023</v>
      </c>
      <c r="O1068" s="27" t="str">
        <f>VLOOKUP(K1068,'CA y tablas'!$B$22:$C$28,2,FALSE)</f>
        <v>EUROPEO</v>
      </c>
      <c r="P1068" s="28" t="str">
        <f t="shared" si="4"/>
        <v>S2</v>
      </c>
      <c r="Q1068" s="29">
        <v>2.0</v>
      </c>
      <c r="R1068" s="29" t="str">
        <f t="shared" si="5"/>
        <v>Q2</v>
      </c>
    </row>
    <row r="1069" ht="15.75" customHeight="1">
      <c r="A1069" s="30">
        <v>45160.0</v>
      </c>
      <c r="B1069" s="31">
        <v>9.067774785E9</v>
      </c>
      <c r="C1069" s="32" t="s">
        <v>1016</v>
      </c>
      <c r="D1069" s="31">
        <v>3.3755621E7</v>
      </c>
      <c r="E1069" s="30">
        <v>45166.0</v>
      </c>
      <c r="F1069" s="33" t="s">
        <v>69</v>
      </c>
      <c r="G1069" s="34">
        <v>1.0</v>
      </c>
      <c r="H1069" s="33" t="s">
        <v>92</v>
      </c>
      <c r="I1069" s="33" t="s">
        <v>77</v>
      </c>
      <c r="J1069" s="33" t="s">
        <v>83</v>
      </c>
      <c r="K1069" s="33" t="s">
        <v>84</v>
      </c>
      <c r="L1069" s="33" t="str">
        <f t="shared" si="1"/>
        <v>INDIVIDUAL</v>
      </c>
      <c r="M1069" s="33">
        <f t="shared" si="2"/>
        <v>8</v>
      </c>
      <c r="N1069" s="33">
        <f t="shared" si="3"/>
        <v>2023</v>
      </c>
      <c r="O1069" s="35" t="str">
        <f>VLOOKUP(K1069,'CA y tablas'!$B$22:$C$28,2,FALSE)</f>
        <v>EUROPEO</v>
      </c>
      <c r="P1069" s="28" t="str">
        <f t="shared" si="4"/>
        <v>S2</v>
      </c>
      <c r="Q1069" s="29">
        <v>2.0</v>
      </c>
      <c r="R1069" s="29" t="str">
        <f t="shared" si="5"/>
        <v>Q2</v>
      </c>
    </row>
    <row r="1070" ht="15.75" customHeight="1">
      <c r="A1070" s="22">
        <v>45162.0</v>
      </c>
      <c r="B1070" s="23">
        <v>1.646608353E9</v>
      </c>
      <c r="C1070" s="24" t="s">
        <v>1017</v>
      </c>
      <c r="D1070" s="23">
        <v>1.2325918E7</v>
      </c>
      <c r="E1070" s="22">
        <v>45166.0</v>
      </c>
      <c r="F1070" s="25" t="s">
        <v>69</v>
      </c>
      <c r="G1070" s="26">
        <v>3.0</v>
      </c>
      <c r="H1070" s="25" t="s">
        <v>92</v>
      </c>
      <c r="I1070" s="25" t="s">
        <v>77</v>
      </c>
      <c r="J1070" s="25" t="s">
        <v>83</v>
      </c>
      <c r="K1070" s="25" t="s">
        <v>84</v>
      </c>
      <c r="L1070" s="25" t="str">
        <f t="shared" si="1"/>
        <v>FAMILIAR</v>
      </c>
      <c r="M1070" s="25">
        <f t="shared" si="2"/>
        <v>8</v>
      </c>
      <c r="N1070" s="25">
        <f t="shared" si="3"/>
        <v>2023</v>
      </c>
      <c r="O1070" s="27" t="str">
        <f>VLOOKUP(K1070,'CA y tablas'!$B$22:$C$28,2,FALSE)</f>
        <v>EUROPEO</v>
      </c>
      <c r="P1070" s="28" t="str">
        <f t="shared" si="4"/>
        <v>S2</v>
      </c>
      <c r="Q1070" s="29">
        <v>2.0</v>
      </c>
      <c r="R1070" s="29" t="str">
        <f t="shared" si="5"/>
        <v>Q2</v>
      </c>
    </row>
    <row r="1071" ht="15.75" customHeight="1">
      <c r="A1071" s="30">
        <v>45162.0</v>
      </c>
      <c r="B1071" s="31">
        <v>5.535079104E9</v>
      </c>
      <c r="C1071" s="32" t="s">
        <v>1016</v>
      </c>
      <c r="D1071" s="31">
        <v>3.3755621E7</v>
      </c>
      <c r="E1071" s="30">
        <v>45166.0</v>
      </c>
      <c r="F1071" s="33" t="s">
        <v>69</v>
      </c>
      <c r="G1071" s="34">
        <v>2.0</v>
      </c>
      <c r="H1071" s="33" t="s">
        <v>106</v>
      </c>
      <c r="I1071" s="33" t="s">
        <v>77</v>
      </c>
      <c r="J1071" s="33" t="s">
        <v>83</v>
      </c>
      <c r="K1071" s="33" t="s">
        <v>84</v>
      </c>
      <c r="L1071" s="33" t="str">
        <f t="shared" si="1"/>
        <v>FAMILIAR</v>
      </c>
      <c r="M1071" s="33">
        <f t="shared" si="2"/>
        <v>8</v>
      </c>
      <c r="N1071" s="33">
        <f t="shared" si="3"/>
        <v>2023</v>
      </c>
      <c r="O1071" s="35" t="str">
        <f>VLOOKUP(K1071,'CA y tablas'!$B$22:$C$28,2,FALSE)</f>
        <v>EUROPEO</v>
      </c>
      <c r="P1071" s="28" t="str">
        <f t="shared" si="4"/>
        <v>S2</v>
      </c>
      <c r="Q1071" s="29">
        <v>2.0</v>
      </c>
      <c r="R1071" s="29" t="str">
        <f t="shared" si="5"/>
        <v>Q2</v>
      </c>
    </row>
    <row r="1072" ht="15.75" customHeight="1">
      <c r="A1072" s="22">
        <v>45163.0</v>
      </c>
      <c r="B1072" s="23">
        <v>8.209385472E9</v>
      </c>
      <c r="C1072" s="24" t="s">
        <v>1018</v>
      </c>
      <c r="D1072" s="23">
        <v>3.8184345E7</v>
      </c>
      <c r="E1072" s="22">
        <v>45166.0</v>
      </c>
      <c r="F1072" s="25" t="s">
        <v>69</v>
      </c>
      <c r="G1072" s="26">
        <v>2.0</v>
      </c>
      <c r="H1072" s="25" t="s">
        <v>106</v>
      </c>
      <c r="I1072" s="25" t="s">
        <v>77</v>
      </c>
      <c r="J1072" s="25" t="s">
        <v>83</v>
      </c>
      <c r="K1072" s="25" t="s">
        <v>84</v>
      </c>
      <c r="L1072" s="25" t="str">
        <f t="shared" si="1"/>
        <v>FAMILIAR</v>
      </c>
      <c r="M1072" s="25">
        <f t="shared" si="2"/>
        <v>8</v>
      </c>
      <c r="N1072" s="25">
        <f t="shared" si="3"/>
        <v>2023</v>
      </c>
      <c r="O1072" s="27" t="str">
        <f>VLOOKUP(K1072,'CA y tablas'!$B$22:$C$28,2,FALSE)</f>
        <v>EUROPEO</v>
      </c>
      <c r="P1072" s="28" t="str">
        <f t="shared" si="4"/>
        <v>S2</v>
      </c>
      <c r="Q1072" s="29">
        <v>2.0</v>
      </c>
      <c r="R1072" s="29" t="str">
        <f t="shared" si="5"/>
        <v>Q2</v>
      </c>
    </row>
    <row r="1073" ht="15.75" customHeight="1">
      <c r="A1073" s="30">
        <v>45163.0</v>
      </c>
      <c r="B1073" s="31">
        <v>3.574438593E9</v>
      </c>
      <c r="C1073" s="32" t="s">
        <v>1019</v>
      </c>
      <c r="D1073" s="31">
        <v>2.7575451E7</v>
      </c>
      <c r="E1073" s="30">
        <v>45166.0</v>
      </c>
      <c r="F1073" s="33" t="s">
        <v>69</v>
      </c>
      <c r="G1073" s="34">
        <v>2.0</v>
      </c>
      <c r="H1073" s="33" t="s">
        <v>106</v>
      </c>
      <c r="I1073" s="33" t="s">
        <v>77</v>
      </c>
      <c r="J1073" s="33" t="s">
        <v>83</v>
      </c>
      <c r="K1073" s="33" t="s">
        <v>84</v>
      </c>
      <c r="L1073" s="33" t="str">
        <f t="shared" si="1"/>
        <v>FAMILIAR</v>
      </c>
      <c r="M1073" s="33">
        <f t="shared" si="2"/>
        <v>8</v>
      </c>
      <c r="N1073" s="33">
        <f t="shared" si="3"/>
        <v>2023</v>
      </c>
      <c r="O1073" s="35" t="str">
        <f>VLOOKUP(K1073,'CA y tablas'!$B$22:$C$28,2,FALSE)</f>
        <v>EUROPEO</v>
      </c>
      <c r="P1073" s="28" t="str">
        <f t="shared" si="4"/>
        <v>S2</v>
      </c>
      <c r="Q1073" s="29">
        <v>2.0</v>
      </c>
      <c r="R1073" s="29" t="str">
        <f t="shared" si="5"/>
        <v>Q2</v>
      </c>
    </row>
    <row r="1074" ht="15.75" customHeight="1">
      <c r="A1074" s="22">
        <v>45163.0</v>
      </c>
      <c r="B1074" s="23">
        <v>9.606819596E9</v>
      </c>
      <c r="C1074" s="24" t="s">
        <v>1019</v>
      </c>
      <c r="D1074" s="23">
        <v>2.7575421E7</v>
      </c>
      <c r="E1074" s="22">
        <v>45166.0</v>
      </c>
      <c r="F1074" s="25" t="s">
        <v>76</v>
      </c>
      <c r="G1074" s="26">
        <v>1.0</v>
      </c>
      <c r="H1074" s="25" t="s">
        <v>106</v>
      </c>
      <c r="I1074" s="25" t="s">
        <v>77</v>
      </c>
      <c r="J1074" s="25" t="s">
        <v>83</v>
      </c>
      <c r="K1074" s="25" t="s">
        <v>84</v>
      </c>
      <c r="L1074" s="25" t="str">
        <f t="shared" si="1"/>
        <v>INDIVIDUAL</v>
      </c>
      <c r="M1074" s="25">
        <f t="shared" si="2"/>
        <v>8</v>
      </c>
      <c r="N1074" s="25">
        <f t="shared" si="3"/>
        <v>2023</v>
      </c>
      <c r="O1074" s="27" t="str">
        <f>VLOOKUP(K1074,'CA y tablas'!$B$22:$C$28,2,FALSE)</f>
        <v>EUROPEO</v>
      </c>
      <c r="P1074" s="28" t="str">
        <f t="shared" si="4"/>
        <v>S2</v>
      </c>
      <c r="Q1074" s="29">
        <v>2.0</v>
      </c>
      <c r="R1074" s="29" t="str">
        <f t="shared" si="5"/>
        <v>Q2</v>
      </c>
    </row>
    <row r="1075" ht="15.75" customHeight="1">
      <c r="A1075" s="30">
        <v>45163.0</v>
      </c>
      <c r="B1075" s="31">
        <v>8.726291836E9</v>
      </c>
      <c r="C1075" s="32" t="s">
        <v>1015</v>
      </c>
      <c r="D1075" s="31">
        <v>2.0219891E7</v>
      </c>
      <c r="E1075" s="30">
        <v>45166.0</v>
      </c>
      <c r="F1075" s="33" t="s">
        <v>69</v>
      </c>
      <c r="G1075" s="34">
        <v>6.0</v>
      </c>
      <c r="H1075" s="33" t="s">
        <v>106</v>
      </c>
      <c r="I1075" s="33" t="s">
        <v>77</v>
      </c>
      <c r="J1075" s="33" t="s">
        <v>83</v>
      </c>
      <c r="K1075" s="33" t="s">
        <v>84</v>
      </c>
      <c r="L1075" s="33" t="str">
        <f t="shared" si="1"/>
        <v>FAMILIAR</v>
      </c>
      <c r="M1075" s="33">
        <f t="shared" si="2"/>
        <v>8</v>
      </c>
      <c r="N1075" s="33">
        <f t="shared" si="3"/>
        <v>2023</v>
      </c>
      <c r="O1075" s="35" t="str">
        <f>VLOOKUP(K1075,'CA y tablas'!$B$22:$C$28,2,FALSE)</f>
        <v>EUROPEO</v>
      </c>
      <c r="P1075" s="28" t="str">
        <f t="shared" si="4"/>
        <v>S2</v>
      </c>
      <c r="Q1075" s="29">
        <v>2.0</v>
      </c>
      <c r="R1075" s="29" t="str">
        <f t="shared" si="5"/>
        <v>Q2</v>
      </c>
    </row>
    <row r="1076" ht="15.75" customHeight="1">
      <c r="A1076" s="22">
        <v>45163.0</v>
      </c>
      <c r="B1076" s="23">
        <v>5.860931403E9</v>
      </c>
      <c r="C1076" s="24" t="s">
        <v>1015</v>
      </c>
      <c r="D1076" s="23">
        <v>2.0219891E7</v>
      </c>
      <c r="E1076" s="22">
        <v>45166.0</v>
      </c>
      <c r="F1076" s="25" t="s">
        <v>69</v>
      </c>
      <c r="G1076" s="26">
        <v>1.0</v>
      </c>
      <c r="H1076" s="25" t="s">
        <v>106</v>
      </c>
      <c r="I1076" s="25" t="s">
        <v>88</v>
      </c>
      <c r="J1076" s="25" t="s">
        <v>83</v>
      </c>
      <c r="K1076" s="25" t="s">
        <v>99</v>
      </c>
      <c r="L1076" s="25" t="str">
        <f t="shared" si="1"/>
        <v>INDIVIDUAL</v>
      </c>
      <c r="M1076" s="25">
        <f t="shared" si="2"/>
        <v>8</v>
      </c>
      <c r="N1076" s="25">
        <f t="shared" si="3"/>
        <v>2023</v>
      </c>
      <c r="O1076" s="27" t="str">
        <f>VLOOKUP(K1076,'CA y tablas'!$B$22:$C$28,2,FALSE)</f>
        <v>EUROPEO</v>
      </c>
      <c r="P1076" s="28" t="str">
        <f t="shared" si="4"/>
        <v>S2</v>
      </c>
      <c r="Q1076" s="29">
        <v>2.0</v>
      </c>
      <c r="R1076" s="29" t="str">
        <f t="shared" si="5"/>
        <v>Q2</v>
      </c>
    </row>
    <row r="1077" ht="15.75" customHeight="1">
      <c r="A1077" s="30">
        <v>45163.0</v>
      </c>
      <c r="B1077" s="31">
        <v>8.726295966E9</v>
      </c>
      <c r="C1077" s="32" t="s">
        <v>1015</v>
      </c>
      <c r="D1077" s="31">
        <v>2.0219891E7</v>
      </c>
      <c r="E1077" s="30">
        <v>45166.0</v>
      </c>
      <c r="F1077" s="33" t="s">
        <v>69</v>
      </c>
      <c r="G1077" s="34">
        <v>7.0</v>
      </c>
      <c r="H1077" s="33" t="s">
        <v>106</v>
      </c>
      <c r="I1077" s="33" t="s">
        <v>88</v>
      </c>
      <c r="J1077" s="33" t="s">
        <v>83</v>
      </c>
      <c r="K1077" s="33" t="s">
        <v>99</v>
      </c>
      <c r="L1077" s="33" t="str">
        <f t="shared" si="1"/>
        <v>FAMILIAR</v>
      </c>
      <c r="M1077" s="33">
        <f t="shared" si="2"/>
        <v>8</v>
      </c>
      <c r="N1077" s="33">
        <f t="shared" si="3"/>
        <v>2023</v>
      </c>
      <c r="O1077" s="35" t="str">
        <f>VLOOKUP(K1077,'CA y tablas'!$B$22:$C$28,2,FALSE)</f>
        <v>EUROPEO</v>
      </c>
      <c r="P1077" s="28" t="str">
        <f t="shared" si="4"/>
        <v>S2</v>
      </c>
      <c r="Q1077" s="29">
        <v>2.0</v>
      </c>
      <c r="R1077" s="29" t="str">
        <f t="shared" si="5"/>
        <v>Q2</v>
      </c>
    </row>
    <row r="1078" ht="15.75" customHeight="1">
      <c r="A1078" s="22">
        <v>45163.0</v>
      </c>
      <c r="B1078" s="23">
        <v>9.167845901E9</v>
      </c>
      <c r="C1078" s="24" t="s">
        <v>1020</v>
      </c>
      <c r="D1078" s="23">
        <v>2.7751216E7</v>
      </c>
      <c r="E1078" s="22">
        <v>45166.0</v>
      </c>
      <c r="F1078" s="25" t="s">
        <v>69</v>
      </c>
      <c r="G1078" s="26">
        <v>8.0</v>
      </c>
      <c r="H1078" s="25" t="s">
        <v>112</v>
      </c>
      <c r="I1078" s="25" t="s">
        <v>88</v>
      </c>
      <c r="J1078" s="25" t="s">
        <v>93</v>
      </c>
      <c r="K1078" s="25" t="s">
        <v>99</v>
      </c>
      <c r="L1078" s="25" t="str">
        <f t="shared" si="1"/>
        <v>FAMILIAR</v>
      </c>
      <c r="M1078" s="25">
        <f t="shared" si="2"/>
        <v>8</v>
      </c>
      <c r="N1078" s="25">
        <f t="shared" si="3"/>
        <v>2023</v>
      </c>
      <c r="O1078" s="27" t="str">
        <f>VLOOKUP(K1078,'CA y tablas'!$B$22:$C$28,2,FALSE)</f>
        <v>EUROPEO</v>
      </c>
      <c r="P1078" s="28" t="str">
        <f t="shared" si="4"/>
        <v>S2</v>
      </c>
      <c r="Q1078" s="29">
        <v>2.0</v>
      </c>
      <c r="R1078" s="29" t="str">
        <f t="shared" si="5"/>
        <v>Q2</v>
      </c>
    </row>
    <row r="1079" ht="15.75" customHeight="1">
      <c r="A1079" s="30">
        <v>45163.0</v>
      </c>
      <c r="B1079" s="31">
        <v>4.008838046E9</v>
      </c>
      <c r="C1079" s="32" t="s">
        <v>1021</v>
      </c>
      <c r="D1079" s="31">
        <v>1.3338601E7</v>
      </c>
      <c r="E1079" s="30">
        <v>45166.0</v>
      </c>
      <c r="F1079" s="33" t="s">
        <v>69</v>
      </c>
      <c r="G1079" s="34">
        <v>8.0</v>
      </c>
      <c r="H1079" s="33" t="s">
        <v>112</v>
      </c>
      <c r="I1079" s="33" t="s">
        <v>88</v>
      </c>
      <c r="J1079" s="33" t="s">
        <v>93</v>
      </c>
      <c r="K1079" s="33" t="s">
        <v>99</v>
      </c>
      <c r="L1079" s="33" t="str">
        <f t="shared" si="1"/>
        <v>FAMILIAR</v>
      </c>
      <c r="M1079" s="33">
        <f t="shared" si="2"/>
        <v>8</v>
      </c>
      <c r="N1079" s="33">
        <f t="shared" si="3"/>
        <v>2023</v>
      </c>
      <c r="O1079" s="35" t="str">
        <f>VLOOKUP(K1079,'CA y tablas'!$B$22:$C$28,2,FALSE)</f>
        <v>EUROPEO</v>
      </c>
      <c r="P1079" s="28" t="str">
        <f t="shared" si="4"/>
        <v>S2</v>
      </c>
      <c r="Q1079" s="29">
        <v>2.0</v>
      </c>
      <c r="R1079" s="29" t="str">
        <f t="shared" si="5"/>
        <v>Q2</v>
      </c>
    </row>
    <row r="1080" ht="15.75" customHeight="1">
      <c r="A1080" s="22">
        <v>45153.0</v>
      </c>
      <c r="B1080" s="23">
        <v>3.895471086E9</v>
      </c>
      <c r="C1080" s="24" t="s">
        <v>1022</v>
      </c>
      <c r="D1080" s="23">
        <v>3.7456435E7</v>
      </c>
      <c r="E1080" s="22">
        <v>45167.0</v>
      </c>
      <c r="F1080" s="25" t="s">
        <v>69</v>
      </c>
      <c r="G1080" s="26">
        <v>1.0</v>
      </c>
      <c r="H1080" s="25" t="s">
        <v>112</v>
      </c>
      <c r="I1080" s="25" t="s">
        <v>88</v>
      </c>
      <c r="J1080" s="25" t="s">
        <v>93</v>
      </c>
      <c r="K1080" s="25" t="s">
        <v>99</v>
      </c>
      <c r="L1080" s="25" t="str">
        <f t="shared" si="1"/>
        <v>INDIVIDUAL</v>
      </c>
      <c r="M1080" s="25">
        <f t="shared" si="2"/>
        <v>8</v>
      </c>
      <c r="N1080" s="25">
        <f t="shared" si="3"/>
        <v>2023</v>
      </c>
      <c r="O1080" s="27" t="str">
        <f>VLOOKUP(K1080,'CA y tablas'!$B$22:$C$28,2,FALSE)</f>
        <v>EUROPEO</v>
      </c>
      <c r="P1080" s="28" t="str">
        <f t="shared" si="4"/>
        <v>S2</v>
      </c>
      <c r="Q1080" s="29">
        <v>2.0</v>
      </c>
      <c r="R1080" s="29" t="str">
        <f t="shared" si="5"/>
        <v>Q2</v>
      </c>
    </row>
    <row r="1081" ht="15.75" customHeight="1">
      <c r="A1081" s="30">
        <v>45155.0</v>
      </c>
      <c r="B1081" s="31">
        <v>1.015786306E9</v>
      </c>
      <c r="C1081" s="32" t="s">
        <v>1023</v>
      </c>
      <c r="D1081" s="31">
        <v>3.211607E7</v>
      </c>
      <c r="E1081" s="30">
        <v>45167.0</v>
      </c>
      <c r="F1081" s="33" t="s">
        <v>69</v>
      </c>
      <c r="G1081" s="34">
        <v>1.0</v>
      </c>
      <c r="H1081" s="33" t="s">
        <v>112</v>
      </c>
      <c r="I1081" s="33" t="s">
        <v>88</v>
      </c>
      <c r="J1081" s="33" t="s">
        <v>93</v>
      </c>
      <c r="K1081" s="33" t="s">
        <v>99</v>
      </c>
      <c r="L1081" s="33" t="str">
        <f t="shared" si="1"/>
        <v>INDIVIDUAL</v>
      </c>
      <c r="M1081" s="33">
        <f t="shared" si="2"/>
        <v>8</v>
      </c>
      <c r="N1081" s="33">
        <f t="shared" si="3"/>
        <v>2023</v>
      </c>
      <c r="O1081" s="35" t="str">
        <f>VLOOKUP(K1081,'CA y tablas'!$B$22:$C$28,2,FALSE)</f>
        <v>EUROPEO</v>
      </c>
      <c r="P1081" s="28" t="str">
        <f t="shared" si="4"/>
        <v>S2</v>
      </c>
      <c r="Q1081" s="29">
        <v>2.0</v>
      </c>
      <c r="R1081" s="29" t="str">
        <f t="shared" si="5"/>
        <v>Q2</v>
      </c>
    </row>
    <row r="1082" ht="15.75" customHeight="1">
      <c r="A1082" s="22">
        <v>45155.0</v>
      </c>
      <c r="B1082" s="23">
        <v>9.781190786E9</v>
      </c>
      <c r="C1082" s="24" t="s">
        <v>1024</v>
      </c>
      <c r="D1082" s="23">
        <v>4.2935646E7</v>
      </c>
      <c r="E1082" s="22">
        <v>45167.0</v>
      </c>
      <c r="F1082" s="25" t="s">
        <v>69</v>
      </c>
      <c r="G1082" s="26">
        <v>1.0</v>
      </c>
      <c r="H1082" s="25" t="s">
        <v>112</v>
      </c>
      <c r="I1082" s="25" t="s">
        <v>88</v>
      </c>
      <c r="J1082" s="25" t="s">
        <v>93</v>
      </c>
      <c r="K1082" s="25" t="s">
        <v>99</v>
      </c>
      <c r="L1082" s="25" t="str">
        <f t="shared" si="1"/>
        <v>INDIVIDUAL</v>
      </c>
      <c r="M1082" s="25">
        <f t="shared" si="2"/>
        <v>8</v>
      </c>
      <c r="N1082" s="25">
        <f t="shared" si="3"/>
        <v>2023</v>
      </c>
      <c r="O1082" s="27" t="str">
        <f>VLOOKUP(K1082,'CA y tablas'!$B$22:$C$28,2,FALSE)</f>
        <v>EUROPEO</v>
      </c>
      <c r="P1082" s="28" t="str">
        <f t="shared" si="4"/>
        <v>S2</v>
      </c>
      <c r="Q1082" s="29">
        <v>2.0</v>
      </c>
      <c r="R1082" s="29" t="str">
        <f t="shared" si="5"/>
        <v>Q2</v>
      </c>
    </row>
    <row r="1083" ht="15.75" customHeight="1">
      <c r="A1083" s="30">
        <v>45156.0</v>
      </c>
      <c r="B1083" s="31">
        <v>8.418210032E9</v>
      </c>
      <c r="C1083" s="32" t="s">
        <v>1025</v>
      </c>
      <c r="D1083" s="31">
        <v>4.0088115E7</v>
      </c>
      <c r="E1083" s="30">
        <v>45167.0</v>
      </c>
      <c r="F1083" s="33" t="s">
        <v>69</v>
      </c>
      <c r="G1083" s="34">
        <v>1.0</v>
      </c>
      <c r="H1083" s="33" t="s">
        <v>112</v>
      </c>
      <c r="I1083" s="33" t="s">
        <v>88</v>
      </c>
      <c r="J1083" s="33" t="s">
        <v>93</v>
      </c>
      <c r="K1083" s="33" t="s">
        <v>99</v>
      </c>
      <c r="L1083" s="33" t="str">
        <f t="shared" si="1"/>
        <v>INDIVIDUAL</v>
      </c>
      <c r="M1083" s="33">
        <f t="shared" si="2"/>
        <v>8</v>
      </c>
      <c r="N1083" s="33">
        <f t="shared" si="3"/>
        <v>2023</v>
      </c>
      <c r="O1083" s="35" t="str">
        <f>VLOOKUP(K1083,'CA y tablas'!$B$22:$C$28,2,FALSE)</f>
        <v>EUROPEO</v>
      </c>
      <c r="P1083" s="28" t="str">
        <f t="shared" si="4"/>
        <v>S2</v>
      </c>
      <c r="Q1083" s="29">
        <v>2.0</v>
      </c>
      <c r="R1083" s="29" t="str">
        <f t="shared" si="5"/>
        <v>Q2</v>
      </c>
    </row>
    <row r="1084" ht="15.75" customHeight="1">
      <c r="A1084" s="22">
        <v>45160.0</v>
      </c>
      <c r="B1084" s="23">
        <v>7.106981486E9</v>
      </c>
      <c r="C1084" s="24" t="s">
        <v>1026</v>
      </c>
      <c r="D1084" s="23">
        <v>2.9061158E7</v>
      </c>
      <c r="E1084" s="22">
        <v>45167.0</v>
      </c>
      <c r="F1084" s="25" t="s">
        <v>69</v>
      </c>
      <c r="G1084" s="26">
        <v>3.0</v>
      </c>
      <c r="H1084" s="25" t="s">
        <v>112</v>
      </c>
      <c r="I1084" s="25" t="s">
        <v>88</v>
      </c>
      <c r="J1084" s="25" t="s">
        <v>93</v>
      </c>
      <c r="K1084" s="25" t="s">
        <v>99</v>
      </c>
      <c r="L1084" s="25" t="str">
        <f t="shared" si="1"/>
        <v>FAMILIAR</v>
      </c>
      <c r="M1084" s="25">
        <f t="shared" si="2"/>
        <v>8</v>
      </c>
      <c r="N1084" s="25">
        <f t="shared" si="3"/>
        <v>2023</v>
      </c>
      <c r="O1084" s="27" t="str">
        <f>VLOOKUP(K1084,'CA y tablas'!$B$22:$C$28,2,FALSE)</f>
        <v>EUROPEO</v>
      </c>
      <c r="P1084" s="28" t="str">
        <f t="shared" si="4"/>
        <v>S2</v>
      </c>
      <c r="Q1084" s="29">
        <v>2.0</v>
      </c>
      <c r="R1084" s="29" t="str">
        <f t="shared" si="5"/>
        <v>Q2</v>
      </c>
    </row>
    <row r="1085" ht="15.75" customHeight="1">
      <c r="A1085" s="30">
        <v>45162.0</v>
      </c>
      <c r="B1085" s="31">
        <v>4.40020763E9</v>
      </c>
      <c r="C1085" s="32" t="s">
        <v>1027</v>
      </c>
      <c r="D1085" s="31">
        <v>4.1915695E7</v>
      </c>
      <c r="E1085" s="30">
        <v>45167.0</v>
      </c>
      <c r="F1085" s="33" t="s">
        <v>69</v>
      </c>
      <c r="G1085" s="34">
        <v>3.0</v>
      </c>
      <c r="H1085" s="33" t="s">
        <v>112</v>
      </c>
      <c r="I1085" s="33" t="s">
        <v>88</v>
      </c>
      <c r="J1085" s="33" t="s">
        <v>93</v>
      </c>
      <c r="K1085" s="33" t="s">
        <v>99</v>
      </c>
      <c r="L1085" s="33" t="str">
        <f t="shared" si="1"/>
        <v>FAMILIAR</v>
      </c>
      <c r="M1085" s="33">
        <f t="shared" si="2"/>
        <v>8</v>
      </c>
      <c r="N1085" s="33">
        <f t="shared" si="3"/>
        <v>2023</v>
      </c>
      <c r="O1085" s="35" t="str">
        <f>VLOOKUP(K1085,'CA y tablas'!$B$22:$C$28,2,FALSE)</f>
        <v>EUROPEO</v>
      </c>
      <c r="P1085" s="28" t="str">
        <f t="shared" si="4"/>
        <v>S2</v>
      </c>
      <c r="Q1085" s="29">
        <v>2.0</v>
      </c>
      <c r="R1085" s="29" t="str">
        <f t="shared" si="5"/>
        <v>Q2</v>
      </c>
    </row>
    <row r="1086" ht="15.75" customHeight="1">
      <c r="A1086" s="22">
        <v>45162.0</v>
      </c>
      <c r="B1086" s="23">
        <v>1.581245094E9</v>
      </c>
      <c r="C1086" s="24" t="s">
        <v>1026</v>
      </c>
      <c r="D1086" s="23">
        <v>2.9061158E7</v>
      </c>
      <c r="E1086" s="22">
        <v>45167.0</v>
      </c>
      <c r="F1086" s="25" t="s">
        <v>69</v>
      </c>
      <c r="G1086" s="26">
        <v>5.0</v>
      </c>
      <c r="H1086" s="25" t="s">
        <v>112</v>
      </c>
      <c r="I1086" s="25" t="s">
        <v>71</v>
      </c>
      <c r="J1086" s="25" t="s">
        <v>93</v>
      </c>
      <c r="K1086" s="25" t="s">
        <v>73</v>
      </c>
      <c r="L1086" s="25" t="str">
        <f t="shared" si="1"/>
        <v>FAMILIAR</v>
      </c>
      <c r="M1086" s="25">
        <f t="shared" si="2"/>
        <v>8</v>
      </c>
      <c r="N1086" s="25">
        <f t="shared" si="3"/>
        <v>2023</v>
      </c>
      <c r="O1086" s="27" t="str">
        <f>VLOOKUP(K1086,'CA y tablas'!$B$22:$C$28,2,FALSE)</f>
        <v>AMERICANO</v>
      </c>
      <c r="P1086" s="28" t="str">
        <f t="shared" si="4"/>
        <v>S2</v>
      </c>
      <c r="Q1086" s="29">
        <v>2.0</v>
      </c>
      <c r="R1086" s="29" t="str">
        <f t="shared" si="5"/>
        <v>Q2</v>
      </c>
    </row>
    <row r="1087" ht="15.75" customHeight="1">
      <c r="A1087" s="30">
        <v>45163.0</v>
      </c>
      <c r="B1087" s="31">
        <v>9.651400172E9</v>
      </c>
      <c r="C1087" s="32" t="s">
        <v>1028</v>
      </c>
      <c r="D1087" s="31">
        <v>2.1327675E7</v>
      </c>
      <c r="E1087" s="30">
        <v>45167.0</v>
      </c>
      <c r="F1087" s="33" t="s">
        <v>76</v>
      </c>
      <c r="G1087" s="34">
        <v>6.0</v>
      </c>
      <c r="H1087" s="33" t="s">
        <v>81</v>
      </c>
      <c r="I1087" s="33" t="s">
        <v>71</v>
      </c>
      <c r="J1087" s="33" t="s">
        <v>93</v>
      </c>
      <c r="K1087" s="33" t="s">
        <v>73</v>
      </c>
      <c r="L1087" s="33" t="str">
        <f t="shared" si="1"/>
        <v>FAMILIAR</v>
      </c>
      <c r="M1087" s="33">
        <f t="shared" si="2"/>
        <v>8</v>
      </c>
      <c r="N1087" s="33">
        <f t="shared" si="3"/>
        <v>2023</v>
      </c>
      <c r="O1087" s="35" t="str">
        <f>VLOOKUP(K1087,'CA y tablas'!$B$22:$C$28,2,FALSE)</f>
        <v>AMERICANO</v>
      </c>
      <c r="P1087" s="28" t="str">
        <f t="shared" si="4"/>
        <v>S2</v>
      </c>
      <c r="Q1087" s="29">
        <v>2.0</v>
      </c>
      <c r="R1087" s="29" t="str">
        <f t="shared" si="5"/>
        <v>Q2</v>
      </c>
    </row>
    <row r="1088" ht="15.75" customHeight="1">
      <c r="A1088" s="22">
        <v>45163.0</v>
      </c>
      <c r="B1088" s="23">
        <v>8.726230516E9</v>
      </c>
      <c r="C1088" s="24" t="s">
        <v>1028</v>
      </c>
      <c r="D1088" s="23">
        <v>2.1327675E7</v>
      </c>
      <c r="E1088" s="22">
        <v>45167.0</v>
      </c>
      <c r="F1088" s="25" t="s">
        <v>76</v>
      </c>
      <c r="G1088" s="26">
        <v>7.0</v>
      </c>
      <c r="H1088" s="25" t="s">
        <v>81</v>
      </c>
      <c r="I1088" s="25" t="s">
        <v>71</v>
      </c>
      <c r="J1088" s="25" t="s">
        <v>93</v>
      </c>
      <c r="K1088" s="25" t="s">
        <v>73</v>
      </c>
      <c r="L1088" s="25" t="str">
        <f t="shared" si="1"/>
        <v>FAMILIAR</v>
      </c>
      <c r="M1088" s="25">
        <f t="shared" si="2"/>
        <v>8</v>
      </c>
      <c r="N1088" s="25">
        <f t="shared" si="3"/>
        <v>2023</v>
      </c>
      <c r="O1088" s="27" t="str">
        <f>VLOOKUP(K1088,'CA y tablas'!$B$22:$C$28,2,FALSE)</f>
        <v>AMERICANO</v>
      </c>
      <c r="P1088" s="28" t="str">
        <f t="shared" si="4"/>
        <v>S2</v>
      </c>
      <c r="Q1088" s="29">
        <v>2.0</v>
      </c>
      <c r="R1088" s="29" t="str">
        <f t="shared" si="5"/>
        <v>Q2</v>
      </c>
    </row>
    <row r="1089" ht="15.75" customHeight="1">
      <c r="A1089" s="30">
        <v>45163.0</v>
      </c>
      <c r="B1089" s="31">
        <v>4.008884935E9</v>
      </c>
      <c r="C1089" s="32" t="s">
        <v>1029</v>
      </c>
      <c r="D1089" s="31">
        <v>2.9745079E7</v>
      </c>
      <c r="E1089" s="30">
        <v>45167.0</v>
      </c>
      <c r="F1089" s="33" t="s">
        <v>76</v>
      </c>
      <c r="G1089" s="34">
        <v>1.0</v>
      </c>
      <c r="H1089" s="33" t="s">
        <v>81</v>
      </c>
      <c r="I1089" s="33" t="s">
        <v>71</v>
      </c>
      <c r="J1089" s="33" t="s">
        <v>72</v>
      </c>
      <c r="K1089" s="33" t="s">
        <v>73</v>
      </c>
      <c r="L1089" s="33" t="str">
        <f t="shared" si="1"/>
        <v>INDIVIDUAL</v>
      </c>
      <c r="M1089" s="33">
        <f t="shared" si="2"/>
        <v>8</v>
      </c>
      <c r="N1089" s="33">
        <f t="shared" si="3"/>
        <v>2023</v>
      </c>
      <c r="O1089" s="35" t="str">
        <f>VLOOKUP(K1089,'CA y tablas'!$B$22:$C$28,2,FALSE)</f>
        <v>AMERICANO</v>
      </c>
      <c r="P1089" s="28" t="str">
        <f t="shared" si="4"/>
        <v>S2</v>
      </c>
      <c r="Q1089" s="29">
        <v>2.0</v>
      </c>
      <c r="R1089" s="29" t="str">
        <f t="shared" si="5"/>
        <v>Q2</v>
      </c>
    </row>
    <row r="1090" ht="15.75" customHeight="1">
      <c r="A1090" s="22">
        <v>45142.0</v>
      </c>
      <c r="B1090" s="23">
        <v>2.63135908E9</v>
      </c>
      <c r="C1090" s="24" t="s">
        <v>1030</v>
      </c>
      <c r="D1090" s="23">
        <v>3.7456627E7</v>
      </c>
      <c r="E1090" s="22">
        <v>45168.0</v>
      </c>
      <c r="F1090" s="25" t="s">
        <v>69</v>
      </c>
      <c r="G1090" s="26">
        <v>2.0</v>
      </c>
      <c r="H1090" s="25" t="s">
        <v>81</v>
      </c>
      <c r="I1090" s="25" t="s">
        <v>71</v>
      </c>
      <c r="J1090" s="25" t="s">
        <v>72</v>
      </c>
      <c r="K1090" s="25" t="s">
        <v>73</v>
      </c>
      <c r="L1090" s="25" t="str">
        <f t="shared" si="1"/>
        <v>FAMILIAR</v>
      </c>
      <c r="M1090" s="25">
        <f t="shared" si="2"/>
        <v>8</v>
      </c>
      <c r="N1090" s="25">
        <f t="shared" si="3"/>
        <v>2023</v>
      </c>
      <c r="O1090" s="27" t="str">
        <f>VLOOKUP(K1090,'CA y tablas'!$B$22:$C$28,2,FALSE)</f>
        <v>AMERICANO</v>
      </c>
      <c r="P1090" s="28" t="str">
        <f t="shared" si="4"/>
        <v>S2</v>
      </c>
      <c r="Q1090" s="29">
        <v>2.0</v>
      </c>
      <c r="R1090" s="29" t="str">
        <f t="shared" si="5"/>
        <v>Q2</v>
      </c>
    </row>
    <row r="1091" ht="15.75" customHeight="1">
      <c r="A1091" s="30">
        <v>45149.0</v>
      </c>
      <c r="B1091" s="31">
        <v>9.022291563E9</v>
      </c>
      <c r="C1091" s="32" t="s">
        <v>1031</v>
      </c>
      <c r="D1091" s="31">
        <v>2.0692192E7</v>
      </c>
      <c r="E1091" s="30">
        <v>45168.0</v>
      </c>
      <c r="F1091" s="33" t="s">
        <v>76</v>
      </c>
      <c r="G1091" s="34">
        <v>1.0</v>
      </c>
      <c r="H1091" s="33" t="s">
        <v>81</v>
      </c>
      <c r="I1091" s="33" t="s">
        <v>71</v>
      </c>
      <c r="J1091" s="33" t="s">
        <v>72</v>
      </c>
      <c r="K1091" s="33" t="s">
        <v>73</v>
      </c>
      <c r="L1091" s="33" t="str">
        <f t="shared" si="1"/>
        <v>INDIVIDUAL</v>
      </c>
      <c r="M1091" s="33">
        <f t="shared" si="2"/>
        <v>8</v>
      </c>
      <c r="N1091" s="33">
        <f t="shared" si="3"/>
        <v>2023</v>
      </c>
      <c r="O1091" s="35" t="str">
        <f>VLOOKUP(K1091,'CA y tablas'!$B$22:$C$28,2,FALSE)</f>
        <v>AMERICANO</v>
      </c>
      <c r="P1091" s="28" t="str">
        <f t="shared" si="4"/>
        <v>S2</v>
      </c>
      <c r="Q1091" s="29">
        <v>2.0</v>
      </c>
      <c r="R1091" s="29" t="str">
        <f t="shared" si="5"/>
        <v>Q2</v>
      </c>
    </row>
    <row r="1092" ht="15.75" customHeight="1">
      <c r="A1092" s="22">
        <v>45153.0</v>
      </c>
      <c r="B1092" s="23">
        <v>6.9809474E9</v>
      </c>
      <c r="C1092" s="24" t="s">
        <v>1032</v>
      </c>
      <c r="D1092" s="23">
        <v>1.4272857E7</v>
      </c>
      <c r="E1092" s="22">
        <v>45168.0</v>
      </c>
      <c r="F1092" s="25" t="s">
        <v>69</v>
      </c>
      <c r="G1092" s="26">
        <v>2.0</v>
      </c>
      <c r="H1092" s="25" t="s">
        <v>81</v>
      </c>
      <c r="I1092" s="25" t="s">
        <v>71</v>
      </c>
      <c r="J1092" s="25" t="s">
        <v>72</v>
      </c>
      <c r="K1092" s="25" t="s">
        <v>73</v>
      </c>
      <c r="L1092" s="25" t="str">
        <f t="shared" si="1"/>
        <v>FAMILIAR</v>
      </c>
      <c r="M1092" s="25">
        <f t="shared" si="2"/>
        <v>8</v>
      </c>
      <c r="N1092" s="25">
        <f t="shared" si="3"/>
        <v>2023</v>
      </c>
      <c r="O1092" s="27" t="str">
        <f>VLOOKUP(K1092,'CA y tablas'!$B$22:$C$28,2,FALSE)</f>
        <v>AMERICANO</v>
      </c>
      <c r="P1092" s="28" t="str">
        <f t="shared" si="4"/>
        <v>S2</v>
      </c>
      <c r="Q1092" s="29">
        <v>2.0</v>
      </c>
      <c r="R1092" s="29" t="str">
        <f t="shared" si="5"/>
        <v>Q2</v>
      </c>
    </row>
    <row r="1093" ht="15.75" customHeight="1">
      <c r="A1093" s="30">
        <v>45156.0</v>
      </c>
      <c r="B1093" s="31">
        <v>5.723247261E9</v>
      </c>
      <c r="C1093" s="32" t="s">
        <v>1033</v>
      </c>
      <c r="D1093" s="31">
        <v>6437076.0</v>
      </c>
      <c r="E1093" s="30">
        <v>45168.0</v>
      </c>
      <c r="F1093" s="33" t="s">
        <v>69</v>
      </c>
      <c r="G1093" s="34">
        <v>2.0</v>
      </c>
      <c r="H1093" s="33" t="s">
        <v>81</v>
      </c>
      <c r="I1093" s="33" t="s">
        <v>71</v>
      </c>
      <c r="J1093" s="33" t="s">
        <v>72</v>
      </c>
      <c r="K1093" s="33" t="s">
        <v>107</v>
      </c>
      <c r="L1093" s="33" t="str">
        <f t="shared" si="1"/>
        <v>FAMILIAR</v>
      </c>
      <c r="M1093" s="33">
        <f t="shared" si="2"/>
        <v>8</v>
      </c>
      <c r="N1093" s="33">
        <f t="shared" si="3"/>
        <v>2023</v>
      </c>
      <c r="O1093" s="35" t="str">
        <f>VLOOKUP(K1093,'CA y tablas'!$B$22:$C$28,2,FALSE)</f>
        <v>AMERICANO</v>
      </c>
      <c r="P1093" s="28" t="str">
        <f t="shared" si="4"/>
        <v>S2</v>
      </c>
      <c r="Q1093" s="29">
        <v>2.0</v>
      </c>
      <c r="R1093" s="29" t="str">
        <f t="shared" si="5"/>
        <v>Q2</v>
      </c>
    </row>
    <row r="1094" ht="15.75" customHeight="1">
      <c r="A1094" s="22">
        <v>45160.0</v>
      </c>
      <c r="B1094" s="23">
        <v>2.936127622E9</v>
      </c>
      <c r="C1094" s="24" t="s">
        <v>1034</v>
      </c>
      <c r="D1094" s="23">
        <v>2.7400865E7</v>
      </c>
      <c r="E1094" s="22">
        <v>45168.0</v>
      </c>
      <c r="F1094" s="25" t="s">
        <v>69</v>
      </c>
      <c r="G1094" s="26">
        <v>2.0</v>
      </c>
      <c r="H1094" s="25" t="s">
        <v>70</v>
      </c>
      <c r="I1094" s="25" t="s">
        <v>71</v>
      </c>
      <c r="J1094" s="25" t="s">
        <v>72</v>
      </c>
      <c r="K1094" s="25" t="s">
        <v>107</v>
      </c>
      <c r="L1094" s="25" t="str">
        <f t="shared" si="1"/>
        <v>FAMILIAR</v>
      </c>
      <c r="M1094" s="25">
        <f t="shared" si="2"/>
        <v>8</v>
      </c>
      <c r="N1094" s="25">
        <f t="shared" si="3"/>
        <v>2023</v>
      </c>
      <c r="O1094" s="27" t="str">
        <f>VLOOKUP(K1094,'CA y tablas'!$B$22:$C$28,2,FALSE)</f>
        <v>AMERICANO</v>
      </c>
      <c r="P1094" s="28" t="str">
        <f t="shared" si="4"/>
        <v>S2</v>
      </c>
      <c r="Q1094" s="29">
        <v>2.0</v>
      </c>
      <c r="R1094" s="29" t="str">
        <f t="shared" si="5"/>
        <v>Q2</v>
      </c>
    </row>
    <row r="1095" ht="15.75" customHeight="1">
      <c r="A1095" s="30">
        <v>45160.0</v>
      </c>
      <c r="B1095" s="31">
        <v>1.109938723E9</v>
      </c>
      <c r="C1095" s="32" t="s">
        <v>1035</v>
      </c>
      <c r="D1095" s="31">
        <v>1.1788669E7</v>
      </c>
      <c r="E1095" s="30">
        <v>45168.0</v>
      </c>
      <c r="F1095" s="33" t="s">
        <v>69</v>
      </c>
      <c r="G1095" s="34">
        <v>2.0</v>
      </c>
      <c r="H1095" s="33" t="s">
        <v>70</v>
      </c>
      <c r="I1095" s="33" t="s">
        <v>77</v>
      </c>
      <c r="J1095" s="33" t="s">
        <v>318</v>
      </c>
      <c r="K1095" s="33" t="s">
        <v>107</v>
      </c>
      <c r="L1095" s="33" t="str">
        <f t="shared" si="1"/>
        <v>FAMILIAR</v>
      </c>
      <c r="M1095" s="33">
        <f t="shared" si="2"/>
        <v>8</v>
      </c>
      <c r="N1095" s="33">
        <f t="shared" si="3"/>
        <v>2023</v>
      </c>
      <c r="O1095" s="35" t="str">
        <f>VLOOKUP(K1095,'CA y tablas'!$B$22:$C$28,2,FALSE)</f>
        <v>AMERICANO</v>
      </c>
      <c r="P1095" s="28" t="str">
        <f t="shared" si="4"/>
        <v>S2</v>
      </c>
      <c r="Q1095" s="29">
        <v>2.0</v>
      </c>
      <c r="R1095" s="29" t="str">
        <f t="shared" si="5"/>
        <v>Q2</v>
      </c>
    </row>
    <row r="1096" ht="15.75" customHeight="1">
      <c r="A1096" s="22">
        <v>45160.0</v>
      </c>
      <c r="B1096" s="23">
        <v>6.162483003E9</v>
      </c>
      <c r="C1096" s="24" t="s">
        <v>1036</v>
      </c>
      <c r="D1096" s="23">
        <v>2.1329194E7</v>
      </c>
      <c r="E1096" s="22">
        <v>45168.0</v>
      </c>
      <c r="F1096" s="25" t="s">
        <v>76</v>
      </c>
      <c r="G1096" s="26">
        <v>2.0</v>
      </c>
      <c r="H1096" s="25" t="s">
        <v>70</v>
      </c>
      <c r="I1096" s="25" t="s">
        <v>77</v>
      </c>
      <c r="J1096" s="25" t="s">
        <v>318</v>
      </c>
      <c r="K1096" s="25" t="s">
        <v>107</v>
      </c>
      <c r="L1096" s="25" t="str">
        <f t="shared" si="1"/>
        <v>FAMILIAR</v>
      </c>
      <c r="M1096" s="25">
        <f t="shared" si="2"/>
        <v>8</v>
      </c>
      <c r="N1096" s="25">
        <f t="shared" si="3"/>
        <v>2023</v>
      </c>
      <c r="O1096" s="27" t="str">
        <f>VLOOKUP(K1096,'CA y tablas'!$B$22:$C$28,2,FALSE)</f>
        <v>AMERICANO</v>
      </c>
      <c r="P1096" s="28" t="str">
        <f t="shared" si="4"/>
        <v>S2</v>
      </c>
      <c r="Q1096" s="29">
        <v>2.0</v>
      </c>
      <c r="R1096" s="29" t="str">
        <f t="shared" si="5"/>
        <v>Q2</v>
      </c>
    </row>
    <row r="1097" ht="15.75" customHeight="1">
      <c r="A1097" s="30">
        <v>45160.0</v>
      </c>
      <c r="B1097" s="31">
        <v>5.162225014E9</v>
      </c>
      <c r="C1097" s="32" t="s">
        <v>1037</v>
      </c>
      <c r="D1097" s="31">
        <v>6039576.0</v>
      </c>
      <c r="E1097" s="30">
        <v>45168.0</v>
      </c>
      <c r="F1097" s="33" t="s">
        <v>76</v>
      </c>
      <c r="G1097" s="34">
        <v>2.0</v>
      </c>
      <c r="H1097" s="33" t="s">
        <v>70</v>
      </c>
      <c r="I1097" s="33" t="s">
        <v>77</v>
      </c>
      <c r="J1097" s="33" t="s">
        <v>318</v>
      </c>
      <c r="K1097" s="33" t="s">
        <v>107</v>
      </c>
      <c r="L1097" s="33" t="str">
        <f t="shared" si="1"/>
        <v>FAMILIAR</v>
      </c>
      <c r="M1097" s="33">
        <f t="shared" si="2"/>
        <v>8</v>
      </c>
      <c r="N1097" s="33">
        <f t="shared" si="3"/>
        <v>2023</v>
      </c>
      <c r="O1097" s="35" t="str">
        <f>VLOOKUP(K1097,'CA y tablas'!$B$22:$C$28,2,FALSE)</f>
        <v>AMERICANO</v>
      </c>
      <c r="P1097" s="28" t="str">
        <f t="shared" si="4"/>
        <v>S2</v>
      </c>
      <c r="Q1097" s="29">
        <v>2.0</v>
      </c>
      <c r="R1097" s="29" t="str">
        <f t="shared" si="5"/>
        <v>Q2</v>
      </c>
    </row>
    <row r="1098" ht="15.75" customHeight="1">
      <c r="A1098" s="22">
        <v>45162.0</v>
      </c>
      <c r="B1098" s="23">
        <v>1.581258055E9</v>
      </c>
      <c r="C1098" s="24" t="s">
        <v>1035</v>
      </c>
      <c r="D1098" s="23">
        <v>1.1788669E7</v>
      </c>
      <c r="E1098" s="22">
        <v>45168.0</v>
      </c>
      <c r="F1098" s="25" t="s">
        <v>76</v>
      </c>
      <c r="G1098" s="26">
        <v>1.0</v>
      </c>
      <c r="H1098" s="25" t="s">
        <v>70</v>
      </c>
      <c r="I1098" s="25" t="s">
        <v>77</v>
      </c>
      <c r="J1098" s="25" t="s">
        <v>318</v>
      </c>
      <c r="K1098" s="25" t="s">
        <v>90</v>
      </c>
      <c r="L1098" s="25" t="str">
        <f t="shared" si="1"/>
        <v>INDIVIDUAL</v>
      </c>
      <c r="M1098" s="25">
        <f t="shared" si="2"/>
        <v>8</v>
      </c>
      <c r="N1098" s="25">
        <f t="shared" si="3"/>
        <v>2023</v>
      </c>
      <c r="O1098" s="27" t="str">
        <f>VLOOKUP(K1098,'CA y tablas'!$B$22:$C$28,2,FALSE)</f>
        <v>EUROPEO</v>
      </c>
      <c r="P1098" s="28" t="str">
        <f t="shared" si="4"/>
        <v>S2</v>
      </c>
      <c r="Q1098" s="29">
        <v>2.0</v>
      </c>
      <c r="R1098" s="29" t="str">
        <f t="shared" si="5"/>
        <v>Q2</v>
      </c>
    </row>
    <row r="1099" ht="15.75" customHeight="1">
      <c r="A1099" s="30">
        <v>45163.0</v>
      </c>
      <c r="B1099" s="31">
        <v>4.992229896E9</v>
      </c>
      <c r="C1099" s="32" t="s">
        <v>1035</v>
      </c>
      <c r="D1099" s="31">
        <v>1.1788669E7</v>
      </c>
      <c r="E1099" s="30">
        <v>45168.0</v>
      </c>
      <c r="F1099" s="33" t="s">
        <v>76</v>
      </c>
      <c r="G1099" s="34">
        <v>2.0</v>
      </c>
      <c r="H1099" s="33" t="s">
        <v>70</v>
      </c>
      <c r="I1099" s="33" t="s">
        <v>77</v>
      </c>
      <c r="J1099" s="33" t="s">
        <v>318</v>
      </c>
      <c r="K1099" s="33" t="s">
        <v>90</v>
      </c>
      <c r="L1099" s="33" t="str">
        <f t="shared" si="1"/>
        <v>FAMILIAR</v>
      </c>
      <c r="M1099" s="33">
        <f t="shared" si="2"/>
        <v>8</v>
      </c>
      <c r="N1099" s="33">
        <f t="shared" si="3"/>
        <v>2023</v>
      </c>
      <c r="O1099" s="35" t="str">
        <f>VLOOKUP(K1099,'CA y tablas'!$B$22:$C$28,2,FALSE)</f>
        <v>EUROPEO</v>
      </c>
      <c r="P1099" s="28" t="str">
        <f t="shared" si="4"/>
        <v>S1</v>
      </c>
      <c r="Q1099" s="29">
        <v>2.0</v>
      </c>
      <c r="R1099" s="29" t="str">
        <f t="shared" si="5"/>
        <v>Q3</v>
      </c>
    </row>
    <row r="1100" ht="15.75" customHeight="1">
      <c r="A1100" s="30"/>
      <c r="B1100" s="31"/>
      <c r="C1100" s="32"/>
      <c r="D1100" s="31"/>
      <c r="E1100" s="30"/>
      <c r="F1100" s="33"/>
      <c r="G1100" s="34"/>
      <c r="H1100" s="33"/>
      <c r="I1100" s="33"/>
      <c r="J1100" s="33"/>
      <c r="K1100" s="33"/>
      <c r="L1100" s="33"/>
      <c r="M1100" s="33"/>
      <c r="N1100" s="33"/>
      <c r="O1100" s="35"/>
      <c r="P1100" s="28"/>
      <c r="Q1100" s="29"/>
      <c r="R1100" s="29" t="str">
        <f t="shared" si="5"/>
        <v>Q3</v>
      </c>
    </row>
  </sheetData>
  <customSheetViews>
    <customSheetView guid="{0AD43369-F2D1-4957-ADEC-37F5B9D6B854}" filter="1" showAutoFilter="1">
      <autoFilter ref="$A$1:$R$1100"/>
      <extLst>
        <ext uri="GoogleSheetsCustomDataVersion1">
          <go:sheetsCustomData xmlns:go="http://customooxmlschemas.google.com/" filterViewId="1139264843"/>
        </ext>
      </extLst>
    </customSheetView>
  </customSheetViews>
  <dataValidations>
    <dataValidation type="date" operator="greaterThan" allowBlank="1" showErrorMessage="1" sqref="A2:A1100 E2:E1100">
      <formula1>44835.0</formula1>
    </dataValidation>
    <dataValidation type="decimal" allowBlank="1" showErrorMessage="1" sqref="G2:G1100">
      <formula1>1.0</formula1>
      <formula2>9.0</formula2>
    </dataValidation>
    <dataValidation type="list" allowBlank="1" showErrorMessage="1" sqref="F1:F1100">
      <formula1>'CA y tablas'!$B$4:$B$5</formula1>
    </dataValidation>
    <dataValidation type="list" allowBlank="1" showErrorMessage="1" sqref="I1:I1100">
      <formula1>'CA y tablas'!$D$4:$D$6</formula1>
    </dataValidation>
    <dataValidation type="list" allowBlank="1" showErrorMessage="1" sqref="J1:J1100">
      <formula1>'CA y tablas'!$F$4:$F$9</formula1>
    </dataValidation>
  </dataValidation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9.38"/>
    <col customWidth="1" min="3" max="3" width="14.13"/>
    <col customWidth="1" min="4" max="4" width="12.38"/>
    <col customWidth="1" min="5" max="5" width="9.38"/>
    <col customWidth="1" min="6" max="6" width="10.5"/>
    <col customWidth="1" min="7" max="26" width="9.38"/>
  </cols>
  <sheetData>
    <row r="4">
      <c r="A4" s="4" t="s">
        <v>1046</v>
      </c>
      <c r="B4" s="4" t="s">
        <v>1047</v>
      </c>
    </row>
    <row r="6">
      <c r="B6" s="37" t="s">
        <v>64</v>
      </c>
      <c r="C6" s="37" t="s">
        <v>1048</v>
      </c>
    </row>
    <row r="7">
      <c r="B7" s="38" t="s">
        <v>70</v>
      </c>
      <c r="C7" s="38">
        <f>SUMIF('Base Trabajada'!$H$2:$H$1100,B7,'Base Trabajada'!$G$2:$G$1100)</f>
        <v>628</v>
      </c>
    </row>
    <row r="8">
      <c r="B8" s="38" t="s">
        <v>81</v>
      </c>
      <c r="C8" s="38">
        <f>SUMIF('Base Trabajada'!$H$2:$H$1100,B8,'Base Trabajada'!$G$2:$G$1100)</f>
        <v>271</v>
      </c>
    </row>
    <row r="9">
      <c r="B9" s="38" t="s">
        <v>87</v>
      </c>
      <c r="C9" s="38">
        <f>SUMIF('Base Trabajada'!$H$2:$H$1100,B9,'Base Trabajada'!$G$2:$G$1100)</f>
        <v>4</v>
      </c>
    </row>
    <row r="10">
      <c r="B10" s="38" t="s">
        <v>92</v>
      </c>
      <c r="C10" s="38">
        <f>SUMIF('Base Trabajada'!$H$2:$H$1100,B10,'Base Trabajada'!$G$2:$G$1100)</f>
        <v>306</v>
      </c>
    </row>
    <row r="11">
      <c r="B11" s="38" t="s">
        <v>106</v>
      </c>
      <c r="C11" s="38">
        <f>SUMIF('Base Trabajada'!$H$2:$H$1100,B11,'Base Trabajada'!$G$2:$G$1100)</f>
        <v>332</v>
      </c>
    </row>
    <row r="12">
      <c r="B12" s="38" t="s">
        <v>112</v>
      </c>
      <c r="C12" s="38">
        <f>SUMIF('Base Trabajada'!$H$2:$H$1100,B12,'Base Trabajada'!$G$2:$G$1100)</f>
        <v>266</v>
      </c>
    </row>
    <row r="13">
      <c r="B13" s="38" t="s">
        <v>116</v>
      </c>
      <c r="C13" s="38">
        <f>SUMIF('Base Trabajada'!$H$2:$H$1100,B13,'Base Trabajada'!$G$2:$G$1100)</f>
        <v>574</v>
      </c>
    </row>
    <row r="14">
      <c r="B14" s="39" t="s">
        <v>1049</v>
      </c>
      <c r="C14" s="38">
        <f>SUM(C7:C13)</f>
        <v>2381</v>
      </c>
      <c r="D14" s="40" t="s">
        <v>1050</v>
      </c>
    </row>
    <row r="16">
      <c r="A16" s="4" t="s">
        <v>1051</v>
      </c>
      <c r="B16" s="4" t="s">
        <v>1052</v>
      </c>
    </row>
    <row r="18">
      <c r="B18" s="37" t="s">
        <v>1053</v>
      </c>
      <c r="C18" s="37">
        <v>2022.0</v>
      </c>
      <c r="D18" s="37">
        <v>2023.0</v>
      </c>
    </row>
    <row r="19">
      <c r="B19" s="38" t="s">
        <v>71</v>
      </c>
      <c r="C19" s="38">
        <f>SUMIFS('Base Trabajada'!G2:G1099,'Base Trabajada'!I2:I1099,B19,'Base Trabajada'!N2:N1099,C18)</f>
        <v>80</v>
      </c>
      <c r="D19" s="38">
        <f>SUMIFS('Base Trabajada'!G2:G1099,'Base Trabajada'!I2:I1099,B19,'Base Trabajada'!N2:N1099,D18)</f>
        <v>888</v>
      </c>
      <c r="F19" s="41"/>
    </row>
    <row r="20">
      <c r="B20" s="38" t="s">
        <v>77</v>
      </c>
      <c r="C20" s="38">
        <f>SUMIFS('Base Trabajada'!G2:G1099,'Base Trabajada'!I2:I1099,B20,'Base Trabajada'!N2:N1099,C18)</f>
        <v>72</v>
      </c>
      <c r="D20" s="38">
        <f>SUMIFS('Base Trabajada'!G2:G1099,'Base Trabajada'!I2:I1099,B20,'Base Trabajada'!N2:N1099,D18)</f>
        <v>741</v>
      </c>
    </row>
    <row r="21" ht="15.75" customHeight="1">
      <c r="B21" s="38" t="s">
        <v>88</v>
      </c>
      <c r="C21" s="42">
        <f>SUMIFS('Base Trabajada'!G2:G1099,'Base Trabajada'!I2:I1099,B21,'Base Trabajada'!N2:N1099,C18)</f>
        <v>57</v>
      </c>
      <c r="D21" s="42">
        <f>SUMIFS('Base Trabajada'!G2:G1099,'Base Trabajada'!I2:I1099,B21,'Base Trabajada'!N2:N1099,D18)</f>
        <v>543</v>
      </c>
    </row>
    <row r="22" ht="15.75" customHeight="1">
      <c r="C22" s="38">
        <f t="shared" ref="C22:D22" si="1">SUM(C19:C21)</f>
        <v>209</v>
      </c>
      <c r="D22" s="38">
        <f t="shared" si="1"/>
        <v>2172</v>
      </c>
      <c r="E22" s="39" t="s">
        <v>1049</v>
      </c>
      <c r="F22" s="38">
        <v>2381.0</v>
      </c>
      <c r="G22" s="40" t="s">
        <v>1050</v>
      </c>
    </row>
    <row r="23" ht="15.75" customHeight="1">
      <c r="C23" s="9"/>
      <c r="D23" s="9"/>
      <c r="E23" s="9"/>
      <c r="F23" s="9"/>
    </row>
    <row r="24" ht="15.75" customHeight="1">
      <c r="A24" s="4" t="s">
        <v>1054</v>
      </c>
      <c r="B24" s="4" t="s">
        <v>1055</v>
      </c>
    </row>
    <row r="25" ht="15.75" customHeight="1"/>
    <row r="26" ht="15.75" customHeight="1">
      <c r="B26" s="37" t="s">
        <v>1056</v>
      </c>
      <c r="C26" s="37" t="s">
        <v>1057</v>
      </c>
    </row>
    <row r="27" ht="15.75" customHeight="1">
      <c r="B27" s="38" t="s">
        <v>90</v>
      </c>
      <c r="C27" s="38">
        <f>COUNTIFS('Base Trabajada'!K2:K1099,B27,'Base Trabajada'!N2:N1099,2023)</f>
        <v>124</v>
      </c>
    </row>
    <row r="28" ht="15.75" customHeight="1">
      <c r="B28" s="38" t="s">
        <v>73</v>
      </c>
      <c r="C28" s="38">
        <f>COUNTIFS('Base Trabajada'!K3:K1100,B28,'Base Trabajada'!N3:N1100,2023)</f>
        <v>306</v>
      </c>
    </row>
    <row r="29" ht="15.75" customHeight="1">
      <c r="B29" s="38" t="s">
        <v>99</v>
      </c>
      <c r="C29" s="38">
        <f>COUNTIFS('Base Trabajada'!K4:K1101,B29,'Base Trabajada'!N4:N1101,2023)</f>
        <v>113</v>
      </c>
    </row>
    <row r="30" ht="15.75" customHeight="1">
      <c r="B30" s="38" t="s">
        <v>84</v>
      </c>
      <c r="C30" s="38">
        <f>COUNTIFS('Base Trabajada'!K5:K1102,B30,'Base Trabajada'!N5:N1102,2023)</f>
        <v>186</v>
      </c>
    </row>
    <row r="31" ht="15.75" customHeight="1">
      <c r="B31" s="38" t="s">
        <v>217</v>
      </c>
      <c r="C31" s="38">
        <f>COUNTIFS('Base Trabajada'!K6:K1103,B31,'Base Trabajada'!N6:N1103,2023)</f>
        <v>61</v>
      </c>
    </row>
    <row r="32" ht="15.75" customHeight="1">
      <c r="B32" s="38" t="s">
        <v>107</v>
      </c>
      <c r="C32" s="38">
        <f>COUNTIFS('Base Trabajada'!K7:K1104,B32,'Base Trabajada'!N7:N1104,2023)</f>
        <v>117</v>
      </c>
    </row>
    <row r="33" ht="15.75" customHeight="1">
      <c r="B33" s="42" t="s">
        <v>103</v>
      </c>
      <c r="C33" s="38">
        <f>COUNTIFS('Base Trabajada'!K8:K1105,B33,'Base Trabajada'!N8:N1105,2023)</f>
        <v>95</v>
      </c>
    </row>
    <row r="34" ht="15.75" customHeight="1">
      <c r="B34" s="39" t="s">
        <v>1049</v>
      </c>
      <c r="C34" s="38">
        <f>SUM(C27:C33)</f>
        <v>1002</v>
      </c>
      <c r="D34" s="40" t="s">
        <v>1050</v>
      </c>
    </row>
    <row r="35" ht="15.75" customHeight="1">
      <c r="B35" s="9"/>
      <c r="C35" s="9"/>
    </row>
    <row r="36" ht="15.75" customHeight="1">
      <c r="A36" s="4" t="s">
        <v>1058</v>
      </c>
      <c r="B36" s="4" t="s">
        <v>1059</v>
      </c>
    </row>
    <row r="37" ht="15.75" customHeight="1"/>
    <row r="38" ht="15.75" customHeight="1">
      <c r="B38" s="37" t="s">
        <v>1060</v>
      </c>
      <c r="C38" s="37" t="s">
        <v>1061</v>
      </c>
    </row>
    <row r="39" ht="15.75" customHeight="1">
      <c r="B39" s="38" t="s">
        <v>72</v>
      </c>
      <c r="C39" s="43">
        <f>AVERAGEIF('Base Trabajada'!$J$2:$J$1100,B39,'Base Trabajada'!$G$2:$G$1100)</f>
        <v>2.010526316</v>
      </c>
    </row>
    <row r="40" ht="15.75" customHeight="1">
      <c r="B40" s="38" t="s">
        <v>79</v>
      </c>
      <c r="C40" s="43">
        <f>AVERAGEIF('Base Trabajada'!$J$2:$J$1100,B40,'Base Trabajada'!$G$2:$G$1100)</f>
        <v>2.376470588</v>
      </c>
    </row>
    <row r="41" ht="15.75" customHeight="1">
      <c r="B41" s="38" t="s">
        <v>83</v>
      </c>
      <c r="C41" s="43">
        <f>AVERAGEIF('Base Trabajada'!$J$2:$J$1100,B41,'Base Trabajada'!$G$2:$G$1100)</f>
        <v>2.128865979</v>
      </c>
    </row>
    <row r="42" ht="15.75" customHeight="1">
      <c r="B42" s="38" t="s">
        <v>93</v>
      </c>
      <c r="C42" s="43">
        <f>AVERAGEIF('Base Trabajada'!$J$2:$J$1100,B42,'Base Trabajada'!$G$2:$G$1100)</f>
        <v>2.331707317</v>
      </c>
    </row>
    <row r="43" ht="15.75" customHeight="1">
      <c r="B43" s="38" t="s">
        <v>98</v>
      </c>
      <c r="C43" s="43">
        <f>AVERAGEIF('Base Trabajada'!$J$2:$J$1100,B43,'Base Trabajada'!$G$2:$G$1100)</f>
        <v>2.241545894</v>
      </c>
    </row>
    <row r="44" ht="15.75" customHeight="1">
      <c r="B44" s="38" t="s">
        <v>318</v>
      </c>
      <c r="C44" s="43">
        <f>AVERAGEIF('Base Trabajada'!$J$2:$J$1100,B44,'Base Trabajada'!$G$2:$G$1100)</f>
        <v>1.818181818</v>
      </c>
    </row>
    <row r="45" ht="15.75" customHeight="1"/>
    <row r="46" ht="15.75" customHeight="1">
      <c r="A46" s="4" t="s">
        <v>1062</v>
      </c>
      <c r="B46" s="4" t="s">
        <v>1063</v>
      </c>
    </row>
    <row r="47" ht="15.75" customHeight="1"/>
    <row r="48" ht="15.75" customHeight="1">
      <c r="B48" s="37" t="s">
        <v>1064</v>
      </c>
      <c r="C48" s="37">
        <v>2022.0</v>
      </c>
      <c r="D48" s="37">
        <v>2023.0</v>
      </c>
    </row>
    <row r="49" ht="15.75" customHeight="1">
      <c r="B49" s="44" t="s">
        <v>1065</v>
      </c>
      <c r="C49" s="44">
        <v>0.0</v>
      </c>
      <c r="D49" s="44">
        <f>COUNTIF('Base Trabajada'!M2:M1099,1)</f>
        <v>24</v>
      </c>
    </row>
    <row r="50" ht="15.75" customHeight="1">
      <c r="B50" s="44" t="s">
        <v>1066</v>
      </c>
      <c r="C50" s="44">
        <v>0.0</v>
      </c>
      <c r="D50" s="44">
        <f>COUNTIF('Base Trabajada'!M2:M1099,2)</f>
        <v>37</v>
      </c>
    </row>
    <row r="51" ht="15.75" customHeight="1">
      <c r="B51" s="44" t="s">
        <v>1067</v>
      </c>
      <c r="C51" s="44">
        <v>0.0</v>
      </c>
      <c r="D51" s="44">
        <f>COUNTIF('Base Trabajada'!M2:M1099,3)</f>
        <v>47</v>
      </c>
    </row>
    <row r="52" ht="15.75" customHeight="1">
      <c r="B52" s="44" t="s">
        <v>1068</v>
      </c>
      <c r="C52" s="44">
        <v>0.0</v>
      </c>
      <c r="D52" s="44">
        <f>COUNTIF('Base Trabajada'!M2:M1099,4)</f>
        <v>111</v>
      </c>
    </row>
    <row r="53" ht="15.75" customHeight="1">
      <c r="B53" s="44" t="s">
        <v>1069</v>
      </c>
      <c r="C53" s="44">
        <v>0.0</v>
      </c>
      <c r="D53" s="44">
        <f>COUNTIF('Base Trabajada'!M2:M1099,5)</f>
        <v>181</v>
      </c>
    </row>
    <row r="54" ht="15.75" customHeight="1">
      <c r="B54" s="44" t="s">
        <v>1070</v>
      </c>
      <c r="C54" s="44">
        <v>0.0</v>
      </c>
      <c r="D54" s="44">
        <f>COUNTIF('Base Trabajada'!M2:M1099,6)</f>
        <v>185</v>
      </c>
    </row>
    <row r="55" ht="15.75" customHeight="1">
      <c r="B55" s="44" t="s">
        <v>1071</v>
      </c>
      <c r="C55" s="44">
        <v>0.0</v>
      </c>
      <c r="D55" s="44">
        <f>COUNTIF('Base Trabajada'!M2:M1099,7)</f>
        <v>175</v>
      </c>
    </row>
    <row r="56" ht="15.75" customHeight="1">
      <c r="B56" s="44" t="s">
        <v>1072</v>
      </c>
      <c r="C56" s="44">
        <v>0.0</v>
      </c>
      <c r="D56" s="44">
        <f>COUNTIF('Base Trabajada'!M2:M1099,8)</f>
        <v>242</v>
      </c>
    </row>
    <row r="57" ht="15.75" customHeight="1">
      <c r="B57" s="44" t="s">
        <v>1073</v>
      </c>
      <c r="C57" s="44">
        <v>0.0</v>
      </c>
      <c r="D57" s="44">
        <v>0.0</v>
      </c>
    </row>
    <row r="58" ht="15.75" customHeight="1">
      <c r="B58" s="44" t="s">
        <v>1074</v>
      </c>
      <c r="C58" s="44">
        <f>COUNTIF('Base Trabajada'!M2:M1099,10)</f>
        <v>14</v>
      </c>
      <c r="D58" s="44">
        <v>0.0</v>
      </c>
    </row>
    <row r="59" ht="15.75" customHeight="1">
      <c r="B59" s="44" t="s">
        <v>1075</v>
      </c>
      <c r="C59" s="44">
        <f>COUNTIF('Base Trabajada'!M2:M1099,11)</f>
        <v>42</v>
      </c>
      <c r="D59" s="44">
        <v>0.0</v>
      </c>
    </row>
    <row r="60" ht="15.75" customHeight="1">
      <c r="B60" s="44" t="s">
        <v>1076</v>
      </c>
      <c r="C60" s="44">
        <f>COUNTIF('Base Trabajada'!M2:M1099,12)</f>
        <v>40</v>
      </c>
      <c r="D60" s="44">
        <v>0.0</v>
      </c>
    </row>
    <row r="61" ht="15.75" customHeight="1"/>
    <row r="62" ht="15.75" customHeight="1">
      <c r="A62" s="4" t="s">
        <v>1077</v>
      </c>
      <c r="B62" s="4" t="s">
        <v>1078</v>
      </c>
    </row>
    <row r="63" ht="15.75" customHeight="1"/>
    <row r="64" ht="15.75" customHeight="1"/>
    <row r="65" ht="15.75" customHeight="1">
      <c r="A65" s="4" t="s">
        <v>1079</v>
      </c>
      <c r="B65" s="45" t="s">
        <v>1080</v>
      </c>
    </row>
    <row r="66" ht="15.75" customHeight="1"/>
    <row r="67" ht="15.75" customHeight="1"/>
    <row r="68" ht="15.75" customHeight="1">
      <c r="A68" s="4" t="s">
        <v>1081</v>
      </c>
      <c r="B68" s="45" t="s">
        <v>1082</v>
      </c>
    </row>
    <row r="69" ht="15.75" customHeight="1"/>
    <row r="70" ht="15.75" customHeight="1"/>
    <row r="71" ht="15.75" customHeight="1">
      <c r="A71" s="4" t="s">
        <v>1083</v>
      </c>
      <c r="B71" s="45" t="s">
        <v>1084</v>
      </c>
    </row>
    <row r="72" ht="15.75" customHeight="1"/>
    <row r="73" ht="15.75" customHeight="1">
      <c r="B73" s="45"/>
    </row>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9.38"/>
    <col customWidth="1" min="2" max="2" width="19.25"/>
    <col customWidth="1" min="3" max="3" width="12.38"/>
    <col customWidth="1" min="4" max="5" width="9.38"/>
    <col customWidth="1" min="6" max="6" width="16.63"/>
    <col customWidth="1" min="7" max="26" width="9.38"/>
  </cols>
  <sheetData>
    <row r="1">
      <c r="B1" s="46" t="s">
        <v>1085</v>
      </c>
      <c r="C1" s="2"/>
      <c r="D1" s="2"/>
      <c r="E1" s="2"/>
      <c r="F1" s="2"/>
      <c r="G1" s="2"/>
      <c r="H1" s="2"/>
      <c r="I1" s="2"/>
      <c r="J1" s="2"/>
      <c r="K1" s="3"/>
    </row>
    <row r="3">
      <c r="B3" s="47" t="s">
        <v>62</v>
      </c>
      <c r="D3" s="47" t="s">
        <v>65</v>
      </c>
      <c r="F3" s="47" t="s">
        <v>66</v>
      </c>
    </row>
    <row r="4">
      <c r="B4" s="44" t="s">
        <v>69</v>
      </c>
      <c r="D4" s="44" t="s">
        <v>71</v>
      </c>
      <c r="F4" s="44" t="s">
        <v>72</v>
      </c>
    </row>
    <row r="5">
      <c r="B5" s="44" t="s">
        <v>76</v>
      </c>
      <c r="D5" s="44" t="s">
        <v>77</v>
      </c>
      <c r="F5" s="44" t="s">
        <v>79</v>
      </c>
    </row>
    <row r="6">
      <c r="D6" s="44" t="s">
        <v>88</v>
      </c>
      <c r="F6" s="44" t="s">
        <v>83</v>
      </c>
    </row>
    <row r="7">
      <c r="F7" s="44" t="s">
        <v>93</v>
      </c>
    </row>
    <row r="8">
      <c r="F8" s="44" t="s">
        <v>98</v>
      </c>
    </row>
    <row r="9">
      <c r="F9" s="44" t="s">
        <v>318</v>
      </c>
    </row>
    <row r="15">
      <c r="B15" s="46" t="s">
        <v>1086</v>
      </c>
      <c r="C15" s="2"/>
      <c r="D15" s="2"/>
      <c r="E15" s="2"/>
      <c r="F15" s="2"/>
      <c r="G15" s="2"/>
      <c r="H15" s="2"/>
      <c r="I15" s="2"/>
      <c r="J15" s="2"/>
      <c r="K15" s="3"/>
    </row>
    <row r="17">
      <c r="B17" s="48" t="s">
        <v>26</v>
      </c>
      <c r="C17" s="4" t="s">
        <v>1087</v>
      </c>
    </row>
    <row r="18">
      <c r="C18" s="4" t="s">
        <v>1088</v>
      </c>
    </row>
    <row r="19">
      <c r="B19" s="4" t="s">
        <v>1089</v>
      </c>
      <c r="C19" s="4" t="s">
        <v>1090</v>
      </c>
    </row>
    <row r="21" ht="15.75" customHeight="1">
      <c r="B21" s="48" t="s">
        <v>1038</v>
      </c>
      <c r="C21" s="48" t="s">
        <v>1042</v>
      </c>
    </row>
    <row r="22" ht="15.75" customHeight="1">
      <c r="B22" s="4" t="s">
        <v>73</v>
      </c>
      <c r="C22" s="4" t="s">
        <v>1091</v>
      </c>
    </row>
    <row r="23" ht="15.75" customHeight="1">
      <c r="B23" s="4" t="s">
        <v>84</v>
      </c>
      <c r="C23" s="4" t="s">
        <v>1092</v>
      </c>
    </row>
    <row r="24" ht="15.75" customHeight="1">
      <c r="B24" s="4" t="s">
        <v>90</v>
      </c>
      <c r="C24" s="4" t="s">
        <v>1092</v>
      </c>
    </row>
    <row r="25" ht="15.75" customHeight="1">
      <c r="B25" s="4" t="s">
        <v>99</v>
      </c>
      <c r="C25" s="4" t="s">
        <v>1092</v>
      </c>
    </row>
    <row r="26" ht="15.75" customHeight="1">
      <c r="B26" s="4" t="s">
        <v>103</v>
      </c>
      <c r="C26" s="4" t="s">
        <v>1092</v>
      </c>
    </row>
    <row r="27" ht="15.75" customHeight="1">
      <c r="B27" s="4" t="s">
        <v>107</v>
      </c>
      <c r="C27" s="4" t="s">
        <v>1091</v>
      </c>
    </row>
    <row r="28" ht="15.75" customHeight="1">
      <c r="B28" s="4" t="s">
        <v>217</v>
      </c>
      <c r="C28" s="4" t="s">
        <v>1093</v>
      </c>
    </row>
    <row r="29" ht="15.75" customHeight="1"/>
    <row r="30" ht="15.75" customHeight="1">
      <c r="B30" s="4" t="s">
        <v>1089</v>
      </c>
      <c r="C30" s="4" t="s">
        <v>1094</v>
      </c>
    </row>
    <row r="31" ht="15.75" customHeight="1"/>
    <row r="32" ht="15.75" customHeight="1">
      <c r="B32" s="48" t="s">
        <v>1095</v>
      </c>
    </row>
    <row r="33" ht="15.75" customHeight="1">
      <c r="B33" s="4" t="s">
        <v>1089</v>
      </c>
      <c r="C33" s="4" t="s">
        <v>1096</v>
      </c>
    </row>
    <row r="34" ht="15.75" customHeight="1"/>
    <row r="35" ht="15.75" customHeight="1">
      <c r="B35" s="48" t="s">
        <v>1097</v>
      </c>
    </row>
    <row r="36" ht="15.75" customHeight="1">
      <c r="B36" s="4" t="s">
        <v>1089</v>
      </c>
      <c r="C36" s="4" t="s">
        <v>1098</v>
      </c>
    </row>
    <row r="37" ht="15.75" customHeight="1"/>
    <row r="38" ht="15.75" customHeight="1">
      <c r="B38" s="48" t="s">
        <v>34</v>
      </c>
    </row>
    <row r="39" ht="15.75" customHeight="1">
      <c r="B39" s="4" t="s">
        <v>1089</v>
      </c>
      <c r="C39" s="4" t="s">
        <v>1099</v>
      </c>
    </row>
    <row r="40" ht="15.75" customHeight="1"/>
    <row r="41" ht="15.75" customHeight="1">
      <c r="B41" s="48" t="s">
        <v>1100</v>
      </c>
    </row>
    <row r="42" ht="15.75" customHeight="1">
      <c r="B42" s="4" t="s">
        <v>1089</v>
      </c>
      <c r="C42" s="4" t="s">
        <v>1101</v>
      </c>
    </row>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K1"/>
    <mergeCell ref="B15:K15"/>
  </mergeCells>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showGridLines="0" workbookViewId="0"/>
  </sheetViews>
  <sheetFormatPr customHeight="1" defaultColWidth="12.63" defaultRowHeight="15.0"/>
  <cols>
    <col customWidth="1" min="1" max="1" width="18.25"/>
    <col customWidth="1" min="4" max="4" width="10.88"/>
    <col customWidth="1" min="6" max="6" width="10.75"/>
    <col customWidth="1" min="7" max="7" width="15.25"/>
  </cols>
  <sheetData>
    <row r="1"/>
    <row r="2"/>
    <row r="3"/>
    <row r="4"/>
    <row r="5"/>
    <row r="7">
      <c r="A7" s="52"/>
    </row>
    <row r="8">
      <c r="F8" s="54"/>
      <c r="G8" s="52"/>
      <c r="H8" s="52"/>
      <c r="I8" s="52"/>
      <c r="J8" s="52"/>
      <c r="K8" s="52"/>
    </row>
    <row r="9">
      <c r="F9" s="56"/>
      <c r="G9" s="49"/>
      <c r="H9" s="52"/>
      <c r="I9" s="52"/>
      <c r="J9" s="52"/>
      <c r="K9" s="52"/>
    </row>
    <row r="10">
      <c r="F10" s="57"/>
      <c r="G10" s="52"/>
      <c r="H10" s="52"/>
      <c r="I10" s="52"/>
      <c r="J10" s="52"/>
      <c r="K10" s="52"/>
    </row>
    <row r="11">
      <c r="F11" s="51"/>
      <c r="G11" s="49"/>
      <c r="H11" s="52"/>
      <c r="I11" s="52"/>
      <c r="J11" s="52"/>
      <c r="K11" s="52"/>
    </row>
    <row r="12">
      <c r="F12" s="57"/>
      <c r="G12" s="52"/>
      <c r="H12" s="52"/>
      <c r="I12" s="52"/>
      <c r="J12" s="52"/>
      <c r="K12" s="52"/>
    </row>
    <row r="13">
      <c r="F13" s="51"/>
      <c r="G13" s="49"/>
    </row>
    <row r="14">
      <c r="F14" s="57"/>
      <c r="G14" s="52"/>
      <c r="H14" s="52"/>
      <c r="I14" s="52"/>
      <c r="J14" s="52"/>
      <c r="K14" s="52"/>
    </row>
    <row r="15">
      <c r="F15" s="51"/>
    </row>
    <row r="16">
      <c r="F16" s="57"/>
    </row>
    <row r="17">
      <c r="F17" s="51"/>
    </row>
    <row r="18">
      <c r="A18" s="54"/>
      <c r="B18" s="57"/>
      <c r="C18" s="57"/>
      <c r="D18" s="57"/>
      <c r="E18" s="57"/>
      <c r="F18" s="57"/>
    </row>
    <row r="20"/>
    <row r="21"/>
    <row r="22"/>
    <row r="23"/>
    <row r="24"/>
    <row r="25"/>
    <row r="26"/>
    <row r="27"/>
    <row r="28"/>
    <row r="29"/>
    <row r="32"/>
    <row r="33"/>
    <row r="34"/>
    <row r="35"/>
    <row r="36"/>
    <row r="37"/>
  </sheetData>
  <customSheetViews>
    <customSheetView guid="{0AD43369-F2D1-4957-ADEC-37F5B9D6B854}" filter="1" showAutoFilter="1">
      <autoFilter ref="$A$9:$D$16"/>
      <extLst>
        <ext uri="GoogleSheetsCustomDataVersion1">
          <go:sheetsCustomData xmlns:go="http://customooxmlschemas.google.com/" filterViewId="1213835765"/>
        </ext>
      </extLst>
    </customSheetView>
    <customSheetView guid="{0AD43369-F2D1-4957-ADEC-37F5B9D6B854}" filter="1" showAutoFilter="1">
      <autoFilter ref="$A$21:$D$24"/>
      <extLst>
        <ext uri="GoogleSheetsCustomDataVersion1">
          <go:sheetsCustomData xmlns:go="http://customooxmlschemas.google.com/" filterViewId="1389514713"/>
        </ext>
      </extLst>
    </customSheetView>
    <customSheetView guid="{0AD43369-F2D1-4957-ADEC-37F5B9D6B854}" filter="1" showAutoFilter="1">
      <autoFilter ref="$A$1:$C$4"/>
      <extLst>
        <ext uri="GoogleSheetsCustomDataVersion1">
          <go:sheetsCustomData xmlns:go="http://customooxmlschemas.google.com/" filterViewId="186141555"/>
        </ext>
      </extLst>
    </customSheetView>
    <customSheetView guid="{0AD43369-F2D1-4957-ADEC-37F5B9D6B854}" filter="1" showAutoFilter="1">
      <autoFilter ref="$A$33:$C$36"/>
      <extLst>
        <ext uri="GoogleSheetsCustomDataVersion1">
          <go:sheetsCustomData xmlns:go="http://customooxmlschemas.google.com/" filterViewId="329945043"/>
        </ext>
      </extLst>
    </customSheetView>
    <customSheetView guid="{0AD43369-F2D1-4957-ADEC-37F5B9D6B854}" filter="1" showAutoFilter="1">
      <autoFilter ref="$A$8:$E$17"/>
      <extLst>
        <ext uri="GoogleSheetsCustomDataVersion1">
          <go:sheetsCustomData xmlns:go="http://customooxmlschemas.google.com/" filterViewId="353595131"/>
        </ext>
      </extLst>
    </customSheetView>
    <customSheetView guid="{0AD43369-F2D1-4957-ADEC-37F5B9D6B854}" filter="1" showAutoFilter="1">
      <autoFilter ref="$A$21:$C$28"/>
      <extLst>
        <ext uri="GoogleSheetsCustomDataVersion1">
          <go:sheetsCustomData xmlns:go="http://customooxmlschemas.google.com/" filterViewId="447542573"/>
        </ext>
      </extLst>
    </customSheetView>
    <customSheetView guid="{0AD43369-F2D1-4957-ADEC-37F5B9D6B854}" filter="1" showAutoFilter="1">
      <autoFilter ref="$A$33:$C$36"/>
      <extLst>
        <ext uri="GoogleSheetsCustomDataVersion1">
          <go:sheetsCustomData xmlns:go="http://customooxmlschemas.google.com/" filterViewId="599335548"/>
        </ext>
      </extLst>
    </customSheetView>
  </customSheetViews>
  <drawing r:id="rId5"/>
  <tableParts count="7">
    <tablePart r:id="rId13"/>
    <tablePart r:id="rId14"/>
    <tablePart r:id="rId15"/>
    <tablePart r:id="rId16"/>
    <tablePart r:id="rId17"/>
    <tablePart r:id="rId18"/>
    <tablePart r:id="rId19"/>
  </tableParts>
  <extLst>
    <ext uri="{3A4CF648-6AED-40f4-86FF-DC5316D8AED3}">
      <x14:slicerList>
        <x14:slicer r:id="rId20"/>
      </x14:slicerList>
    </ext>
  </extLst>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26" width="9.38"/>
  </cols>
  <sheetData>
    <row r="2">
      <c r="B2" s="63" t="s">
        <v>1109</v>
      </c>
    </row>
    <row r="3">
      <c r="G3" s="64"/>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1">
    <mergeCell ref="B2:M2"/>
  </mergeCells>
  <conditionalFormatting sqref="K12">
    <cfRule type="colorScale" priority="1">
      <colorScale>
        <cfvo type="min"/>
        <cfvo type="max"/>
        <color rgb="FF57BB8A"/>
        <color rgb="FFFFFFFF"/>
      </colorScale>
    </cfRule>
  </conditionalFormatting>
  <printOptions/>
  <pageMargins bottom="0.75" footer="0.0" header="0.0" left="0.7" right="0.7" top="0.75"/>
  <pageSetup orientation="landscape"/>
  <drawing r:id="rId1"/>
  <extLst>
    <ext uri="{3A4CF648-6AED-40f4-86FF-DC5316D8AED3}">
      <x14:slicerList>
        <x14:slicer r:id="rId2"/>
      </x14:slicerList>
    </ext>
  </extLst>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2024-03-06T05:23:32Z</dcterms:created>
  <dc:creator>rosana cardozo</dc:creator>
</cp:coreProperties>
</file>